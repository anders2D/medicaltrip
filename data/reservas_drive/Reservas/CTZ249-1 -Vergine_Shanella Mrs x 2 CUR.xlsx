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ARPETA - ARCHIVO" sheetId="2" r:id="rId5"/>
    <sheet state="visible" name="ITINERARIO" sheetId="3" r:id="rId6"/>
    <sheet state="visible" name="RVA249-1 -1-COSTEO" sheetId="4" r:id="rId7"/>
    <sheet state="visible" name="RVA249-1 -2-COSTEO" sheetId="5" r:id="rId8"/>
    <sheet state="visible" name="DETALLE SERVICIOS" sheetId="6" r:id="rId9"/>
    <sheet state="visible" name="CONFIRMACIÓN PAX 1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LjNWwObip6oAzFvdp9xePo9zoT++G1DuTi+X86lWddU="/>
    </ext>
  </extLst>
</workbook>
</file>

<file path=xl/sharedStrings.xml><?xml version="1.0" encoding="utf-8"?>
<sst xmlns="http://schemas.openxmlformats.org/spreadsheetml/2006/main" count="579" uniqueCount="189">
  <si>
    <t>Nombre</t>
  </si>
  <si>
    <t>SHANELLA</t>
  </si>
  <si>
    <t>CICILIA</t>
  </si>
  <si>
    <t>Apellido</t>
  </si>
  <si>
    <t>VERGINIE</t>
  </si>
  <si>
    <t>Apellido de casada</t>
  </si>
  <si>
    <t>Género:  .</t>
  </si>
  <si>
    <t>FEMENINO</t>
  </si>
  <si>
    <t>Pasaporte</t>
  </si>
  <si>
    <t>NU8P4K6F3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</si>
  <si>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</si>
  <si>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</si>
  <si>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</si>
  <si>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</si>
  <si>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</si>
  <si>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</si>
  <si>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miss_bonifacio@hotmail.com</t>
  </si>
  <si>
    <t>Teléfono</t>
  </si>
  <si>
    <t>599 9 5158952</t>
  </si>
  <si>
    <t xml:space="preserve">Profesión </t>
  </si>
  <si>
    <t>RH</t>
  </si>
  <si>
    <t>O +</t>
  </si>
  <si>
    <t>Seguro</t>
  </si>
  <si>
    <t>Peso</t>
  </si>
  <si>
    <t>82 kg</t>
  </si>
  <si>
    <t>Altura</t>
  </si>
  <si>
    <t>Idioma</t>
  </si>
  <si>
    <t>Español. Ingles, Holandes, Papiamento</t>
  </si>
  <si>
    <t>Estadia:</t>
  </si>
  <si>
    <t>Salud</t>
  </si>
  <si>
    <t>Paciente femenina de 60 años que consulta para un chequeo general y una segunda opinión por dolor muscular y neuropático en la región lumbar y la pierna izquierda, desde la región lumbar hasta la fosa poplítea. Presenta diplopía concomitante, por lo que se debe evaluar para descartar otras afecciones. Busca mejorar su salud y su movilidad para desempeñarse mejor como enfermera y cuidadora.</t>
  </si>
  <si>
    <t>ARCHIVO DIGITAL</t>
  </si>
  <si>
    <t>LABORATORIOS CLÍNICOS</t>
  </si>
  <si>
    <t>IMÁGENES DIAGNÓSTICAS</t>
  </si>
  <si>
    <t>ESPECIALISTAS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</si>
  <si>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</si>
  <si>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</si>
  <si>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</si>
  <si>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</si>
  <si>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</si>
  <si>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</si>
  <si>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</si>
  <si>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</si>
  <si>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MARTES</t>
  </si>
  <si>
    <t>Vuelo Curazao - Medellín</t>
  </si>
  <si>
    <t>Traslado a aeropuerto - hotel</t>
  </si>
  <si>
    <t>Alojamiento</t>
  </si>
  <si>
    <t>MIÉRCOLES</t>
  </si>
  <si>
    <t>Tiempo para desayunar</t>
  </si>
  <si>
    <t>07:00 am</t>
  </si>
  <si>
    <t>Traslado Hotel - Centro médico</t>
  </si>
  <si>
    <t>El Tesoro</t>
  </si>
  <si>
    <t>Imágenes y Especialistas</t>
  </si>
  <si>
    <t>Sin cita</t>
  </si>
  <si>
    <t>Dea</t>
  </si>
  <si>
    <t>07:30 am</t>
  </si>
  <si>
    <t>Cita panorámica Dental</t>
  </si>
  <si>
    <t>Alta Estética Dental</t>
  </si>
  <si>
    <t>CANCELADA</t>
  </si>
  <si>
    <t>08:00 am</t>
  </si>
  <si>
    <t xml:space="preserve">Cita con Odontología </t>
  </si>
  <si>
    <t>Oftalmólogos El Tesoro</t>
  </si>
  <si>
    <t>Pendiente</t>
  </si>
  <si>
    <t>Shanella</t>
  </si>
  <si>
    <t xml:space="preserve">Cita con Oftalmología </t>
  </si>
  <si>
    <t>Tiempo para almorzar ligero</t>
  </si>
  <si>
    <t>01:00 pm</t>
  </si>
  <si>
    <t>Traslado Centro médico -  centro médico</t>
  </si>
  <si>
    <t>El Poblado</t>
  </si>
  <si>
    <t>CRE - Medialfa</t>
  </si>
  <si>
    <t>01:40 pm</t>
  </si>
  <si>
    <t>Resonancia de columna lumbar sin sedación - resonador abierto</t>
  </si>
  <si>
    <t xml:space="preserve">Traslado Centro médico -  Hotel </t>
  </si>
  <si>
    <t>JUEVES</t>
  </si>
  <si>
    <t>No desayunar</t>
  </si>
  <si>
    <t>05:30 am</t>
  </si>
  <si>
    <t>Ciudad del río</t>
  </si>
  <si>
    <t>Cima</t>
  </si>
  <si>
    <t>Toma de muestras de sangre laboratorio clínico</t>
  </si>
  <si>
    <t>Ecografía de abdomen total</t>
  </si>
  <si>
    <t>Citología</t>
  </si>
  <si>
    <t>Ecografía de mama</t>
  </si>
  <si>
    <t>Radiografía de tórax</t>
  </si>
  <si>
    <t>Radiografía de pie derecho</t>
  </si>
  <si>
    <t>Radiografía de pie izquierdo</t>
  </si>
  <si>
    <t>Electrocardiograma</t>
  </si>
  <si>
    <t>08:30 am</t>
  </si>
  <si>
    <t>Día libre</t>
  </si>
  <si>
    <t>VIERNES - día libre</t>
  </si>
  <si>
    <t>Mañana libre</t>
  </si>
  <si>
    <t>Tiempo para almorzar</t>
  </si>
  <si>
    <t>Clínica Las Vegas</t>
  </si>
  <si>
    <t>ORVÉ</t>
  </si>
  <si>
    <t>Tarde</t>
  </si>
  <si>
    <t>Cita con especialista en Ortopedia de Columna</t>
  </si>
  <si>
    <t>Cita con especialista en Medicina Interna</t>
  </si>
  <si>
    <t>SÁBADO - Día libre</t>
  </si>
  <si>
    <t>DOMINGO - Día libre</t>
  </si>
  <si>
    <t>LUNES - Día libre</t>
  </si>
  <si>
    <t>Traslado hotel - aeropuerto</t>
  </si>
  <si>
    <t>Vuelo internacional Curazao - Medellín</t>
  </si>
  <si>
    <t>Menos incluido en  chequeo médico</t>
  </si>
  <si>
    <t>Libro diario contable</t>
  </si>
  <si>
    <t>PAGOS</t>
  </si>
  <si>
    <t>ESTADO DE CUENTA</t>
  </si>
  <si>
    <t>DEA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</si>
  <si>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</si>
  <si>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</si>
  <si>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</si>
  <si>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</si>
  <si>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</si>
  <si>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</si>
  <si>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</si>
  <si>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</si>
  <si>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</si>
  <si>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</si>
  <si>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</si>
  <si>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</si>
  <si>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</si>
  <si>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</si>
  <si>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</si>
  <si>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</si>
  <si>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</si>
  <si>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06 días</t>
  </si>
  <si>
    <t>Colasistencia</t>
  </si>
  <si>
    <t>Sim card física</t>
  </si>
  <si>
    <t>Recarga 10 gigas de datos</t>
  </si>
  <si>
    <t>Traslado  aeropuerto - hotel - aeropuerto en CARRO</t>
  </si>
  <si>
    <t>PAQUETE DE CHEQUEO MÉDICO  - Servicios incluidos color azul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</si>
  <si>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</si>
  <si>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</si>
  <si>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</si>
  <si>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</si>
  <si>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</si>
  <si>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</si>
  <si>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</si>
  <si>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</si>
  <si>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</si>
  <si>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</si>
  <si>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</si>
  <si>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</si>
  <si>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</si>
  <si>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</si>
  <si>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</si>
  <si>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e-GFR</t>
  </si>
  <si>
    <t>No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</si>
  <si>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</si>
  <si>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</si>
  <si>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</si>
  <si>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</si>
  <si>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</si>
  <si>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</si>
  <si>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</si>
  <si>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</si>
  <si>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</si>
  <si>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</si>
  <si>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Paratohormona</t>
  </si>
  <si>
    <t>Enfermedades de transmisión sexual</t>
  </si>
  <si>
    <t>VDRL serología</t>
  </si>
  <si>
    <t xml:space="preserve">VIH 1 Y 2, Anticuerpos </t>
  </si>
  <si>
    <t xml:space="preserve">Minerales  </t>
  </si>
  <si>
    <t>Fósforo</t>
  </si>
  <si>
    <t>Ionograma: calcio - sodio - cloro- potasio</t>
  </si>
  <si>
    <t>Corazón</t>
  </si>
  <si>
    <t>Homocisteína</t>
  </si>
  <si>
    <t>Radiografía panorámica dental</t>
  </si>
  <si>
    <t>Cancelada</t>
  </si>
  <si>
    <t>Resonancia de columna lumbar - resonador campo abierto</t>
  </si>
  <si>
    <t>Consulta con INTERNISTA</t>
  </si>
  <si>
    <t>Consulta con ODONTOLOGÍA</t>
  </si>
  <si>
    <t>Consulta con ORTOPEDIA</t>
  </si>
  <si>
    <t>Consulta con OFTALMOLOGÍA</t>
  </si>
  <si>
    <t>Pendiente de pago</t>
  </si>
  <si>
    <t>Video entrevista con VIRTUAL MEDICINA FUNCIONAL  primera vez</t>
  </si>
  <si>
    <t>Consulta con VIRTUAL Evaluación virtual de Medicina, Nutrición y Psiconutrición
. Protocolo de antioxidantes para la prevención del cáncer
y el manejo de la disbiosis.</t>
  </si>
  <si>
    <t>08 Traslados hotel - clínica por trayecto Cortos - cerca</t>
  </si>
  <si>
    <t>Servicios Medical Trip Colombia: Póliza al viajero por dos días - Acompañamiento Virtual y presencial</t>
  </si>
  <si>
    <t>Servicios Medical Trip Colombia: Acompañamiento Virtual y presencial servicios adicionales al chequeo médico</t>
  </si>
  <si>
    <t>Caja menor</t>
  </si>
  <si>
    <t>Total neto</t>
  </si>
  <si>
    <t>Gastos bancarios</t>
  </si>
  <si>
    <t>4 * 1000</t>
  </si>
  <si>
    <t>Tasa del dólar</t>
  </si>
  <si>
    <t>Paquete de chequeo médico</t>
  </si>
  <si>
    <t>Servicios Médical Trip Colombia, no se puede retirar de la cotización</t>
  </si>
  <si>
    <t>Servicios para decidir sí los desea realizar o no</t>
  </si>
  <si>
    <t>DETALLE DE LOS SERVICIOS</t>
  </si>
  <si>
    <t>Impuesto bancario 4 * 1000</t>
  </si>
  <si>
    <t xml:space="preserve">TOTAL A PAGAR EN DÓLARES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</si>
</sst>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 mmm yyyy"/>
    <numFmt numFmtId="165" formatCode="dd-mm-yyyy"/>
    <numFmt numFmtId="166" formatCode="d mmmm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0"/>
    <numFmt numFmtId="173" formatCode="d-m-yyyy"/>
    <numFmt numFmtId="174" formatCode="[$$]#,##0"/>
    <numFmt numFmtId="175" formatCode="0.0%"/>
    <numFmt numFmtId="176" formatCode="&quot;$&quot;#,##0.0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color theme="1"/>
      <name val="Arial"/>
      <scheme val="minor"/>
    </font>
    <font>
      <sz val="11.0"/>
      <color rgb="FFFFFFFF"/>
      <name val="Lexend"/>
    </font>
    <font>
      <b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color rgb="FFFFFFFF"/>
      <name val="Lexend"/>
    </font>
    <font/>
    <font>
      <b/>
      <sz val="8.0"/>
      <color theme="1"/>
      <name val="Lexend"/>
    </font>
    <font>
      <b/>
      <sz val="7.0"/>
      <color theme="1"/>
      <name val="Lexend"/>
    </font>
    <font>
      <b/>
      <sz val="9.0"/>
      <color rgb="FFFFFFFF"/>
      <name val="Lexend"/>
    </font>
    <font>
      <color rgb="FFFFFFFF"/>
      <name val="Lexend"/>
    </font>
    <font>
      <sz val="8.0"/>
      <color theme="1"/>
      <name val="Lexend"/>
    </font>
    <font>
      <b/>
      <color theme="1"/>
      <name val="Arial"/>
    </font>
    <font>
      <b/>
      <sz val="11.0"/>
      <color rgb="FFFFFFFF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vertical="center"/>
    </xf>
    <xf borderId="0" fillId="3" fontId="6" numFmtId="0" xfId="0" applyAlignment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5" fontId="9" numFmtId="0" xfId="0" applyAlignment="1" applyFill="1" applyFont="1">
      <alignment vertical="center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6" fontId="11" numFmtId="0" xfId="0" applyAlignment="1" applyBorder="1" applyFill="1" applyFont="1">
      <alignment horizontal="center" vertical="center"/>
    </xf>
    <xf borderId="1" fillId="6" fontId="9" numFmtId="0" xfId="0" applyAlignment="1" applyBorder="1" applyFont="1">
      <alignment horizontal="center" vertical="center"/>
    </xf>
    <xf borderId="1" fillId="6" fontId="9" numFmtId="0" xfId="0" applyAlignment="1" applyBorder="1" applyFont="1">
      <alignment vertical="center"/>
    </xf>
    <xf borderId="2" fillId="4" fontId="12" numFmtId="0" xfId="0" applyAlignment="1" applyBorder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vertical="center"/>
    </xf>
    <xf borderId="1" fillId="4" fontId="10" numFmtId="166" xfId="0" applyAlignment="1" applyBorder="1" applyFont="1" applyNumberForma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1" fillId="0" fontId="9" numFmtId="167" xfId="0" applyAlignment="1" applyBorder="1" applyFont="1" applyNumberFormat="1">
      <alignment horizontal="center" vertical="center"/>
    </xf>
    <xf borderId="2" fillId="0" fontId="9" numFmtId="167" xfId="0" applyAlignment="1" applyBorder="1" applyFont="1" applyNumberFormat="1">
      <alignment vertical="center"/>
    </xf>
    <xf borderId="1" fillId="0" fontId="10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7" fontId="10" numFmtId="0" xfId="0" applyAlignment="1" applyBorder="1" applyFill="1" applyFont="1">
      <alignment vertical="center"/>
    </xf>
    <xf borderId="1" fillId="0" fontId="9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8" fontId="14" numFmtId="0" xfId="0" applyAlignment="1" applyBorder="1" applyFill="1" applyFont="1">
      <alignment horizontal="center" readingOrder="0" vertical="center"/>
    </xf>
    <xf borderId="1" fillId="9" fontId="10" numFmtId="0" xfId="0" applyAlignment="1" applyBorder="1" applyFill="1" applyFont="1">
      <alignment readingOrder="0" shrinkToFit="0" vertical="center" wrapText="1"/>
    </xf>
    <xf borderId="1" fillId="10" fontId="14" numFmtId="0" xfId="0" applyAlignment="1" applyBorder="1" applyFill="1" applyFont="1">
      <alignment horizontal="center" readingOrder="0" vertical="center"/>
    </xf>
    <xf borderId="1" fillId="11" fontId="14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7" fontId="10" numFmtId="0" xfId="0" applyAlignment="1" applyBorder="1" applyFont="1">
      <alignment readingOrder="0" vertical="center"/>
    </xf>
    <xf borderId="3" fillId="0" fontId="1" numFmtId="0" xfId="0" applyAlignment="1" applyBorder="1" applyFont="1">
      <alignment horizontal="center" readingOrder="0" vertical="center"/>
    </xf>
    <xf borderId="1" fillId="4" fontId="10" numFmtId="166" xfId="0" applyAlignment="1" applyBorder="1" applyFont="1" applyNumberFormat="1">
      <alignment horizontal="center" readingOrder="0" shrinkToFit="0" vertical="center" wrapText="1"/>
    </xf>
    <xf borderId="1" fillId="4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9" fontId="10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4" fontId="9" numFmtId="0" xfId="0" applyAlignment="1" applyBorder="1" applyFont="1">
      <alignment vertical="center"/>
    </xf>
    <xf borderId="1" fillId="0" fontId="5" numFmtId="0" xfId="0" applyBorder="1" applyFont="1"/>
    <xf borderId="3" fillId="0" fontId="10" numFmtId="0" xfId="0" applyAlignment="1" applyBorder="1" applyFont="1">
      <alignment vertical="center"/>
    </xf>
    <xf borderId="0" fillId="0" fontId="9" numFmtId="167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68" xfId="0" applyAlignment="1" applyFont="1" applyNumberFormat="1">
      <alignment vertical="center"/>
    </xf>
    <xf borderId="0" fillId="0" fontId="2" numFmtId="169" xfId="0" applyAlignment="1" applyFont="1" applyNumberFormat="1">
      <alignment vertical="center"/>
    </xf>
    <xf borderId="0" fillId="0" fontId="2" numFmtId="170" xfId="0" applyAlignment="1" applyFont="1" applyNumberFormat="1">
      <alignment vertical="center"/>
    </xf>
    <xf borderId="0" fillId="0" fontId="14" numFmtId="0" xfId="0" applyAlignment="1" applyFont="1">
      <alignment vertical="center"/>
    </xf>
    <xf borderId="5" fillId="0" fontId="7" numFmtId="169" xfId="0" applyAlignment="1" applyBorder="1" applyFont="1" applyNumberFormat="1">
      <alignment horizontal="center" shrinkToFit="0" vertical="center" wrapText="1"/>
    </xf>
    <xf borderId="1" fillId="6" fontId="2" numFmtId="0" xfId="0" applyAlignment="1" applyBorder="1" applyFont="1">
      <alignment vertical="center"/>
    </xf>
    <xf borderId="1" fillId="6" fontId="15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vertical="center"/>
    </xf>
    <xf borderId="0" fillId="6" fontId="2" numFmtId="0" xfId="0" applyAlignment="1" applyFont="1">
      <alignment vertical="center"/>
    </xf>
    <xf borderId="5" fillId="6" fontId="2" numFmtId="168" xfId="0" applyAlignment="1" applyBorder="1" applyFont="1" applyNumberFormat="1">
      <alignment vertical="center"/>
    </xf>
    <xf borderId="5" fillId="6" fontId="2" numFmtId="0" xfId="0" applyAlignment="1" applyBorder="1" applyFont="1">
      <alignment vertical="center"/>
    </xf>
    <xf borderId="1" fillId="6" fontId="15" numFmtId="170" xfId="0" applyAlignment="1" applyBorder="1" applyFont="1" applyNumberFormat="1">
      <alignment horizontal="center" shrinkToFit="0" vertical="center" wrapText="1"/>
    </xf>
    <xf borderId="1" fillId="6" fontId="2" numFmtId="170" xfId="0" applyAlignment="1" applyBorder="1" applyFont="1" applyNumberFormat="1">
      <alignment vertical="center"/>
    </xf>
    <xf borderId="5" fillId="6" fontId="15" numFmtId="170" xfId="0" applyAlignment="1" applyBorder="1" applyFont="1" applyNumberFormat="1">
      <alignment vertical="center"/>
    </xf>
    <xf borderId="5" fillId="6" fontId="2" numFmtId="169" xfId="0" applyAlignment="1" applyBorder="1" applyFont="1" applyNumberFormat="1">
      <alignment vertical="center"/>
    </xf>
    <xf borderId="5" fillId="6" fontId="15" numFmtId="169" xfId="0" applyAlignment="1" applyBorder="1" applyFont="1" applyNumberFormat="1">
      <alignment horizontal="center" shrinkToFit="0" vertical="center" wrapText="1"/>
    </xf>
    <xf borderId="5" fillId="0" fontId="16" numFmtId="0" xfId="0" applyBorder="1" applyFont="1"/>
    <xf borderId="1" fillId="4" fontId="17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1" fillId="12" fontId="17" numFmtId="170" xfId="0" applyAlignment="1" applyBorder="1" applyFill="1" applyFont="1" applyNumberFormat="1">
      <alignment horizontal="center" shrinkToFit="0" vertical="center" wrapText="1"/>
    </xf>
    <xf borderId="1" fillId="12" fontId="13" numFmtId="170" xfId="0" applyAlignment="1" applyBorder="1" applyFont="1" applyNumberFormat="1">
      <alignment horizontal="center" shrinkToFit="0" vertical="center" wrapText="1"/>
    </xf>
    <xf borderId="1" fillId="4" fontId="18" numFmtId="170" xfId="0" applyAlignment="1" applyBorder="1" applyFont="1" applyNumberFormat="1">
      <alignment horizontal="center" shrinkToFit="0" vertical="center" wrapText="1"/>
    </xf>
    <xf borderId="1" fillId="4" fontId="13" numFmtId="169" xfId="0" applyAlignment="1" applyBorder="1" applyFont="1" applyNumberFormat="1">
      <alignment horizontal="center" shrinkToFit="0" vertical="center" wrapText="1"/>
    </xf>
    <xf borderId="4" fillId="13" fontId="19" numFmtId="170" xfId="0" applyAlignment="1" applyBorder="1" applyFill="1" applyFont="1" applyNumberFormat="1">
      <alignment horizontal="center" shrinkToFit="0" vertical="center" wrapText="1"/>
    </xf>
    <xf borderId="4" fillId="13" fontId="19" numFmtId="171" xfId="0" applyAlignment="1" applyBorder="1" applyFont="1" applyNumberFormat="1">
      <alignment horizontal="center" shrinkToFit="0" vertical="center" wrapText="1"/>
    </xf>
    <xf borderId="0" fillId="0" fontId="2" numFmtId="171" xfId="0" applyAlignment="1" applyFont="1" applyNumberFormat="1">
      <alignment vertical="center"/>
    </xf>
    <xf borderId="0" fillId="0" fontId="18" numFmtId="0" xfId="0" applyAlignment="1" applyFont="1">
      <alignment horizontal="center" readingOrder="0" shrinkToFit="0" vertical="center" wrapText="1"/>
    </xf>
    <xf borderId="1" fillId="4" fontId="9" numFmtId="0" xfId="0" applyAlignment="1" applyBorder="1" applyFont="1">
      <alignment readingOrder="0" shrinkToFit="0" vertical="center" wrapText="1"/>
    </xf>
    <xf borderId="1" fillId="0" fontId="8" numFmtId="168" xfId="0" applyAlignment="1" applyBorder="1" applyFont="1" applyNumberFormat="1">
      <alignment horizontal="center" vertical="center"/>
    </xf>
    <xf borderId="1" fillId="0" fontId="9" numFmtId="168" xfId="0" applyAlignment="1" applyBorder="1" applyFont="1" applyNumberFormat="1">
      <alignment horizontal="center" shrinkToFit="0" vertical="center" wrapText="1"/>
    </xf>
    <xf borderId="1" fillId="4" fontId="9" numFmtId="172" xfId="0" applyAlignment="1" applyBorder="1" applyFont="1" applyNumberFormat="1">
      <alignment horizontal="center" shrinkToFit="0" vertical="center" wrapText="1"/>
    </xf>
    <xf borderId="1" fillId="12" fontId="2" numFmtId="168" xfId="0" applyAlignment="1" applyBorder="1" applyFont="1" applyNumberFormat="1">
      <alignment vertical="center"/>
    </xf>
    <xf borderId="1" fillId="4" fontId="2" numFmtId="168" xfId="0" applyAlignment="1" applyBorder="1" applyFont="1" applyNumberFormat="1">
      <alignment vertical="center"/>
    </xf>
    <xf borderId="1" fillId="14" fontId="2" numFmtId="170" xfId="0" applyAlignment="1" applyBorder="1" applyFill="1" applyFont="1" applyNumberFormat="1">
      <alignment vertical="center"/>
    </xf>
    <xf borderId="1" fillId="14" fontId="2" numFmtId="169" xfId="0" applyAlignment="1" applyBorder="1" applyFont="1" applyNumberFormat="1">
      <alignment vertical="center"/>
    </xf>
    <xf borderId="1" fillId="14" fontId="2" numFmtId="0" xfId="0" applyAlignment="1" applyBorder="1" applyFont="1">
      <alignment vertical="center"/>
    </xf>
    <xf borderId="2" fillId="8" fontId="9" numFmtId="0" xfId="0" applyAlignment="1" applyBorder="1" applyFont="1">
      <alignment shrinkToFit="0" vertical="center" wrapText="1"/>
    </xf>
    <xf borderId="1" fillId="0" fontId="2" numFmtId="168" xfId="0" applyAlignment="1" applyBorder="1" applyFont="1" applyNumberFormat="1">
      <alignment vertical="center"/>
    </xf>
    <xf borderId="1" fillId="0" fontId="9" numFmtId="172" xfId="0" applyAlignment="1" applyBorder="1" applyFont="1" applyNumberFormat="1">
      <alignment horizontal="center" shrinkToFit="0" vertical="center" wrapText="1"/>
    </xf>
    <xf borderId="1" fillId="14" fontId="2" numFmtId="168" xfId="0" applyAlignment="1" applyBorder="1" applyFont="1" applyNumberFormat="1">
      <alignment vertical="center"/>
    </xf>
    <xf borderId="1" fillId="8" fontId="9" numFmtId="0" xfId="0" applyAlignment="1" applyBorder="1" applyFont="1">
      <alignment shrinkToFit="0" vertical="center" wrapText="1"/>
    </xf>
    <xf borderId="0" fillId="15" fontId="2" numFmtId="0" xfId="0" applyAlignment="1" applyFill="1" applyFont="1">
      <alignment vertical="center"/>
    </xf>
    <xf borderId="0" fillId="15" fontId="2" numFmtId="0" xfId="0" applyAlignment="1" applyFont="1">
      <alignment horizontal="center" vertical="center"/>
    </xf>
    <xf borderId="1" fillId="3" fontId="15" numFmtId="0" xfId="0" applyAlignment="1" applyBorder="1" applyFont="1">
      <alignment horizontal="center" readingOrder="0" shrinkToFit="0" vertical="center" wrapText="1"/>
    </xf>
    <xf borderId="1" fillId="3" fontId="2" numFmtId="168" xfId="0" applyAlignment="1" applyBorder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3" fontId="20" numFmtId="168" xfId="0" applyAlignment="1" applyBorder="1" applyFont="1" applyNumberFormat="1">
      <alignment horizontal="center" vertical="center"/>
    </xf>
    <xf borderId="1" fillId="3" fontId="15" numFmtId="168" xfId="0" applyAlignment="1" applyBorder="1" applyFont="1" applyNumberFormat="1">
      <alignment horizontal="center" vertical="center"/>
    </xf>
    <xf borderId="1" fillId="16" fontId="7" numFmtId="0" xfId="0" applyAlignment="1" applyBorder="1" applyFill="1" applyFont="1">
      <alignment horizontal="center" shrinkToFit="0" vertical="center" wrapText="1"/>
    </xf>
    <xf borderId="1" fillId="16" fontId="2" numFmtId="168" xfId="0" applyAlignment="1" applyBorder="1" applyFont="1" applyNumberFormat="1">
      <alignment vertical="center"/>
    </xf>
    <xf borderId="1" fillId="16" fontId="2" numFmtId="0" xfId="0" applyAlignment="1" applyBorder="1" applyFont="1">
      <alignment vertical="center"/>
    </xf>
    <xf borderId="1" fillId="0" fontId="2" numFmtId="170" xfId="0" applyAlignment="1" applyBorder="1" applyFont="1" applyNumberFormat="1">
      <alignment vertical="center"/>
    </xf>
    <xf borderId="1" fillId="0" fontId="2" numFmtId="169" xfId="0" applyAlignment="1" applyBorder="1" applyFont="1" applyNumberFormat="1">
      <alignment vertical="center"/>
    </xf>
    <xf borderId="1" fillId="0" fontId="2" numFmtId="166" xfId="0" applyAlignment="1" applyBorder="1" applyFont="1" applyNumberFormat="1">
      <alignment vertical="center"/>
    </xf>
    <xf borderId="4" fillId="0" fontId="2" numFmtId="168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1" fillId="9" fontId="9" numFmtId="0" xfId="0" applyAlignment="1" applyBorder="1" applyFont="1">
      <alignment horizontal="center" shrinkToFit="0" vertical="center" wrapText="1"/>
    </xf>
    <xf borderId="1" fillId="9" fontId="18" numFmtId="168" xfId="0" applyAlignment="1" applyBorder="1" applyFont="1" applyNumberFormat="1">
      <alignment horizontal="center" vertical="center"/>
    </xf>
    <xf borderId="1" fillId="9" fontId="2" numFmtId="168" xfId="0" applyAlignment="1" applyBorder="1" applyFont="1" applyNumberFormat="1">
      <alignment vertical="center"/>
    </xf>
    <xf borderId="1" fillId="9" fontId="2" numFmtId="0" xfId="0" applyAlignment="1" applyBorder="1" applyFont="1">
      <alignment vertical="center"/>
    </xf>
    <xf borderId="1" fillId="0" fontId="2" numFmtId="173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9" fontId="8" numFmtId="168" xfId="0" applyAlignment="1" applyBorder="1" applyFont="1" applyNumberFormat="1">
      <alignment horizontal="center" vertical="center"/>
    </xf>
    <xf borderId="1" fillId="17" fontId="7" numFmtId="0" xfId="0" applyAlignment="1" applyBorder="1" applyFill="1" applyFont="1">
      <alignment horizontal="center" shrinkToFit="0" vertical="center" wrapText="1"/>
    </xf>
    <xf borderId="1" fillId="17" fontId="2" numFmtId="168" xfId="0" applyAlignment="1" applyBorder="1" applyFont="1" applyNumberFormat="1">
      <alignment vertical="center"/>
    </xf>
    <xf borderId="1" fillId="17" fontId="2" numFmtId="0" xfId="0" applyAlignment="1" applyBorder="1" applyFont="1">
      <alignment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9" numFmtId="168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15" fontId="9" numFmtId="172" xfId="0" applyAlignment="1" applyBorder="1" applyFont="1" applyNumberFormat="1">
      <alignment horizontal="center" readingOrder="0" shrinkToFit="0" vertical="center" wrapText="1"/>
    </xf>
    <xf borderId="1" fillId="0" fontId="9" numFmtId="168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8" numFmtId="168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168" xfId="0" applyAlignment="1" applyBorder="1" applyFont="1" applyNumberFormat="1">
      <alignment horizontal="center" readingOrder="0" shrinkToFit="0" vertical="center" wrapText="1"/>
    </xf>
    <xf borderId="0" fillId="10" fontId="2" numFmtId="0" xfId="0" applyAlignment="1" applyFont="1">
      <alignment horizontal="center" readingOrder="0" vertical="center"/>
    </xf>
    <xf borderId="1" fillId="18" fontId="7" numFmtId="0" xfId="0" applyAlignment="1" applyBorder="1" applyFill="1" applyFont="1">
      <alignment horizontal="center" shrinkToFit="0" vertical="center" wrapText="1"/>
    </xf>
    <xf borderId="3" fillId="18" fontId="2" numFmtId="168" xfId="0" applyAlignment="1" applyBorder="1" applyFont="1" applyNumberFormat="1">
      <alignment vertical="center"/>
    </xf>
    <xf borderId="1" fillId="18" fontId="2" numFmtId="0" xfId="0" applyAlignment="1" applyBorder="1" applyFont="1">
      <alignment vertical="center"/>
    </xf>
    <xf borderId="1" fillId="18" fontId="2" numFmtId="168" xfId="0" applyAlignment="1" applyBorder="1" applyFont="1" applyNumberFormat="1">
      <alignment vertical="center"/>
    </xf>
    <xf borderId="1" fillId="0" fontId="2" numFmtId="174" xfId="0" applyAlignment="1" applyBorder="1" applyFont="1" applyNumberFormat="1">
      <alignment vertical="center"/>
    </xf>
    <xf borderId="1" fillId="7" fontId="9" numFmtId="0" xfId="0" applyAlignment="1" applyBorder="1" applyFont="1">
      <alignment horizontal="center" shrinkToFit="0" vertical="center" wrapText="1"/>
    </xf>
    <xf borderId="1" fillId="7" fontId="21" numFmtId="168" xfId="0" applyAlignment="1" applyBorder="1" applyFont="1" applyNumberFormat="1">
      <alignment horizontal="center" vertical="center"/>
    </xf>
    <xf borderId="3" fillId="7" fontId="2" numFmtId="168" xfId="0" applyAlignment="1" applyBorder="1" applyFont="1" applyNumberFormat="1">
      <alignment vertical="center"/>
    </xf>
    <xf borderId="3" fillId="7" fontId="2" numFmtId="0" xfId="0" applyAlignment="1" applyBorder="1" applyFont="1">
      <alignment vertical="center"/>
    </xf>
    <xf borderId="2" fillId="4" fontId="2" numFmtId="170" xfId="0" applyAlignment="1" applyBorder="1" applyFont="1" applyNumberFormat="1">
      <alignment vertical="center"/>
    </xf>
    <xf borderId="3" fillId="4" fontId="2" numFmtId="169" xfId="0" applyAlignment="1" applyBorder="1" applyFont="1" applyNumberFormat="1">
      <alignment vertical="center"/>
    </xf>
    <xf borderId="1" fillId="0" fontId="9" numFmtId="172" xfId="0" applyAlignment="1" applyBorder="1" applyFont="1" applyNumberFormat="1">
      <alignment horizontal="center" readingOrder="0" shrinkToFit="0" vertical="center" wrapText="1"/>
    </xf>
    <xf borderId="2" fillId="4" fontId="2" numFmtId="168" xfId="0" applyAlignment="1" applyBorder="1" applyFont="1" applyNumberFormat="1">
      <alignment vertical="center"/>
    </xf>
    <xf borderId="3" fillId="4" fontId="2" numFmtId="174" xfId="0" applyAlignment="1" applyBorder="1" applyFont="1" applyNumberFormat="1">
      <alignment vertical="center"/>
    </xf>
    <xf borderId="0" fillId="11" fontId="2" numFmtId="0" xfId="0" applyAlignment="1" applyFont="1">
      <alignment horizontal="center" readingOrder="0" vertical="center"/>
    </xf>
    <xf borderId="1" fillId="9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5" fontId="9" numFmtId="168" xfId="0" applyAlignment="1" applyBorder="1" applyFont="1" applyNumberFormat="1">
      <alignment horizontal="center" shrinkToFit="0" vertical="center" wrapText="1"/>
    </xf>
    <xf borderId="1" fillId="4" fontId="9" numFmtId="168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14" fontId="2" numFmtId="168" xfId="0" applyAlignment="1" applyBorder="1" applyFont="1" applyNumberFormat="1">
      <alignment vertical="center"/>
    </xf>
    <xf borderId="0" fillId="0" fontId="2" numFmtId="175" xfId="0" applyAlignment="1" applyFont="1" applyNumberForma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9" numFmtId="168" xfId="0" applyAlignment="1" applyFont="1" applyNumberFormat="1">
      <alignment horizontal="center" shrinkToFit="0" vertical="center" wrapText="1"/>
    </xf>
    <xf borderId="0" fillId="0" fontId="2" numFmtId="176" xfId="0" applyAlignment="1" applyFont="1" applyNumberFormat="1">
      <alignment vertical="center"/>
    </xf>
    <xf borderId="0" fillId="0" fontId="9" numFmtId="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168" xfId="0" applyAlignment="1" applyFont="1" applyNumberFormat="1">
      <alignment horizontal="center" readingOrder="0" shrinkToFit="0" vertical="center" wrapText="1"/>
    </xf>
    <xf borderId="0" fillId="19" fontId="7" numFmtId="168" xfId="0" applyAlignment="1" applyFill="1" applyFont="1" applyNumberFormat="1">
      <alignment horizontal="center" shrinkToFit="0" vertical="center" wrapText="1"/>
    </xf>
    <xf borderId="0" fillId="11" fontId="7" numFmtId="168" xfId="0" applyAlignment="1" applyFont="1" applyNumberFormat="1">
      <alignment horizontal="center" shrinkToFit="0" vertical="center" wrapText="1"/>
    </xf>
    <xf borderId="0" fillId="0" fontId="2" numFmtId="170" xfId="0" applyAlignment="1" applyFont="1" applyNumberFormat="1">
      <alignment horizontal="right" vertical="center"/>
    </xf>
    <xf borderId="0" fillId="0" fontId="22" numFmtId="176" xfId="0" applyAlignment="1" applyFont="1" applyNumberFormat="1">
      <alignment horizontal="right" vertical="center"/>
    </xf>
    <xf borderId="0" fillId="0" fontId="22" numFmtId="170" xfId="0" applyAlignment="1" applyFont="1" applyNumberFormat="1">
      <alignment horizontal="right" vertical="center"/>
    </xf>
    <xf borderId="0" fillId="0" fontId="2" numFmtId="168" xfId="0" applyAlignment="1" applyFont="1" applyNumberFormat="1">
      <alignment horizontal="center" vertical="center"/>
    </xf>
    <xf borderId="0" fillId="0" fontId="2" numFmtId="170" xfId="0" applyAlignment="1" applyFont="1" applyNumberFormat="1">
      <alignment horizontal="center" vertical="center"/>
    </xf>
    <xf borderId="1" fillId="3" fontId="20" numFmtId="168" xfId="0" applyAlignment="1" applyBorder="1" applyFont="1" applyNumberFormat="1">
      <alignment horizontal="center" readingOrder="0" vertical="center"/>
    </xf>
    <xf borderId="0" fillId="0" fontId="2" numFmtId="168" xfId="0" applyAlignment="1" applyFont="1" applyNumberFormat="1">
      <alignment horizontal="center" readingOrder="0" vertical="center"/>
    </xf>
    <xf borderId="1" fillId="9" fontId="1" numFmtId="168" xfId="0" applyAlignment="1" applyBorder="1" applyFont="1" applyNumberFormat="1">
      <alignment horizontal="center"/>
    </xf>
    <xf borderId="2" fillId="4" fontId="1" numFmtId="168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 shrinkToFit="0" wrapText="1"/>
    </xf>
    <xf borderId="6" fillId="6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8" fillId="6" fontId="23" numFmtId="0" xfId="0" applyAlignment="1" applyBorder="1" applyFont="1">
      <alignment horizontal="center"/>
    </xf>
    <xf borderId="2" fillId="4" fontId="17" numFmtId="0" xfId="0" applyAlignment="1" applyBorder="1" applyFont="1">
      <alignment horizontal="center" readingOrder="0" shrinkToFit="0" vertical="center" wrapText="1"/>
    </xf>
    <xf borderId="1" fillId="19" fontId="12" numFmtId="0" xfId="0" applyAlignment="1" applyBorder="1" applyFont="1">
      <alignment horizontal="center" readingOrder="0" shrinkToFit="0" vertical="center" wrapText="1"/>
    </xf>
    <xf borderId="1" fillId="19" fontId="12" numFmtId="168" xfId="0" applyAlignment="1" applyBorder="1" applyFont="1" applyNumberFormat="1">
      <alignment horizontal="center" readingOrder="0" shrinkToFit="0" vertical="center" wrapText="1"/>
    </xf>
    <xf borderId="0" fillId="0" fontId="24" numFmtId="0" xfId="0" applyAlignment="1" applyFont="1">
      <alignment vertical="center"/>
    </xf>
    <xf borderId="0" fillId="0" fontId="2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2"/>
      <c r="C1" s="3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2"/>
      <c r="C2" s="3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/>
      <c r="B3" s="2"/>
      <c r="C3" s="3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3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/>
      <c r="B5" s="2"/>
      <c r="C5" s="3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/>
      <c r="B6" s="2"/>
      <c r="C6" s="3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/>
      <c r="B7" s="2"/>
      <c r="C7" s="3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"/>
      <c r="C8" s="3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C9" s="3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2"/>
      <c r="C10" s="3"/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C11" s="3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3"/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3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3"/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3"/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80.25" customHeight="1">
      <c r="A16" s="2"/>
      <c r="B16" s="2"/>
      <c r="C16" s="3"/>
      <c r="D16" s="2"/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3"/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4" t="s">
        <v>0</v>
      </c>
      <c r="B18" s="1" t="s">
        <v>1</v>
      </c>
      <c r="C18" s="3"/>
      <c r="D18" s="2" t="s">
        <v>0</v>
      </c>
      <c r="E18" s="2"/>
      <c r="F18" s="3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4" t="s">
        <v>0</v>
      </c>
      <c r="B19" s="1" t="s">
        <v>2</v>
      </c>
      <c r="C19" s="3"/>
      <c r="D19" s="2" t="s">
        <v>0</v>
      </c>
      <c r="E19" s="2"/>
      <c r="F19" s="3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4" t="s">
        <v>3</v>
      </c>
      <c r="B20" s="1" t="s">
        <v>4</v>
      </c>
      <c r="C20" s="3"/>
      <c r="D20" s="2" t="s">
        <v>3</v>
      </c>
      <c r="E20" s="2"/>
      <c r="F20" s="3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4"/>
      <c r="B21" s="2"/>
      <c r="C21" s="3"/>
      <c r="D21" s="2" t="s">
        <v>5</v>
      </c>
      <c r="E21" s="2"/>
      <c r="F21" s="3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4" t="s">
        <v>6</v>
      </c>
      <c r="B22" s="1" t="s">
        <v>7</v>
      </c>
      <c r="C22" s="3"/>
      <c r="D22" s="2" t="s">
        <v>6</v>
      </c>
      <c r="E22" s="2"/>
      <c r="F22" s="3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4" t="s">
        <v>8</v>
      </c>
      <c r="B23" s="1" t="s">
        <v>9</v>
      </c>
      <c r="C23" s="3"/>
      <c r="D23" s="2" t="s">
        <v>8</v>
      </c>
      <c r="E23" s="2"/>
      <c r="F23" s="3"/>
      <c r="G23" s="4"/>
      <c r="I23" s="2"/>
      <c r="J23" s="2"/>
      <c r="K23" s="2"/>
      <c r="L23" s="2"/>
      <c r="M23" s="2"/>
      <c r="N23" s="2"/>
      <c r="O23" s="2"/>
      <c r="P23" s="2"/>
      <c r="Q23" s="2"/>
    </row>
    <row r="24">
      <c r="A24" s="4" t="s">
        <v>10</v>
      </c>
      <c r="B24" s="5">
        <v>24000.0</v>
      </c>
      <c r="C24" s="3"/>
      <c r="D24" s="2" t="s">
        <v>10</v>
      </c>
      <c r="E24" s="2"/>
      <c r="F24" s="3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4" t="s">
        <v>11</v>
      </c>
      <c r="B25" s="1">
        <v>60.0</v>
      </c>
      <c r="C25" s="3"/>
      <c r="D25" s="2" t="s">
        <v>11</v>
      </c>
      <c r="E25" s="2"/>
      <c r="F25" s="3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4" t="s">
        <v>12</v>
      </c>
      <c r="B26" s="2"/>
      <c r="C26" s="3"/>
      <c r="D26" s="2" t="s">
        <v>12</v>
      </c>
      <c r="E26" s="2"/>
      <c r="F26" s="3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4" t="s">
        <v>13</v>
      </c>
      <c r="B27" s="2"/>
      <c r="C27" s="3"/>
      <c r="D27" s="2" t="s">
        <v>13</v>
      </c>
      <c r="E27" s="2"/>
      <c r="F27" s="3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4" t="s">
        <v>14</v>
      </c>
      <c r="B28" s="1"/>
      <c r="C28" s="3"/>
      <c r="D28" s="2" t="s">
        <v>14</v>
      </c>
      <c r="E28" s="2"/>
      <c r="F28" s="3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4" t="s">
        <v>15</v>
      </c>
      <c r="B29" s="1" t="s">
        <v>16</v>
      </c>
      <c r="C29" s="3"/>
      <c r="D29" s="2" t="s">
        <v>15</v>
      </c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4" t="s">
        <v>17</v>
      </c>
      <c r="B30" s="1" t="s">
        <v>18</v>
      </c>
      <c r="C30" s="3"/>
      <c r="D30" s="2" t="s">
        <v>17</v>
      </c>
      <c r="E30" s="2"/>
      <c r="F30" s="3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4" t="s">
        <v>19</v>
      </c>
      <c r="B31" s="1"/>
      <c r="C31" s="3"/>
      <c r="D31" s="2" t="s">
        <v>19</v>
      </c>
      <c r="E31" s="2"/>
      <c r="F31" s="3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4" t="s">
        <v>20</v>
      </c>
      <c r="B32" s="1" t="s">
        <v>21</v>
      </c>
      <c r="C32" s="3"/>
      <c r="D32" s="2" t="s">
        <v>20</v>
      </c>
      <c r="E32" s="2"/>
      <c r="F32" s="3"/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4" t="s">
        <v>22</v>
      </c>
      <c r="B33" s="2"/>
      <c r="C33" s="3"/>
      <c r="D33" s="2" t="s">
        <v>22</v>
      </c>
      <c r="E33" s="2"/>
      <c r="F33" s="3"/>
      <c r="G33" s="7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4" t="s">
        <v>23</v>
      </c>
      <c r="B34" s="1" t="s">
        <v>24</v>
      </c>
      <c r="C34" s="3"/>
      <c r="D34" s="2" t="s">
        <v>23</v>
      </c>
      <c r="E34" s="2"/>
      <c r="F34" s="3"/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4" t="s">
        <v>25</v>
      </c>
      <c r="B35" s="1">
        <v>1.65</v>
      </c>
      <c r="C35" s="3"/>
      <c r="D35" s="2" t="s">
        <v>25</v>
      </c>
      <c r="E35" s="2"/>
      <c r="F35" s="3"/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4" t="s">
        <v>26</v>
      </c>
      <c r="B36" s="1" t="s">
        <v>27</v>
      </c>
      <c r="C36" s="3"/>
      <c r="D36" s="2" t="s">
        <v>26</v>
      </c>
      <c r="E36" s="2"/>
      <c r="F36" s="3"/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8" t="s">
        <v>28</v>
      </c>
      <c r="B37" s="8"/>
      <c r="C37" s="3"/>
      <c r="D37" s="8" t="s">
        <v>28</v>
      </c>
      <c r="E37" s="2"/>
      <c r="F37" s="3"/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 t="s">
        <v>29</v>
      </c>
      <c r="B38" s="9"/>
      <c r="C38" s="3"/>
      <c r="D38" s="2" t="s">
        <v>29</v>
      </c>
      <c r="E38" s="2"/>
      <c r="F38" s="3"/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10" t="s">
        <v>30</v>
      </c>
      <c r="C39" s="3"/>
      <c r="D39" s="2"/>
      <c r="E39" s="2"/>
      <c r="F39" s="3"/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3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3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3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3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3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3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3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3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3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3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3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3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3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3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3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3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3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3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3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3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3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3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3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3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3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3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3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3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3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3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3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3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3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3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3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3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3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3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3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3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3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3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3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3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3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3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3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3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3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3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3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3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3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3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3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3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3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3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3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3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3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3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3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3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3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3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3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3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3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3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3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3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3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3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3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3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3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3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3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3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3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3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3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3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3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3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3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3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3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3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3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3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3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3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3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3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3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3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3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3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3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3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3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3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3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3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3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3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3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3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3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3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3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3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3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3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3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3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3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3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3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3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3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3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3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3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3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3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3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3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3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3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3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3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3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3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3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3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3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3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3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3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3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3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3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3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3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3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3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3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3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3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3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3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3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3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3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3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3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3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3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3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3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3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3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3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3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3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3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3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3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3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3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3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3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3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3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3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3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3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3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3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3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3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3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3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3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3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3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3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3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3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3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3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3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3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3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3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3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3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3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3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3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3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3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3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3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3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3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3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3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3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3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3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3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3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3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3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3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3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3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3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3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3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3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3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3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3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3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3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3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3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3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3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3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3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3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3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3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3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3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3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3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3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3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3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3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3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3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3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3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3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3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3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3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3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3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3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3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3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3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3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3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3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3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3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3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3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3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3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3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3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3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3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3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3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3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3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3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3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3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3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3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3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3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3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3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3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3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3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3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3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3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3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3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3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3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3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3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3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3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3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3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3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3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3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3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3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3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3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3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3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3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3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3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3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3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3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3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3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3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3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3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3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3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3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3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3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3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3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3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3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3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3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3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3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3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3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3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3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3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3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3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3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3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3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3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3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3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3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3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3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3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3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3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3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3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3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3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3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3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3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3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3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3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3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3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3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3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3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3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3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3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3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3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3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3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3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3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3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3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3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3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3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3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3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3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3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3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3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3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3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3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3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3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3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3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3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3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3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3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3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3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3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3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3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3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3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3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3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3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3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3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3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3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3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3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3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3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3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3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3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3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3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3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3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3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3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3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3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3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3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3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3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3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3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3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3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3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3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3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3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3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3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3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3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3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3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3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3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3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3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3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3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3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3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3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3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3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3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3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3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3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3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3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3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3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3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3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3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3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3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3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3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3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3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3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3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3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3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3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3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3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3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3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3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3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3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3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3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3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3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3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3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3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3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3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3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3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3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3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3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3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3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3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3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3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3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3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3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3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3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3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3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3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3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3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3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3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3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3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3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3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3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3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3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3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3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3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3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3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3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3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3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3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3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3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3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3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3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3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3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3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3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3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3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3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3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3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3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3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3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3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3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3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3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3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3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3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3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3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3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3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3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3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3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3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3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3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3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3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3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3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3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3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3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3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3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3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3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3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3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3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3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3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3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3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3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3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3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3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3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3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3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3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3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3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3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3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3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3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3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3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3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3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3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3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3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3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3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3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3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3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3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3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3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3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3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3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3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3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3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3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3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3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3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3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3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3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3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3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3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3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3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3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3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3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3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3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3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3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3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3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3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3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3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3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3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3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3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3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3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3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3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3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3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3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3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3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3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3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3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3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3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3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3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3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3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3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3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3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3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3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3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3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3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3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3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3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3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3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3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3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3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3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3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3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3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3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3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3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3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3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3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3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3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3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3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3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3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3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3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3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3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3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3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3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3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3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3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3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3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3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3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3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3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3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3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3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3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3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3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3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3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3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3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3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3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3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3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3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3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3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3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3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3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3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3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3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3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3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3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3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3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3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3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3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3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3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3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3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3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3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3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3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3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3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3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3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3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3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3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3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3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3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3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3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3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3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3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3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3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3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3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3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3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3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3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3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3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3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3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3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3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3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3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3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3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3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3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3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3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3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3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3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3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3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3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3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3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3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3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3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3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3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3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3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3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3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3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3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3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3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3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3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3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3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3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3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3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3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3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3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3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3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3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3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3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3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3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3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3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3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3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3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3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3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3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3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3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3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3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3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3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3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3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3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3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3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3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3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3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3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3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3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3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3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3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3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3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3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3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3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3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3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3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3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3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3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3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3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3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3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3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3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3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3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3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3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3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3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3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3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3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3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3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3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3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3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3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3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3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3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3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3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3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3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3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3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3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3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3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3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3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3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3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3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3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3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3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3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3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3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3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3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3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3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3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3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3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3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3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3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3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3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3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3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3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3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3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3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3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3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3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3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3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3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3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3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3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3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3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3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3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3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3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3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3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3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3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3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3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3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3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3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3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3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3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3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3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3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" t="s">
        <v>31</v>
      </c>
      <c r="B3" s="13" t="s">
        <v>32</v>
      </c>
      <c r="C3" s="13" t="s">
        <v>31</v>
      </c>
      <c r="D3" s="13" t="s">
        <v>33</v>
      </c>
      <c r="E3" s="13" t="s">
        <v>31</v>
      </c>
      <c r="F3" s="13" t="s">
        <v>34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6.38"/>
    <col customWidth="1" min="2" max="2" width="19.5"/>
    <col customWidth="1" min="4" max="4" width="12.75"/>
    <col customWidth="1" min="5" max="5" width="14.13"/>
    <col customWidth="1" min="6" max="6" width="65.5"/>
    <col customWidth="1" min="7" max="7" width="10.5"/>
    <col customWidth="1" min="8" max="8" width="10.38"/>
    <col customWidth="1" min="9" max="9" width="12.25"/>
    <col customWidth="1" min="10" max="11" width="11.0"/>
  </cols>
  <sheetData>
    <row r="1" ht="23.25" customHeight="1">
      <c r="A1" s="14"/>
      <c r="B1" s="15"/>
      <c r="C1" s="16"/>
      <c r="D1" s="15"/>
      <c r="E1" s="15"/>
      <c r="F1" s="17"/>
      <c r="G1" s="15"/>
      <c r="H1" s="17"/>
      <c r="I1" s="18"/>
      <c r="J1" s="19"/>
      <c r="K1" s="19"/>
    </row>
    <row r="2" ht="23.25" customHeight="1">
      <c r="A2" s="20"/>
      <c r="B2" s="15"/>
      <c r="C2" s="16"/>
      <c r="D2" s="15"/>
      <c r="E2" s="15"/>
      <c r="F2" s="17"/>
      <c r="G2" s="15"/>
      <c r="H2" s="17"/>
      <c r="I2" s="18"/>
      <c r="J2" s="19"/>
      <c r="K2" s="19"/>
    </row>
    <row r="3" ht="23.25" customHeight="1">
      <c r="A3" s="20"/>
      <c r="B3" s="21" t="s">
        <v>35</v>
      </c>
      <c r="C3" s="21"/>
      <c r="D3" s="22"/>
      <c r="E3" s="22"/>
      <c r="F3" s="23"/>
      <c r="G3" s="22"/>
      <c r="H3" s="23"/>
      <c r="I3" s="23"/>
      <c r="J3" s="19"/>
      <c r="K3" s="19"/>
    </row>
    <row r="4">
      <c r="A4" s="20"/>
      <c r="B4" s="24" t="s">
        <v>36</v>
      </c>
      <c r="C4" s="24"/>
      <c r="D4" s="25" t="s">
        <v>37</v>
      </c>
      <c r="E4" s="26" t="s">
        <v>38</v>
      </c>
      <c r="F4" s="25" t="s">
        <v>39</v>
      </c>
      <c r="G4" s="27" t="s">
        <v>40</v>
      </c>
      <c r="H4" s="27" t="s">
        <v>41</v>
      </c>
      <c r="I4" s="27" t="s">
        <v>42</v>
      </c>
      <c r="J4" s="19"/>
      <c r="K4" s="19"/>
    </row>
    <row r="5">
      <c r="A5" s="20"/>
      <c r="B5" s="28"/>
      <c r="C5" s="28"/>
      <c r="D5" s="28">
        <v>1.0</v>
      </c>
      <c r="E5" s="29">
        <v>45986.0</v>
      </c>
      <c r="F5" s="30" t="s">
        <v>43</v>
      </c>
      <c r="G5" s="31"/>
      <c r="H5" s="31"/>
      <c r="I5" s="31"/>
      <c r="J5" s="19"/>
      <c r="K5" s="19"/>
    </row>
    <row r="6">
      <c r="A6" s="20"/>
      <c r="B6" s="32"/>
      <c r="C6" s="32"/>
      <c r="D6" s="32"/>
      <c r="E6" s="33"/>
      <c r="F6" s="34" t="s">
        <v>44</v>
      </c>
      <c r="G6" s="35"/>
      <c r="H6" s="36"/>
      <c r="I6" s="36"/>
      <c r="J6" s="19"/>
      <c r="K6" s="19"/>
    </row>
    <row r="7">
      <c r="A7" s="20"/>
      <c r="B7" s="32"/>
      <c r="C7" s="32"/>
      <c r="D7" s="32"/>
      <c r="E7" s="33"/>
      <c r="F7" s="34" t="s">
        <v>45</v>
      </c>
      <c r="G7" s="35"/>
      <c r="H7" s="36"/>
      <c r="I7" s="36"/>
      <c r="J7" s="19"/>
      <c r="K7" s="19"/>
    </row>
    <row r="8">
      <c r="A8" s="20"/>
      <c r="B8" s="32"/>
      <c r="C8" s="32"/>
      <c r="D8" s="32"/>
      <c r="E8" s="33"/>
      <c r="F8" s="34" t="s">
        <v>46</v>
      </c>
      <c r="G8" s="37"/>
      <c r="H8" s="34"/>
      <c r="I8" s="34"/>
      <c r="J8" s="19"/>
      <c r="K8" s="19"/>
    </row>
    <row r="9">
      <c r="A9" s="20"/>
      <c r="B9" s="28"/>
      <c r="C9" s="28"/>
      <c r="D9" s="30">
        <v>2.0</v>
      </c>
      <c r="E9" s="29">
        <v>45987.0</v>
      </c>
      <c r="F9" s="30" t="s">
        <v>47</v>
      </c>
      <c r="G9" s="31"/>
      <c r="H9" s="31"/>
      <c r="I9" s="31"/>
      <c r="J9" s="19"/>
      <c r="K9" s="19"/>
    </row>
    <row r="10">
      <c r="A10" s="38"/>
      <c r="B10" s="32"/>
      <c r="C10" s="39"/>
      <c r="D10" s="32"/>
      <c r="E10" s="37"/>
      <c r="F10" s="40" t="s">
        <v>48</v>
      </c>
      <c r="G10" s="32"/>
      <c r="H10" s="32"/>
      <c r="I10" s="41"/>
      <c r="J10" s="19"/>
      <c r="K10" s="19"/>
    </row>
    <row r="11">
      <c r="A11" s="38"/>
      <c r="B11" s="32"/>
      <c r="C11" s="39"/>
      <c r="D11" s="32"/>
      <c r="E11" s="42" t="s">
        <v>49</v>
      </c>
      <c r="F11" s="43" t="s">
        <v>50</v>
      </c>
      <c r="G11" s="44">
        <v>1.0</v>
      </c>
      <c r="H11" s="44">
        <v>1.0</v>
      </c>
      <c r="I11" s="41"/>
      <c r="J11" s="19"/>
      <c r="K11" s="19"/>
    </row>
    <row r="12">
      <c r="A12" s="38" t="s">
        <v>51</v>
      </c>
      <c r="B12" s="45" t="s">
        <v>52</v>
      </c>
      <c r="C12" s="46" t="s">
        <v>53</v>
      </c>
      <c r="D12" s="32" t="s">
        <v>54</v>
      </c>
      <c r="E12" s="42" t="s">
        <v>55</v>
      </c>
      <c r="F12" s="47" t="s">
        <v>56</v>
      </c>
      <c r="G12" s="32"/>
      <c r="H12" s="32"/>
      <c r="I12" s="41"/>
      <c r="J12" s="19"/>
      <c r="K12" s="19"/>
    </row>
    <row r="13">
      <c r="A13" s="38" t="s">
        <v>51</v>
      </c>
      <c r="B13" s="45" t="s">
        <v>57</v>
      </c>
      <c r="C13" s="48" t="s">
        <v>58</v>
      </c>
      <c r="D13" s="32" t="s">
        <v>54</v>
      </c>
      <c r="E13" s="42" t="s">
        <v>59</v>
      </c>
      <c r="F13" s="47" t="s">
        <v>60</v>
      </c>
      <c r="G13" s="32"/>
      <c r="H13" s="32"/>
      <c r="I13" s="41"/>
      <c r="J13" s="19"/>
      <c r="K13" s="19"/>
    </row>
    <row r="14">
      <c r="A14" s="38" t="s">
        <v>51</v>
      </c>
      <c r="B14" s="45" t="s">
        <v>61</v>
      </c>
      <c r="C14" s="49" t="s">
        <v>62</v>
      </c>
      <c r="D14" s="32" t="s">
        <v>63</v>
      </c>
      <c r="E14" s="42"/>
      <c r="F14" s="47" t="s">
        <v>64</v>
      </c>
      <c r="G14" s="32"/>
      <c r="H14" s="32"/>
      <c r="I14" s="41"/>
      <c r="J14" s="19"/>
      <c r="K14" s="19"/>
    </row>
    <row r="15">
      <c r="A15" s="20"/>
      <c r="B15" s="32"/>
      <c r="C15" s="39"/>
      <c r="D15" s="32"/>
      <c r="E15" s="42"/>
      <c r="F15" s="50" t="s">
        <v>65</v>
      </c>
      <c r="G15" s="51"/>
      <c r="H15" s="52"/>
      <c r="I15" s="41"/>
      <c r="J15" s="19"/>
      <c r="K15" s="19"/>
    </row>
    <row r="16">
      <c r="A16" s="20"/>
      <c r="B16" s="32"/>
      <c r="C16" s="39"/>
      <c r="D16" s="32"/>
      <c r="E16" s="42" t="s">
        <v>66</v>
      </c>
      <c r="F16" s="53" t="s">
        <v>67</v>
      </c>
      <c r="G16" s="51"/>
      <c r="H16" s="52">
        <v>1.0</v>
      </c>
      <c r="I16" s="41"/>
      <c r="J16" s="19"/>
      <c r="K16" s="19"/>
    </row>
    <row r="17">
      <c r="A17" s="38" t="s">
        <v>68</v>
      </c>
      <c r="B17" s="45" t="s">
        <v>69</v>
      </c>
      <c r="C17" s="48" t="s">
        <v>58</v>
      </c>
      <c r="D17" s="32" t="s">
        <v>63</v>
      </c>
      <c r="E17" s="42" t="s">
        <v>70</v>
      </c>
      <c r="F17" s="47" t="s">
        <v>71</v>
      </c>
      <c r="G17" s="54"/>
      <c r="H17" s="42"/>
      <c r="I17" s="54"/>
      <c r="J17" s="19"/>
      <c r="K17" s="19"/>
    </row>
    <row r="18">
      <c r="A18" s="20"/>
      <c r="B18" s="42"/>
      <c r="C18" s="39"/>
      <c r="D18" s="42"/>
      <c r="E18" s="42"/>
      <c r="F18" s="43" t="s">
        <v>72</v>
      </c>
      <c r="G18" s="51"/>
      <c r="H18" s="52">
        <v>1.0</v>
      </c>
      <c r="I18" s="54"/>
      <c r="J18" s="19"/>
      <c r="K18" s="19"/>
    </row>
    <row r="19">
      <c r="A19" s="20"/>
      <c r="B19" s="28"/>
      <c r="C19" s="28"/>
      <c r="D19" s="30">
        <v>3.0</v>
      </c>
      <c r="E19" s="55">
        <v>45988.0</v>
      </c>
      <c r="F19" s="30" t="s">
        <v>73</v>
      </c>
      <c r="G19" s="56"/>
      <c r="H19" s="31"/>
      <c r="I19" s="31"/>
      <c r="J19" s="19"/>
      <c r="K19" s="19"/>
    </row>
    <row r="20">
      <c r="A20" s="20"/>
      <c r="B20" s="32"/>
      <c r="C20" s="32"/>
      <c r="D20" s="32"/>
      <c r="E20" s="57"/>
      <c r="F20" s="34" t="s">
        <v>74</v>
      </c>
      <c r="G20" s="37"/>
      <c r="H20" s="41"/>
      <c r="I20" s="41"/>
      <c r="J20" s="19"/>
      <c r="K20" s="19"/>
    </row>
    <row r="21">
      <c r="A21" s="20"/>
      <c r="B21" s="32"/>
      <c r="C21" s="32"/>
      <c r="D21" s="32"/>
      <c r="E21" s="42" t="s">
        <v>75</v>
      </c>
      <c r="F21" s="43" t="s">
        <v>50</v>
      </c>
      <c r="G21" s="52">
        <v>0.5</v>
      </c>
      <c r="H21" s="52">
        <v>1.0</v>
      </c>
      <c r="I21" s="41"/>
      <c r="J21" s="19"/>
      <c r="K21" s="19"/>
    </row>
    <row r="22">
      <c r="A22" s="38" t="s">
        <v>76</v>
      </c>
      <c r="B22" s="44" t="s">
        <v>77</v>
      </c>
      <c r="C22" s="49" t="s">
        <v>62</v>
      </c>
      <c r="D22" s="32" t="s">
        <v>63</v>
      </c>
      <c r="E22" s="52"/>
      <c r="F22" s="58" t="s">
        <v>78</v>
      </c>
      <c r="G22" s="52"/>
      <c r="H22" s="52"/>
      <c r="I22" s="41"/>
      <c r="J22" s="19"/>
      <c r="K22" s="19"/>
    </row>
    <row r="23">
      <c r="A23" s="20"/>
      <c r="B23" s="44" t="s">
        <v>77</v>
      </c>
      <c r="C23" s="32"/>
      <c r="D23" s="32" t="s">
        <v>63</v>
      </c>
      <c r="E23" s="52"/>
      <c r="F23" s="58" t="s">
        <v>79</v>
      </c>
      <c r="G23" s="52"/>
      <c r="H23" s="52"/>
      <c r="I23" s="41"/>
      <c r="J23" s="19"/>
      <c r="K23" s="19"/>
    </row>
    <row r="24">
      <c r="A24" s="20"/>
      <c r="B24" s="44" t="s">
        <v>77</v>
      </c>
      <c r="C24" s="32"/>
      <c r="D24" s="32" t="s">
        <v>63</v>
      </c>
      <c r="E24" s="52"/>
      <c r="F24" s="58" t="s">
        <v>80</v>
      </c>
      <c r="G24" s="32"/>
      <c r="H24" s="59"/>
      <c r="I24" s="41"/>
      <c r="J24" s="19"/>
      <c r="K24" s="19"/>
    </row>
    <row r="25">
      <c r="A25" s="20"/>
      <c r="B25" s="44" t="s">
        <v>77</v>
      </c>
      <c r="C25" s="32"/>
      <c r="D25" s="32" t="s">
        <v>63</v>
      </c>
      <c r="E25" s="52"/>
      <c r="F25" s="47" t="s">
        <v>81</v>
      </c>
      <c r="G25" s="32"/>
      <c r="H25" s="59"/>
      <c r="I25" s="41"/>
      <c r="J25" s="19"/>
      <c r="K25" s="19"/>
    </row>
    <row r="26">
      <c r="A26" s="20"/>
      <c r="B26" s="44" t="s">
        <v>77</v>
      </c>
      <c r="C26" s="32"/>
      <c r="D26" s="32" t="s">
        <v>63</v>
      </c>
      <c r="E26" s="52"/>
      <c r="F26" s="58" t="s">
        <v>82</v>
      </c>
      <c r="G26" s="32"/>
      <c r="H26" s="59"/>
      <c r="I26" s="41"/>
      <c r="J26" s="19"/>
      <c r="K26" s="19"/>
    </row>
    <row r="27">
      <c r="A27" s="20"/>
      <c r="B27" s="44" t="s">
        <v>77</v>
      </c>
      <c r="C27" s="32"/>
      <c r="D27" s="32" t="s">
        <v>63</v>
      </c>
      <c r="E27" s="52"/>
      <c r="F27" s="58" t="s">
        <v>83</v>
      </c>
      <c r="G27" s="59"/>
      <c r="H27" s="59"/>
      <c r="I27" s="41"/>
      <c r="J27" s="19"/>
      <c r="K27" s="19"/>
    </row>
    <row r="28">
      <c r="A28" s="20"/>
      <c r="B28" s="44" t="s">
        <v>77</v>
      </c>
      <c r="C28" s="32"/>
      <c r="D28" s="32" t="s">
        <v>63</v>
      </c>
      <c r="E28" s="52"/>
      <c r="F28" s="47" t="s">
        <v>84</v>
      </c>
      <c r="G28" s="59"/>
      <c r="H28" s="59"/>
      <c r="I28" s="41"/>
      <c r="J28" s="19"/>
      <c r="K28" s="19"/>
    </row>
    <row r="29">
      <c r="A29" s="20"/>
      <c r="B29" s="44" t="s">
        <v>77</v>
      </c>
      <c r="C29" s="32"/>
      <c r="D29" s="32" t="s">
        <v>63</v>
      </c>
      <c r="E29" s="52"/>
      <c r="F29" s="58" t="s">
        <v>85</v>
      </c>
      <c r="G29" s="52"/>
      <c r="H29" s="52"/>
      <c r="I29" s="57"/>
      <c r="J29" s="19"/>
      <c r="K29" s="19"/>
    </row>
    <row r="30">
      <c r="A30" s="20"/>
      <c r="B30" s="32"/>
      <c r="C30" s="32"/>
      <c r="D30" s="32"/>
      <c r="E30" s="42" t="s">
        <v>86</v>
      </c>
      <c r="F30" s="43" t="s">
        <v>72</v>
      </c>
      <c r="G30" s="32"/>
      <c r="H30" s="52">
        <v>1.0</v>
      </c>
      <c r="I30" s="57"/>
      <c r="J30" s="19"/>
      <c r="K30" s="19"/>
    </row>
    <row r="31">
      <c r="A31" s="20"/>
      <c r="B31" s="32"/>
      <c r="C31" s="32"/>
      <c r="D31" s="32"/>
      <c r="E31" s="32"/>
      <c r="F31" s="34" t="s">
        <v>87</v>
      </c>
      <c r="G31" s="32"/>
      <c r="H31" s="32"/>
      <c r="I31" s="57"/>
      <c r="J31" s="19"/>
      <c r="K31" s="19"/>
    </row>
    <row r="32">
      <c r="A32" s="38" t="s">
        <v>51</v>
      </c>
      <c r="B32" s="45" t="s">
        <v>57</v>
      </c>
      <c r="C32" s="49" t="s">
        <v>62</v>
      </c>
      <c r="D32" s="32"/>
      <c r="E32" s="32"/>
      <c r="F32" s="47" t="s">
        <v>60</v>
      </c>
      <c r="G32" s="56"/>
      <c r="H32" s="60"/>
      <c r="I32" s="60"/>
      <c r="J32" s="19"/>
      <c r="K32" s="19"/>
    </row>
    <row r="33">
      <c r="A33" s="20"/>
      <c r="B33" s="28"/>
      <c r="C33" s="28"/>
      <c r="D33" s="30">
        <v>4.0</v>
      </c>
      <c r="E33" s="55">
        <v>45989.0</v>
      </c>
      <c r="F33" s="30" t="s">
        <v>88</v>
      </c>
      <c r="G33" s="56"/>
      <c r="H33" s="60"/>
      <c r="I33" s="60"/>
      <c r="J33" s="19"/>
      <c r="K33" s="19"/>
    </row>
    <row r="34">
      <c r="A34" s="20"/>
      <c r="B34" s="32"/>
      <c r="C34" s="32"/>
      <c r="D34" s="32"/>
      <c r="E34" s="57"/>
      <c r="F34" s="50" t="s">
        <v>89</v>
      </c>
      <c r="G34" s="37"/>
      <c r="H34" s="57"/>
      <c r="I34" s="57"/>
      <c r="J34" s="19"/>
      <c r="K34" s="19"/>
    </row>
    <row r="35">
      <c r="A35" s="20"/>
      <c r="B35" s="32"/>
      <c r="C35" s="32"/>
      <c r="D35" s="32"/>
      <c r="E35" s="42"/>
      <c r="F35" s="50" t="s">
        <v>90</v>
      </c>
      <c r="G35" s="52"/>
      <c r="H35" s="52"/>
      <c r="I35" s="57"/>
      <c r="J35" s="19"/>
      <c r="K35" s="19"/>
    </row>
    <row r="36">
      <c r="A36" s="20"/>
      <c r="B36" s="32"/>
      <c r="C36" s="32"/>
      <c r="D36" s="32"/>
      <c r="E36" s="42"/>
      <c r="F36" s="43" t="s">
        <v>50</v>
      </c>
      <c r="G36" s="52">
        <v>0.5</v>
      </c>
      <c r="H36" s="52">
        <v>1.0</v>
      </c>
      <c r="I36" s="57"/>
      <c r="J36" s="19"/>
      <c r="K36" s="19"/>
    </row>
    <row r="37">
      <c r="A37" s="38" t="s">
        <v>91</v>
      </c>
      <c r="B37" s="44" t="s">
        <v>92</v>
      </c>
      <c r="C37" s="49" t="s">
        <v>62</v>
      </c>
      <c r="D37" s="32" t="s">
        <v>63</v>
      </c>
      <c r="E37" s="42" t="s">
        <v>93</v>
      </c>
      <c r="F37" s="47" t="s">
        <v>94</v>
      </c>
      <c r="G37" s="52"/>
      <c r="H37" s="52"/>
      <c r="I37" s="57"/>
      <c r="J37" s="19"/>
      <c r="K37" s="19"/>
    </row>
    <row r="38">
      <c r="A38" s="38" t="s">
        <v>91</v>
      </c>
      <c r="B38" s="32"/>
      <c r="C38" s="49" t="s">
        <v>62</v>
      </c>
      <c r="D38" s="32" t="s">
        <v>63</v>
      </c>
      <c r="E38" s="42"/>
      <c r="F38" s="47" t="s">
        <v>95</v>
      </c>
      <c r="G38" s="61"/>
      <c r="H38" s="61"/>
      <c r="I38" s="61"/>
      <c r="J38" s="19"/>
      <c r="K38" s="19"/>
    </row>
    <row r="39">
      <c r="A39" s="20"/>
      <c r="B39" s="32"/>
      <c r="C39" s="32"/>
      <c r="D39" s="32"/>
      <c r="E39" s="32"/>
      <c r="F39" s="43" t="s">
        <v>72</v>
      </c>
      <c r="G39" s="32"/>
      <c r="H39" s="52">
        <v>1.0</v>
      </c>
      <c r="I39" s="32"/>
      <c r="J39" s="19"/>
      <c r="K39" s="19"/>
    </row>
    <row r="40">
      <c r="A40" s="20"/>
      <c r="B40" s="28"/>
      <c r="C40" s="28"/>
      <c r="D40" s="30">
        <v>5.0</v>
      </c>
      <c r="E40" s="55">
        <v>45990.0</v>
      </c>
      <c r="F40" s="30" t="s">
        <v>96</v>
      </c>
      <c r="G40" s="56"/>
      <c r="H40" s="60"/>
      <c r="I40" s="60"/>
      <c r="J40" s="19"/>
      <c r="K40" s="19"/>
    </row>
    <row r="41">
      <c r="A41" s="20"/>
      <c r="B41" s="28"/>
      <c r="C41" s="28"/>
      <c r="D41" s="30">
        <v>6.0</v>
      </c>
      <c r="E41" s="55">
        <v>45991.0</v>
      </c>
      <c r="F41" s="30" t="s">
        <v>97</v>
      </c>
      <c r="G41" s="56"/>
      <c r="H41" s="60"/>
      <c r="I41" s="60"/>
      <c r="J41" s="19"/>
      <c r="K41" s="19"/>
    </row>
    <row r="42">
      <c r="A42" s="20"/>
      <c r="B42" s="28"/>
      <c r="C42" s="28"/>
      <c r="D42" s="30">
        <v>7.0</v>
      </c>
      <c r="E42" s="55">
        <v>45992.0</v>
      </c>
      <c r="F42" s="30" t="s">
        <v>98</v>
      </c>
      <c r="G42" s="56"/>
      <c r="H42" s="60"/>
      <c r="I42" s="60"/>
      <c r="J42" s="19"/>
      <c r="K42" s="19"/>
    </row>
    <row r="43">
      <c r="A43" s="20"/>
      <c r="B43" s="28"/>
      <c r="C43" s="28"/>
      <c r="D43" s="30">
        <v>8.0</v>
      </c>
      <c r="E43" s="55">
        <v>45993.0</v>
      </c>
      <c r="F43" s="30" t="s">
        <v>43</v>
      </c>
      <c r="G43" s="56"/>
      <c r="H43" s="31"/>
      <c r="I43" s="31"/>
      <c r="J43" s="19"/>
      <c r="K43" s="19"/>
    </row>
    <row r="44">
      <c r="A44" s="20"/>
      <c r="B44" s="32"/>
      <c r="C44" s="32"/>
      <c r="D44" s="32"/>
      <c r="E44" s="37"/>
      <c r="F44" s="62" t="s">
        <v>99</v>
      </c>
      <c r="G44" s="32"/>
      <c r="H44" s="32"/>
      <c r="I44" s="32"/>
      <c r="J44" s="19"/>
      <c r="K44" s="19"/>
    </row>
    <row r="45">
      <c r="A45" s="20"/>
      <c r="B45" s="32"/>
      <c r="C45" s="32"/>
      <c r="D45" s="32"/>
      <c r="E45" s="37"/>
      <c r="F45" s="62" t="s">
        <v>100</v>
      </c>
      <c r="G45" s="32"/>
      <c r="H45" s="32"/>
      <c r="I45" s="32"/>
      <c r="J45" s="19"/>
      <c r="K45" s="19"/>
    </row>
    <row r="46" ht="23.25" customHeight="1">
      <c r="A46" s="20"/>
      <c r="B46" s="15"/>
      <c r="C46" s="16"/>
      <c r="D46" s="63"/>
      <c r="E46" s="15"/>
      <c r="F46" s="19"/>
      <c r="G46" s="64">
        <f t="shared" ref="G46:I46" si="1">SUM(G5:G45)</f>
        <v>2</v>
      </c>
      <c r="H46" s="64">
        <f t="shared" si="1"/>
        <v>7</v>
      </c>
      <c r="I46" s="64">
        <f t="shared" si="1"/>
        <v>0</v>
      </c>
      <c r="J46" s="19"/>
      <c r="K46" s="19"/>
    </row>
    <row r="47" ht="23.25" customHeight="1">
      <c r="A47" s="20"/>
      <c r="B47" s="15"/>
      <c r="C47" s="16"/>
      <c r="D47" s="63"/>
      <c r="E47" s="15"/>
      <c r="F47" s="65" t="s">
        <v>101</v>
      </c>
      <c r="G47" s="64">
        <f>(0.75*2)</f>
        <v>1.5</v>
      </c>
      <c r="H47" s="64">
        <f>(4*2)</f>
        <v>8</v>
      </c>
      <c r="I47" s="65">
        <v>0.0</v>
      </c>
      <c r="J47" s="19"/>
      <c r="K47" s="19"/>
    </row>
    <row r="48" ht="23.25" customHeight="1">
      <c r="A48" s="20"/>
      <c r="B48" s="15"/>
      <c r="C48" s="16"/>
      <c r="D48" s="63"/>
      <c r="E48" s="15"/>
      <c r="F48" s="19"/>
      <c r="G48" s="64">
        <f t="shared" ref="G48:I48" si="2">G46-G47</f>
        <v>0.5</v>
      </c>
      <c r="H48" s="64">
        <f t="shared" si="2"/>
        <v>-1</v>
      </c>
      <c r="I48" s="64">
        <f t="shared" si="2"/>
        <v>0</v>
      </c>
      <c r="J48" s="19"/>
      <c r="K48" s="19"/>
    </row>
    <row r="49" ht="23.25" customHeight="1">
      <c r="A49" s="20"/>
      <c r="B49" s="15"/>
      <c r="C49" s="16"/>
      <c r="D49" s="63"/>
      <c r="E49" s="15"/>
      <c r="F49" s="19"/>
      <c r="G49" s="64"/>
      <c r="H49" s="19"/>
      <c r="I49" s="19"/>
      <c r="J49" s="19"/>
      <c r="K49" s="19"/>
    </row>
    <row r="50" ht="23.25" customHeight="1">
      <c r="A50" s="20"/>
      <c r="B50" s="15"/>
      <c r="C50" s="16"/>
      <c r="D50" s="63"/>
      <c r="E50" s="15"/>
      <c r="F50" s="19"/>
      <c r="G50" s="64"/>
      <c r="H50" s="19"/>
      <c r="I50" s="19"/>
      <c r="J50" s="19"/>
      <c r="K5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15.0"/>
    <col customWidth="1" min="5" max="5" width="8.63"/>
    <col customWidth="1" min="6" max="6" width="38.38"/>
    <col customWidth="1" min="7" max="7" width="8.88"/>
    <col customWidth="1" min="8" max="8" width="9.0"/>
    <col customWidth="1" min="9" max="9" width="8.75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10.13"/>
    <col customWidth="1" min="16" max="16" width="8.0"/>
    <col customWidth="1" min="17" max="17" width="0.63"/>
    <col customWidth="1" min="18" max="18" width="11.38"/>
    <col customWidth="1" min="19" max="19" width="7.63"/>
    <col customWidth="1" min="20" max="20" width="9.13"/>
    <col customWidth="1" min="21" max="21" width="12.38"/>
    <col customWidth="1" min="22" max="22" width="7.63"/>
    <col customWidth="1" min="23" max="23" width="16.38"/>
    <col customWidth="1" min="24" max="24" width="14.5"/>
    <col customWidth="1" min="25" max="25" width="11.25"/>
    <col customWidth="1" min="26" max="26" width="27.63"/>
    <col customWidth="1" min="27" max="27" width="15.0"/>
    <col customWidth="1" min="28" max="28" width="19.5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11"/>
      <c r="B1" s="11"/>
      <c r="C1" s="11"/>
      <c r="D1" s="66"/>
      <c r="E1" s="11"/>
      <c r="F1" s="11"/>
      <c r="G1" s="11"/>
      <c r="H1" s="11"/>
      <c r="I1" s="67"/>
      <c r="J1" s="11"/>
      <c r="K1" s="11"/>
      <c r="L1" s="68"/>
      <c r="M1" s="68"/>
      <c r="N1" s="68"/>
      <c r="O1" s="68"/>
      <c r="P1" s="68"/>
      <c r="Q1" s="68"/>
      <c r="R1" s="11"/>
      <c r="S1" s="11"/>
      <c r="T1" s="11"/>
      <c r="U1" s="69"/>
      <c r="V1" s="70"/>
      <c r="W1" s="69"/>
      <c r="X1" s="69"/>
      <c r="Y1" s="70"/>
      <c r="Z1" s="69"/>
      <c r="AA1" s="69"/>
      <c r="AB1" s="69"/>
      <c r="AC1" s="69"/>
      <c r="AD1" s="11"/>
      <c r="AE1" s="11"/>
      <c r="AF1" s="11"/>
      <c r="AG1" s="11"/>
      <c r="AH1" s="71"/>
    </row>
    <row r="2" ht="15.75" customHeight="1">
      <c r="A2" s="11"/>
      <c r="B2" s="11"/>
      <c r="C2" s="11"/>
      <c r="D2" s="66"/>
      <c r="E2" s="11"/>
      <c r="F2" s="11"/>
      <c r="G2" s="11"/>
      <c r="H2" s="11"/>
      <c r="I2" s="67"/>
      <c r="J2" s="11"/>
      <c r="K2" s="11"/>
      <c r="L2" s="68"/>
      <c r="M2" s="11"/>
      <c r="N2" s="11"/>
      <c r="O2" s="11"/>
      <c r="P2" s="11"/>
      <c r="Q2" s="11"/>
      <c r="R2" s="11"/>
      <c r="S2" s="11"/>
      <c r="T2" s="11"/>
      <c r="U2" s="69"/>
      <c r="V2" s="70"/>
      <c r="W2" s="69"/>
      <c r="X2" s="69"/>
      <c r="Y2" s="70"/>
      <c r="Z2" s="72" t="s">
        <v>102</v>
      </c>
      <c r="AA2" s="69"/>
      <c r="AB2" s="69"/>
      <c r="AC2" s="69"/>
      <c r="AD2" s="11"/>
      <c r="AE2" s="11"/>
      <c r="AF2" s="11"/>
      <c r="AG2" s="11"/>
      <c r="AH2" s="71"/>
    </row>
    <row r="3">
      <c r="A3" s="11"/>
      <c r="B3" s="73"/>
      <c r="C3" s="73"/>
      <c r="D3" s="74" t="s">
        <v>103</v>
      </c>
      <c r="E3" s="73"/>
      <c r="F3" s="73"/>
      <c r="G3" s="73"/>
      <c r="H3" s="73"/>
      <c r="I3" s="75"/>
      <c r="J3" s="76"/>
      <c r="K3" s="76"/>
      <c r="L3" s="68"/>
      <c r="M3" s="77"/>
      <c r="N3" s="77"/>
      <c r="O3" s="77"/>
      <c r="P3" s="78"/>
      <c r="Q3" s="70"/>
      <c r="R3" s="79" t="s">
        <v>103</v>
      </c>
      <c r="S3" s="80"/>
      <c r="T3" s="80"/>
      <c r="U3" s="80"/>
      <c r="V3" s="70"/>
      <c r="W3" s="81" t="s">
        <v>104</v>
      </c>
      <c r="X3" s="82"/>
      <c r="Y3" s="70"/>
      <c r="Z3" s="83" t="s">
        <v>103</v>
      </c>
      <c r="AA3" s="84"/>
      <c r="AB3" s="84"/>
      <c r="AC3" s="84"/>
      <c r="AD3" s="78"/>
      <c r="AE3" s="78"/>
      <c r="AF3" s="78"/>
      <c r="AG3" s="11"/>
      <c r="AH3" s="71"/>
    </row>
    <row r="4">
      <c r="A4" s="11"/>
      <c r="B4" s="85" t="s">
        <v>1</v>
      </c>
      <c r="C4" s="85" t="s">
        <v>105</v>
      </c>
      <c r="D4" s="86" t="s">
        <v>106</v>
      </c>
      <c r="E4" s="87" t="s">
        <v>107</v>
      </c>
      <c r="F4" s="88" t="s">
        <v>108</v>
      </c>
      <c r="G4" s="87" t="s">
        <v>109</v>
      </c>
      <c r="H4" s="89" t="s">
        <v>110</v>
      </c>
      <c r="I4" s="90" t="s">
        <v>111</v>
      </c>
      <c r="J4" s="85" t="s">
        <v>1</v>
      </c>
      <c r="K4" s="85" t="s">
        <v>105</v>
      </c>
      <c r="L4" s="68"/>
      <c r="M4" s="85" t="s">
        <v>1</v>
      </c>
      <c r="N4" s="85" t="s">
        <v>105</v>
      </c>
      <c r="O4" s="85" t="s">
        <v>1</v>
      </c>
      <c r="P4" s="85" t="s">
        <v>105</v>
      </c>
      <c r="Q4" s="70"/>
      <c r="R4" s="85" t="s">
        <v>1</v>
      </c>
      <c r="S4" s="85" t="s">
        <v>105</v>
      </c>
      <c r="T4" s="91" t="s">
        <v>112</v>
      </c>
      <c r="U4" s="92" t="s">
        <v>113</v>
      </c>
      <c r="V4" s="70"/>
      <c r="W4" s="93" t="s">
        <v>114</v>
      </c>
      <c r="X4" s="94" t="s">
        <v>115</v>
      </c>
      <c r="Y4" s="70"/>
      <c r="Z4" s="95" t="s">
        <v>116</v>
      </c>
      <c r="AA4" s="96" t="s">
        <v>117</v>
      </c>
      <c r="AB4" s="96" t="s">
        <v>118</v>
      </c>
      <c r="AC4" s="96" t="s">
        <v>119</v>
      </c>
      <c r="AD4" s="96" t="s">
        <v>120</v>
      </c>
      <c r="AE4" s="96" t="s">
        <v>121</v>
      </c>
      <c r="AF4" s="96" t="s">
        <v>122</v>
      </c>
      <c r="AG4" s="97"/>
      <c r="AH4" s="71"/>
    </row>
    <row r="5">
      <c r="A5" s="11"/>
      <c r="B5" s="98" t="s">
        <v>1</v>
      </c>
      <c r="C5" s="98" t="s">
        <v>105</v>
      </c>
      <c r="D5" s="66"/>
      <c r="E5" s="11"/>
      <c r="F5" s="99" t="s">
        <v>123</v>
      </c>
      <c r="G5" s="100" t="s">
        <v>124</v>
      </c>
      <c r="H5" s="101">
        <v>3500.0</v>
      </c>
      <c r="I5" s="44">
        <v>6.0</v>
      </c>
      <c r="J5" s="101">
        <f t="shared" ref="J5:J8" si="3">H5*I5</f>
        <v>21000</v>
      </c>
      <c r="K5" s="101">
        <f>H5*I5</f>
        <v>21000</v>
      </c>
      <c r="L5" s="68"/>
      <c r="M5" s="101">
        <f t="shared" ref="M5:N5" si="1">J5/0.7</f>
        <v>30000</v>
      </c>
      <c r="N5" s="101">
        <f t="shared" si="1"/>
        <v>30000</v>
      </c>
      <c r="O5" s="102">
        <f t="shared" ref="O5:P5" si="2">M5/$I$70</f>
        <v>8.108108108</v>
      </c>
      <c r="P5" s="102">
        <f t="shared" si="2"/>
        <v>8.108108108</v>
      </c>
      <c r="Q5" s="68"/>
      <c r="R5" s="103"/>
      <c r="S5" s="103"/>
      <c r="T5" s="103"/>
      <c r="U5" s="103"/>
      <c r="V5" s="70"/>
      <c r="W5" s="104"/>
      <c r="X5" s="104"/>
      <c r="Y5" s="70"/>
      <c r="Z5" s="105"/>
      <c r="AA5" s="106"/>
      <c r="AB5" s="105"/>
      <c r="AC5" s="106"/>
      <c r="AD5" s="107"/>
      <c r="AE5" s="107"/>
      <c r="AF5" s="107"/>
      <c r="AG5" s="11"/>
      <c r="AH5" s="71"/>
    </row>
    <row r="6">
      <c r="A6" s="11"/>
      <c r="B6" s="14"/>
      <c r="C6" s="14"/>
      <c r="D6" s="66"/>
      <c r="E6" s="11"/>
      <c r="F6" s="108" t="s">
        <v>125</v>
      </c>
      <c r="G6" s="109"/>
      <c r="H6" s="101">
        <v>7000.0</v>
      </c>
      <c r="I6" s="44">
        <v>0.0</v>
      </c>
      <c r="J6" s="101">
        <f t="shared" si="3"/>
        <v>0</v>
      </c>
      <c r="K6" s="101"/>
      <c r="L6" s="68"/>
      <c r="M6" s="101">
        <f t="shared" ref="M6:M7" si="4">J6/0.7</f>
        <v>0</v>
      </c>
      <c r="N6" s="101"/>
      <c r="O6" s="110">
        <f t="shared" ref="O6:O8" si="5">M6/$I$70</f>
        <v>0</v>
      </c>
      <c r="P6" s="110"/>
      <c r="Q6" s="68"/>
      <c r="R6" s="103"/>
      <c r="S6" s="103"/>
      <c r="T6" s="103"/>
      <c r="U6" s="103"/>
      <c r="V6" s="70"/>
      <c r="W6" s="104"/>
      <c r="X6" s="104"/>
      <c r="Y6" s="70"/>
      <c r="Z6" s="105"/>
      <c r="AA6" s="106"/>
      <c r="AB6" s="105"/>
      <c r="AC6" s="106"/>
      <c r="AD6" s="107"/>
      <c r="AE6" s="107"/>
      <c r="AF6" s="107"/>
      <c r="AG6" s="11"/>
      <c r="AH6" s="71"/>
    </row>
    <row r="7">
      <c r="A7" s="11"/>
      <c r="B7" s="14"/>
      <c r="C7" s="14"/>
      <c r="D7" s="66"/>
      <c r="E7" s="11"/>
      <c r="F7" s="108" t="s">
        <v>126</v>
      </c>
      <c r="G7" s="109"/>
      <c r="H7" s="101">
        <v>12000.0</v>
      </c>
      <c r="I7" s="44">
        <v>0.0</v>
      </c>
      <c r="J7" s="101">
        <f t="shared" si="3"/>
        <v>0</v>
      </c>
      <c r="K7" s="101"/>
      <c r="L7" s="68"/>
      <c r="M7" s="101">
        <f t="shared" si="4"/>
        <v>0</v>
      </c>
      <c r="N7" s="101"/>
      <c r="O7" s="110">
        <f t="shared" si="5"/>
        <v>0</v>
      </c>
      <c r="P7" s="110"/>
      <c r="Q7" s="68"/>
      <c r="R7" s="111"/>
      <c r="S7" s="111"/>
      <c r="T7" s="111"/>
      <c r="U7" s="111"/>
      <c r="V7" s="70"/>
      <c r="W7" s="111"/>
      <c r="X7" s="111"/>
      <c r="Y7" s="70"/>
      <c r="Z7" s="111"/>
      <c r="AA7" s="111"/>
      <c r="AB7" s="111"/>
      <c r="AC7" s="111"/>
      <c r="AD7" s="111"/>
      <c r="AE7" s="111"/>
      <c r="AF7" s="111"/>
      <c r="AG7" s="11"/>
      <c r="AH7" s="71"/>
    </row>
    <row r="8">
      <c r="A8" s="11"/>
      <c r="B8" s="14"/>
      <c r="C8" s="14"/>
      <c r="D8" s="66"/>
      <c r="E8" s="11"/>
      <c r="F8" s="112" t="s">
        <v>127</v>
      </c>
      <c r="G8" s="109"/>
      <c r="H8" s="101">
        <v>151000.0</v>
      </c>
      <c r="I8" s="44">
        <v>0.0</v>
      </c>
      <c r="J8" s="101">
        <f t="shared" si="3"/>
        <v>0</v>
      </c>
      <c r="K8" s="101"/>
      <c r="L8" s="68"/>
      <c r="M8" s="101">
        <f>J8/0.95</f>
        <v>0</v>
      </c>
      <c r="N8" s="101"/>
      <c r="O8" s="110">
        <f t="shared" si="5"/>
        <v>0</v>
      </c>
      <c r="P8" s="110"/>
      <c r="Q8" s="68"/>
      <c r="R8" s="111"/>
      <c r="S8" s="111"/>
      <c r="T8" s="111"/>
      <c r="U8" s="111"/>
      <c r="V8" s="70"/>
      <c r="W8" s="111"/>
      <c r="X8" s="111"/>
      <c r="Y8" s="70"/>
      <c r="Z8" s="111"/>
      <c r="AA8" s="111"/>
      <c r="AB8" s="111"/>
      <c r="AC8" s="111"/>
      <c r="AD8" s="111"/>
      <c r="AE8" s="111"/>
      <c r="AF8" s="111"/>
      <c r="AG8" s="11"/>
      <c r="AH8" s="71"/>
    </row>
    <row r="9">
      <c r="A9" s="11"/>
      <c r="B9" s="113"/>
      <c r="C9" s="113"/>
      <c r="D9" s="114"/>
      <c r="E9" s="113"/>
      <c r="F9" s="115" t="s">
        <v>128</v>
      </c>
      <c r="G9" s="116"/>
      <c r="H9" s="116"/>
      <c r="I9" s="117"/>
      <c r="J9" s="118">
        <v>1350000.0</v>
      </c>
      <c r="K9" s="118">
        <v>1350000.0</v>
      </c>
      <c r="L9" s="68"/>
      <c r="M9" s="116"/>
      <c r="N9" s="116"/>
      <c r="O9" s="119">
        <v>485.0</v>
      </c>
      <c r="P9" s="119">
        <v>485.0</v>
      </c>
      <c r="Q9" s="68"/>
      <c r="R9" s="111"/>
      <c r="S9" s="111"/>
      <c r="T9" s="111"/>
      <c r="U9" s="111"/>
      <c r="V9" s="70"/>
      <c r="W9" s="111"/>
      <c r="X9" s="111"/>
      <c r="Y9" s="70"/>
      <c r="Z9" s="111"/>
      <c r="AA9" s="111"/>
      <c r="AB9" s="111"/>
      <c r="AC9" s="111"/>
      <c r="AD9" s="111"/>
      <c r="AE9" s="111"/>
      <c r="AF9" s="111"/>
      <c r="AG9" s="68"/>
      <c r="AH9" s="71"/>
    </row>
    <row r="10">
      <c r="A10" s="11"/>
      <c r="B10" s="113"/>
      <c r="C10" s="113"/>
      <c r="D10" s="114"/>
      <c r="E10" s="113"/>
      <c r="F10" s="120" t="s">
        <v>32</v>
      </c>
      <c r="G10" s="121"/>
      <c r="H10" s="121"/>
      <c r="I10" s="122"/>
      <c r="J10" s="121"/>
      <c r="K10" s="121"/>
      <c r="L10" s="68"/>
      <c r="M10" s="121"/>
      <c r="N10" s="121"/>
      <c r="O10" s="121"/>
      <c r="P10" s="121"/>
      <c r="Q10" s="68"/>
      <c r="R10" s="103"/>
      <c r="S10" s="103"/>
      <c r="T10" s="103"/>
      <c r="U10" s="103"/>
      <c r="V10" s="70"/>
      <c r="W10" s="104"/>
      <c r="X10" s="104"/>
      <c r="Y10" s="70"/>
      <c r="Z10" s="123"/>
      <c r="AA10" s="124"/>
      <c r="AB10" s="124"/>
      <c r="AC10" s="125"/>
      <c r="AD10" s="125"/>
      <c r="AE10" s="126"/>
      <c r="AF10" s="127"/>
      <c r="AG10" s="11"/>
      <c r="AH10" s="71"/>
    </row>
    <row r="11">
      <c r="A11" s="11"/>
      <c r="B11" s="98" t="s">
        <v>1</v>
      </c>
      <c r="C11" s="98" t="s">
        <v>105</v>
      </c>
      <c r="D11" s="66"/>
      <c r="E11" s="11"/>
      <c r="F11" s="128" t="s">
        <v>80</v>
      </c>
      <c r="G11" s="129"/>
      <c r="H11" s="130"/>
      <c r="I11" s="131"/>
      <c r="J11" s="130"/>
      <c r="K11" s="130"/>
      <c r="L11" s="68"/>
      <c r="M11" s="130"/>
      <c r="N11" s="130"/>
      <c r="O11" s="130"/>
      <c r="P11" s="130"/>
      <c r="Q11" s="68"/>
      <c r="R11" s="111"/>
      <c r="S11" s="111"/>
      <c r="T11" s="111"/>
      <c r="U11" s="111"/>
      <c r="V11" s="70"/>
      <c r="W11" s="111"/>
      <c r="X11" s="111"/>
      <c r="Y11" s="70"/>
      <c r="Z11" s="123"/>
      <c r="AA11" s="124"/>
      <c r="AB11" s="132"/>
      <c r="AC11" s="133"/>
      <c r="AD11" s="134"/>
      <c r="AE11" s="126"/>
      <c r="AF11" s="127"/>
      <c r="AG11" s="11"/>
      <c r="AH11" s="71"/>
    </row>
    <row r="12">
      <c r="A12" s="11"/>
      <c r="B12" s="98" t="s">
        <v>1</v>
      </c>
      <c r="C12" s="98" t="s">
        <v>105</v>
      </c>
      <c r="D12" s="66"/>
      <c r="E12" s="11"/>
      <c r="F12" s="128" t="s">
        <v>129</v>
      </c>
      <c r="G12" s="129"/>
      <c r="H12" s="130"/>
      <c r="I12" s="131"/>
      <c r="J12" s="130"/>
      <c r="K12" s="130"/>
      <c r="L12" s="68"/>
      <c r="M12" s="130"/>
      <c r="N12" s="130"/>
      <c r="O12" s="130"/>
      <c r="P12" s="130"/>
      <c r="Q12" s="68"/>
      <c r="R12" s="111"/>
      <c r="S12" s="111"/>
      <c r="T12" s="111"/>
      <c r="U12" s="111"/>
      <c r="V12" s="70"/>
      <c r="W12" s="111"/>
      <c r="X12" s="111"/>
      <c r="Y12" s="70"/>
      <c r="Z12" s="123"/>
      <c r="AA12" s="124"/>
      <c r="AB12" s="132"/>
      <c r="AC12" s="133"/>
      <c r="AD12" s="134"/>
      <c r="AE12" s="126"/>
      <c r="AF12" s="127"/>
      <c r="AG12" s="11"/>
      <c r="AH12" s="71"/>
    </row>
    <row r="13">
      <c r="A13" s="11"/>
      <c r="B13" s="98" t="s">
        <v>1</v>
      </c>
      <c r="C13" s="98" t="s">
        <v>105</v>
      </c>
      <c r="D13" s="66"/>
      <c r="E13" s="11"/>
      <c r="F13" s="128" t="s">
        <v>130</v>
      </c>
      <c r="G13" s="135"/>
      <c r="H13" s="130"/>
      <c r="I13" s="131"/>
      <c r="J13" s="130"/>
      <c r="K13" s="130"/>
      <c r="L13" s="68"/>
      <c r="M13" s="130"/>
      <c r="N13" s="130"/>
      <c r="O13" s="130"/>
      <c r="P13" s="130"/>
      <c r="Q13" s="68"/>
      <c r="R13" s="111"/>
      <c r="S13" s="111"/>
      <c r="T13" s="111"/>
      <c r="U13" s="111"/>
      <c r="V13" s="70"/>
      <c r="W13" s="111"/>
      <c r="X13" s="111"/>
      <c r="Y13" s="70"/>
      <c r="Z13" s="111"/>
      <c r="AA13" s="111"/>
      <c r="AB13" s="111"/>
      <c r="AC13" s="111"/>
      <c r="AD13" s="111"/>
      <c r="AE13" s="111"/>
      <c r="AF13" s="111"/>
      <c r="AG13" s="11"/>
      <c r="AH13" s="71"/>
    </row>
    <row r="14">
      <c r="A14" s="11"/>
      <c r="B14" s="98" t="s">
        <v>1</v>
      </c>
      <c r="C14" s="98" t="s">
        <v>105</v>
      </c>
      <c r="D14" s="66"/>
      <c r="E14" s="11"/>
      <c r="F14" s="128" t="s">
        <v>131</v>
      </c>
      <c r="G14" s="135"/>
      <c r="H14" s="130"/>
      <c r="I14" s="131"/>
      <c r="J14" s="130"/>
      <c r="K14" s="130"/>
      <c r="L14" s="68"/>
      <c r="M14" s="130"/>
      <c r="N14" s="130"/>
      <c r="O14" s="130"/>
      <c r="P14" s="130"/>
      <c r="Q14" s="68"/>
      <c r="R14" s="111"/>
      <c r="S14" s="111"/>
      <c r="T14" s="111"/>
      <c r="U14" s="111"/>
      <c r="V14" s="70"/>
      <c r="W14" s="111"/>
      <c r="X14" s="111"/>
      <c r="Y14" s="70"/>
      <c r="Z14" s="111"/>
      <c r="AA14" s="111"/>
      <c r="AB14" s="111"/>
      <c r="AC14" s="111"/>
      <c r="AD14" s="111"/>
      <c r="AE14" s="111"/>
      <c r="AF14" s="111"/>
      <c r="AG14" s="11"/>
      <c r="AH14" s="71"/>
    </row>
    <row r="15">
      <c r="A15" s="11"/>
      <c r="B15" s="113"/>
      <c r="C15" s="113"/>
      <c r="D15" s="114"/>
      <c r="E15" s="113"/>
      <c r="F15" s="136" t="s">
        <v>132</v>
      </c>
      <c r="G15" s="137"/>
      <c r="H15" s="137"/>
      <c r="I15" s="138"/>
      <c r="J15" s="137"/>
      <c r="K15" s="137"/>
      <c r="L15" s="68"/>
      <c r="M15" s="137"/>
      <c r="N15" s="137"/>
      <c r="O15" s="137"/>
      <c r="P15" s="137"/>
      <c r="Q15" s="68"/>
      <c r="R15" s="111"/>
      <c r="S15" s="111"/>
      <c r="T15" s="111"/>
      <c r="U15" s="111"/>
      <c r="V15" s="70"/>
      <c r="W15" s="111"/>
      <c r="X15" s="111"/>
      <c r="Y15" s="70"/>
      <c r="Z15" s="111"/>
      <c r="AA15" s="111"/>
      <c r="AB15" s="111"/>
      <c r="AC15" s="111"/>
      <c r="AD15" s="111"/>
      <c r="AE15" s="111"/>
      <c r="AF15" s="111"/>
      <c r="AG15" s="11"/>
      <c r="AH15" s="71"/>
    </row>
    <row r="16">
      <c r="A16" s="11"/>
      <c r="B16" s="98" t="s">
        <v>1</v>
      </c>
      <c r="C16" s="98" t="s">
        <v>105</v>
      </c>
      <c r="D16" s="66"/>
      <c r="E16" s="11"/>
      <c r="F16" s="128" t="s">
        <v>133</v>
      </c>
      <c r="G16" s="135"/>
      <c r="H16" s="130"/>
      <c r="I16" s="131"/>
      <c r="J16" s="130"/>
      <c r="K16" s="130"/>
      <c r="L16" s="68"/>
      <c r="M16" s="130"/>
      <c r="N16" s="130"/>
      <c r="O16" s="130"/>
      <c r="P16" s="130"/>
      <c r="Q16" s="68"/>
      <c r="R16" s="111"/>
      <c r="S16" s="111"/>
      <c r="T16" s="111"/>
      <c r="U16" s="111"/>
      <c r="V16" s="70"/>
      <c r="W16" s="111"/>
      <c r="X16" s="111"/>
      <c r="Y16" s="70"/>
      <c r="Z16" s="111"/>
      <c r="AA16" s="111"/>
      <c r="AB16" s="111"/>
      <c r="AC16" s="111"/>
      <c r="AD16" s="111"/>
      <c r="AE16" s="111"/>
      <c r="AF16" s="111"/>
      <c r="AG16" s="11"/>
      <c r="AH16" s="71"/>
    </row>
    <row r="17">
      <c r="A17" s="11"/>
      <c r="B17" s="98" t="s">
        <v>1</v>
      </c>
      <c r="C17" s="98" t="s">
        <v>105</v>
      </c>
      <c r="D17" s="66"/>
      <c r="E17" s="11"/>
      <c r="F17" s="128" t="s">
        <v>134</v>
      </c>
      <c r="G17" s="135"/>
      <c r="H17" s="130"/>
      <c r="I17" s="131"/>
      <c r="J17" s="130"/>
      <c r="K17" s="130"/>
      <c r="L17" s="68"/>
      <c r="M17" s="130"/>
      <c r="N17" s="130"/>
      <c r="O17" s="130"/>
      <c r="P17" s="130"/>
      <c r="Q17" s="68"/>
      <c r="R17" s="111"/>
      <c r="S17" s="111"/>
      <c r="T17" s="111"/>
      <c r="U17" s="111"/>
      <c r="V17" s="70"/>
      <c r="W17" s="111"/>
      <c r="X17" s="111"/>
      <c r="Y17" s="70"/>
      <c r="Z17" s="111"/>
      <c r="AA17" s="111"/>
      <c r="AB17" s="111"/>
      <c r="AC17" s="111"/>
      <c r="AD17" s="111"/>
      <c r="AE17" s="111"/>
      <c r="AF17" s="111"/>
      <c r="AG17" s="11"/>
      <c r="AH17" s="71"/>
    </row>
    <row r="18">
      <c r="A18" s="11"/>
      <c r="B18" s="98" t="s">
        <v>1</v>
      </c>
      <c r="C18" s="98" t="s">
        <v>105</v>
      </c>
      <c r="D18" s="66"/>
      <c r="E18" s="11"/>
      <c r="F18" s="128" t="s">
        <v>135</v>
      </c>
      <c r="G18" s="135"/>
      <c r="H18" s="130"/>
      <c r="I18" s="131"/>
      <c r="J18" s="130"/>
      <c r="K18" s="130"/>
      <c r="L18" s="68"/>
      <c r="M18" s="130"/>
      <c r="N18" s="130"/>
      <c r="O18" s="130"/>
      <c r="P18" s="130"/>
      <c r="Q18" s="68"/>
      <c r="R18" s="111"/>
      <c r="S18" s="111"/>
      <c r="T18" s="111"/>
      <c r="U18" s="111"/>
      <c r="V18" s="70"/>
      <c r="W18" s="111"/>
      <c r="X18" s="111"/>
      <c r="Y18" s="70"/>
      <c r="Z18" s="111"/>
      <c r="AA18" s="111"/>
      <c r="AB18" s="111"/>
      <c r="AC18" s="111"/>
      <c r="AD18" s="111"/>
      <c r="AE18" s="111"/>
      <c r="AF18" s="111"/>
      <c r="AG18" s="11"/>
      <c r="AH18" s="71"/>
    </row>
    <row r="19">
      <c r="A19" s="11"/>
      <c r="B19" s="98" t="s">
        <v>1</v>
      </c>
      <c r="C19" s="98" t="s">
        <v>105</v>
      </c>
      <c r="D19" s="66"/>
      <c r="E19" s="11"/>
      <c r="F19" s="128" t="s">
        <v>136</v>
      </c>
      <c r="G19" s="135"/>
      <c r="H19" s="130"/>
      <c r="I19" s="131"/>
      <c r="J19" s="130"/>
      <c r="K19" s="130"/>
      <c r="L19" s="68"/>
      <c r="M19" s="130"/>
      <c r="N19" s="130"/>
      <c r="O19" s="130"/>
      <c r="P19" s="130"/>
      <c r="Q19" s="68"/>
      <c r="R19" s="111"/>
      <c r="S19" s="111"/>
      <c r="T19" s="111"/>
      <c r="U19" s="111"/>
      <c r="V19" s="70"/>
      <c r="W19" s="111"/>
      <c r="X19" s="111"/>
      <c r="Y19" s="70"/>
      <c r="Z19" s="111"/>
      <c r="AA19" s="111"/>
      <c r="AB19" s="111"/>
      <c r="AC19" s="111"/>
      <c r="AD19" s="111"/>
      <c r="AE19" s="111"/>
      <c r="AF19" s="111"/>
      <c r="AG19" s="11"/>
      <c r="AH19" s="71"/>
    </row>
    <row r="20">
      <c r="A20" s="11"/>
      <c r="B20" s="113"/>
      <c r="C20" s="113"/>
      <c r="D20" s="114"/>
      <c r="E20" s="113"/>
      <c r="F20" s="136" t="s">
        <v>137</v>
      </c>
      <c r="G20" s="137"/>
      <c r="H20" s="137"/>
      <c r="I20" s="138"/>
      <c r="J20" s="137"/>
      <c r="K20" s="137"/>
      <c r="L20" s="68"/>
      <c r="M20" s="137"/>
      <c r="N20" s="137"/>
      <c r="O20" s="137"/>
      <c r="P20" s="137"/>
      <c r="Q20" s="68"/>
      <c r="R20" s="111"/>
      <c r="S20" s="111"/>
      <c r="T20" s="111"/>
      <c r="U20" s="111"/>
      <c r="V20" s="70"/>
      <c r="W20" s="111"/>
      <c r="X20" s="111"/>
      <c r="Y20" s="70"/>
      <c r="Z20" s="111"/>
      <c r="AA20" s="111"/>
      <c r="AB20" s="111"/>
      <c r="AC20" s="111"/>
      <c r="AD20" s="111"/>
      <c r="AE20" s="111"/>
      <c r="AF20" s="111"/>
      <c r="AG20" s="11"/>
      <c r="AH20" s="71"/>
    </row>
    <row r="21">
      <c r="A21" s="11"/>
      <c r="B21" s="98" t="s">
        <v>1</v>
      </c>
      <c r="C21" s="98" t="s">
        <v>105</v>
      </c>
      <c r="D21" s="66"/>
      <c r="E21" s="11"/>
      <c r="F21" s="128" t="s">
        <v>138</v>
      </c>
      <c r="G21" s="135"/>
      <c r="H21" s="130"/>
      <c r="I21" s="131"/>
      <c r="J21" s="130"/>
      <c r="K21" s="130"/>
      <c r="L21" s="68"/>
      <c r="M21" s="130"/>
      <c r="N21" s="130"/>
      <c r="O21" s="130"/>
      <c r="P21" s="130"/>
      <c r="Q21" s="68"/>
      <c r="R21" s="111"/>
      <c r="S21" s="111"/>
      <c r="T21" s="111"/>
      <c r="U21" s="111"/>
      <c r="V21" s="70"/>
      <c r="W21" s="111"/>
      <c r="X21" s="111"/>
      <c r="Y21" s="70"/>
      <c r="Z21" s="111"/>
      <c r="AA21" s="111"/>
      <c r="AB21" s="111"/>
      <c r="AC21" s="111"/>
      <c r="AD21" s="111"/>
      <c r="AE21" s="111"/>
      <c r="AF21" s="111"/>
      <c r="AG21" s="11"/>
      <c r="AH21" s="71"/>
    </row>
    <row r="22">
      <c r="A22" s="11"/>
      <c r="B22" s="98" t="s">
        <v>1</v>
      </c>
      <c r="C22" s="98" t="s">
        <v>105</v>
      </c>
      <c r="D22" s="66"/>
      <c r="E22" s="11"/>
      <c r="F22" s="128" t="s">
        <v>139</v>
      </c>
      <c r="G22" s="135"/>
      <c r="H22" s="130"/>
      <c r="I22" s="131"/>
      <c r="J22" s="130"/>
      <c r="K22" s="130"/>
      <c r="L22" s="68"/>
      <c r="M22" s="130"/>
      <c r="N22" s="130"/>
      <c r="O22" s="130"/>
      <c r="P22" s="130"/>
      <c r="Q22" s="68"/>
      <c r="R22" s="111"/>
      <c r="S22" s="111"/>
      <c r="T22" s="111"/>
      <c r="U22" s="111"/>
      <c r="V22" s="70"/>
      <c r="W22" s="111"/>
      <c r="X22" s="111"/>
      <c r="Y22" s="70"/>
      <c r="Z22" s="111"/>
      <c r="AA22" s="111"/>
      <c r="AB22" s="111"/>
      <c r="AC22" s="111"/>
      <c r="AD22" s="111"/>
      <c r="AE22" s="111"/>
      <c r="AF22" s="111"/>
      <c r="AG22" s="11"/>
      <c r="AH22" s="71"/>
    </row>
    <row r="23">
      <c r="A23" s="11"/>
      <c r="B23" s="98" t="s">
        <v>1</v>
      </c>
      <c r="C23" s="98" t="s">
        <v>105</v>
      </c>
      <c r="D23" s="66"/>
      <c r="E23" s="11"/>
      <c r="F23" s="128" t="s">
        <v>140</v>
      </c>
      <c r="G23" s="135"/>
      <c r="H23" s="130"/>
      <c r="I23" s="131"/>
      <c r="J23" s="130"/>
      <c r="K23" s="130"/>
      <c r="L23" s="68"/>
      <c r="M23" s="130"/>
      <c r="N23" s="130"/>
      <c r="O23" s="130"/>
      <c r="P23" s="130"/>
      <c r="Q23" s="68"/>
      <c r="R23" s="111"/>
      <c r="S23" s="111"/>
      <c r="T23" s="111"/>
      <c r="U23" s="111"/>
      <c r="V23" s="70"/>
      <c r="W23" s="111"/>
      <c r="X23" s="111"/>
      <c r="Y23" s="70"/>
      <c r="Z23" s="111"/>
      <c r="AA23" s="111"/>
      <c r="AB23" s="111"/>
      <c r="AC23" s="111"/>
      <c r="AD23" s="111"/>
      <c r="AE23" s="111"/>
      <c r="AF23" s="111"/>
      <c r="AG23" s="11"/>
      <c r="AH23" s="71"/>
    </row>
    <row r="24">
      <c r="A24" s="11"/>
      <c r="B24" s="98" t="s">
        <v>1</v>
      </c>
      <c r="C24" s="98" t="s">
        <v>105</v>
      </c>
      <c r="D24" s="66"/>
      <c r="E24" s="11"/>
      <c r="F24" s="128" t="s">
        <v>141</v>
      </c>
      <c r="G24" s="135"/>
      <c r="H24" s="130"/>
      <c r="I24" s="131"/>
      <c r="J24" s="130"/>
      <c r="K24" s="130"/>
      <c r="L24" s="68"/>
      <c r="M24" s="130"/>
      <c r="N24" s="130"/>
      <c r="O24" s="130"/>
      <c r="P24" s="130"/>
      <c r="Q24" s="68"/>
      <c r="R24" s="111"/>
      <c r="S24" s="111"/>
      <c r="T24" s="111"/>
      <c r="U24" s="111"/>
      <c r="V24" s="70"/>
      <c r="W24" s="111"/>
      <c r="X24" s="111"/>
      <c r="Y24" s="70"/>
      <c r="Z24" s="111"/>
      <c r="AA24" s="111"/>
      <c r="AB24" s="111"/>
      <c r="AC24" s="111"/>
      <c r="AD24" s="111"/>
      <c r="AE24" s="111"/>
      <c r="AF24" s="111"/>
      <c r="AG24" s="11"/>
      <c r="AH24" s="71"/>
    </row>
    <row r="25">
      <c r="A25" s="11"/>
      <c r="B25" s="113"/>
      <c r="C25" s="113"/>
      <c r="D25" s="114"/>
      <c r="E25" s="113"/>
      <c r="F25" s="136" t="s">
        <v>142</v>
      </c>
      <c r="G25" s="137"/>
      <c r="H25" s="137"/>
      <c r="I25" s="138"/>
      <c r="J25" s="137"/>
      <c r="K25" s="137"/>
      <c r="L25" s="68"/>
      <c r="M25" s="137"/>
      <c r="N25" s="137"/>
      <c r="O25" s="137"/>
      <c r="P25" s="137"/>
      <c r="Q25" s="68"/>
      <c r="R25" s="111"/>
      <c r="S25" s="111"/>
      <c r="T25" s="111"/>
      <c r="U25" s="111"/>
      <c r="V25" s="70"/>
      <c r="W25" s="111"/>
      <c r="X25" s="111"/>
      <c r="Y25" s="70"/>
      <c r="Z25" s="111"/>
      <c r="AA25" s="111"/>
      <c r="AB25" s="111"/>
      <c r="AC25" s="111"/>
      <c r="AD25" s="111"/>
      <c r="AE25" s="111"/>
      <c r="AF25" s="111"/>
      <c r="AG25" s="11"/>
      <c r="AH25" s="71"/>
    </row>
    <row r="26">
      <c r="A26" s="11"/>
      <c r="B26" s="98" t="s">
        <v>1</v>
      </c>
      <c r="C26" s="98" t="s">
        <v>105</v>
      </c>
      <c r="D26" s="66"/>
      <c r="E26" s="11"/>
      <c r="F26" s="128" t="s">
        <v>143</v>
      </c>
      <c r="G26" s="135"/>
      <c r="H26" s="130"/>
      <c r="I26" s="131"/>
      <c r="J26" s="130"/>
      <c r="K26" s="130"/>
      <c r="L26" s="68"/>
      <c r="M26" s="130"/>
      <c r="N26" s="130"/>
      <c r="O26" s="130"/>
      <c r="P26" s="130"/>
      <c r="Q26" s="68"/>
      <c r="R26" s="111"/>
      <c r="S26" s="111"/>
      <c r="T26" s="111"/>
      <c r="U26" s="111"/>
      <c r="V26" s="70"/>
      <c r="W26" s="111"/>
      <c r="X26" s="111"/>
      <c r="Y26" s="70"/>
      <c r="Z26" s="111"/>
      <c r="AA26" s="111"/>
      <c r="AB26" s="111"/>
      <c r="AC26" s="111"/>
      <c r="AD26" s="111"/>
      <c r="AE26" s="111"/>
      <c r="AF26" s="111"/>
      <c r="AG26" s="11"/>
      <c r="AH26" s="71"/>
    </row>
    <row r="27">
      <c r="A27" s="11"/>
      <c r="B27" s="98" t="s">
        <v>1</v>
      </c>
      <c r="C27" s="113"/>
      <c r="D27" s="66"/>
      <c r="E27" s="11"/>
      <c r="F27" s="139" t="s">
        <v>144</v>
      </c>
      <c r="G27" s="133"/>
      <c r="H27" s="140">
        <v>10000.0</v>
      </c>
      <c r="I27" s="141">
        <v>1.0</v>
      </c>
      <c r="J27" s="101">
        <f>H27*I27</f>
        <v>10000</v>
      </c>
      <c r="K27" s="142" t="s">
        <v>145</v>
      </c>
      <c r="L27" s="68"/>
      <c r="M27" s="143">
        <f>J27/0.6</f>
        <v>16666.66667</v>
      </c>
      <c r="N27" s="142" t="s">
        <v>145</v>
      </c>
      <c r="O27" s="110">
        <f>M27/$I$70</f>
        <v>4.504504505</v>
      </c>
      <c r="P27" s="142" t="s">
        <v>145</v>
      </c>
      <c r="Q27" s="68"/>
      <c r="R27" s="111"/>
      <c r="S27" s="111"/>
      <c r="T27" s="111"/>
      <c r="U27" s="111"/>
      <c r="V27" s="70"/>
      <c r="W27" s="111"/>
      <c r="X27" s="111"/>
      <c r="Y27" s="70"/>
      <c r="Z27" s="111"/>
      <c r="AA27" s="111"/>
      <c r="AB27" s="111"/>
      <c r="AC27" s="111"/>
      <c r="AD27" s="111"/>
      <c r="AE27" s="111"/>
      <c r="AF27" s="111"/>
      <c r="AG27" s="11"/>
      <c r="AH27" s="71"/>
    </row>
    <row r="28">
      <c r="A28" s="11"/>
      <c r="B28" s="98" t="s">
        <v>1</v>
      </c>
      <c r="C28" s="98" t="s">
        <v>105</v>
      </c>
      <c r="D28" s="66"/>
      <c r="E28" s="11"/>
      <c r="F28" s="128" t="s">
        <v>146</v>
      </c>
      <c r="G28" s="135"/>
      <c r="H28" s="130"/>
      <c r="I28" s="131"/>
      <c r="J28" s="130"/>
      <c r="K28" s="130"/>
      <c r="L28" s="68"/>
      <c r="M28" s="130"/>
      <c r="N28" s="130"/>
      <c r="O28" s="130"/>
      <c r="P28" s="130"/>
      <c r="Q28" s="68"/>
      <c r="R28" s="111"/>
      <c r="S28" s="111"/>
      <c r="T28" s="111"/>
      <c r="U28" s="111"/>
      <c r="V28" s="70"/>
      <c r="W28" s="111"/>
      <c r="X28" s="111"/>
      <c r="Y28" s="70"/>
      <c r="Z28" s="111"/>
      <c r="AA28" s="111"/>
      <c r="AB28" s="111"/>
      <c r="AC28" s="111"/>
      <c r="AD28" s="111"/>
      <c r="AE28" s="111"/>
      <c r="AF28" s="111"/>
      <c r="AG28" s="11"/>
      <c r="AH28" s="71"/>
    </row>
    <row r="29">
      <c r="A29" s="11"/>
      <c r="B29" s="98" t="s">
        <v>1</v>
      </c>
      <c r="C29" s="98" t="s">
        <v>105</v>
      </c>
      <c r="D29" s="66"/>
      <c r="E29" s="11"/>
      <c r="F29" s="128" t="s">
        <v>147</v>
      </c>
      <c r="G29" s="135"/>
      <c r="H29" s="130"/>
      <c r="I29" s="131"/>
      <c r="J29" s="130"/>
      <c r="K29" s="130"/>
      <c r="L29" s="68"/>
      <c r="M29" s="130"/>
      <c r="N29" s="130"/>
      <c r="O29" s="130"/>
      <c r="P29" s="130"/>
      <c r="Q29" s="68"/>
      <c r="R29" s="111"/>
      <c r="S29" s="111"/>
      <c r="T29" s="111"/>
      <c r="U29" s="111"/>
      <c r="V29" s="70"/>
      <c r="W29" s="111"/>
      <c r="X29" s="111"/>
      <c r="Y29" s="70"/>
      <c r="Z29" s="111"/>
      <c r="AA29" s="111"/>
      <c r="AB29" s="111"/>
      <c r="AC29" s="111"/>
      <c r="AD29" s="111"/>
      <c r="AE29" s="111"/>
      <c r="AF29" s="111"/>
      <c r="AG29" s="11"/>
      <c r="AH29" s="71"/>
    </row>
    <row r="30">
      <c r="A30" s="11"/>
      <c r="B30" s="113"/>
      <c r="C30" s="113"/>
      <c r="D30" s="114"/>
      <c r="E30" s="113"/>
      <c r="F30" s="136" t="s">
        <v>148</v>
      </c>
      <c r="G30" s="137"/>
      <c r="H30" s="137"/>
      <c r="I30" s="138"/>
      <c r="J30" s="137"/>
      <c r="K30" s="137"/>
      <c r="L30" s="68"/>
      <c r="M30" s="137"/>
      <c r="N30" s="137"/>
      <c r="O30" s="137"/>
      <c r="P30" s="137"/>
      <c r="Q30" s="68"/>
      <c r="R30" s="111"/>
      <c r="S30" s="111"/>
      <c r="T30" s="111"/>
      <c r="U30" s="111"/>
      <c r="V30" s="70"/>
      <c r="W30" s="111"/>
      <c r="X30" s="111"/>
      <c r="Y30" s="70"/>
      <c r="Z30" s="111"/>
      <c r="AA30" s="111"/>
      <c r="AB30" s="111"/>
      <c r="AC30" s="111"/>
      <c r="AD30" s="111"/>
      <c r="AE30" s="111"/>
      <c r="AF30" s="111"/>
      <c r="AG30" s="11"/>
      <c r="AH30" s="71"/>
    </row>
    <row r="31">
      <c r="A31" s="11"/>
      <c r="B31" s="98" t="s">
        <v>1</v>
      </c>
      <c r="C31" s="98" t="s">
        <v>105</v>
      </c>
      <c r="D31" s="66"/>
      <c r="E31" s="11"/>
      <c r="F31" s="128" t="s">
        <v>149</v>
      </c>
      <c r="G31" s="135"/>
      <c r="H31" s="130"/>
      <c r="I31" s="131"/>
      <c r="J31" s="130"/>
      <c r="K31" s="130"/>
      <c r="L31" s="68"/>
      <c r="M31" s="130"/>
      <c r="N31" s="130"/>
      <c r="O31" s="130"/>
      <c r="P31" s="130"/>
      <c r="Q31" s="68"/>
      <c r="R31" s="111"/>
      <c r="S31" s="111"/>
      <c r="T31" s="111"/>
      <c r="U31" s="111"/>
      <c r="V31" s="70"/>
      <c r="W31" s="111"/>
      <c r="X31" s="111"/>
      <c r="Y31" s="70"/>
      <c r="Z31" s="111"/>
      <c r="AA31" s="111"/>
      <c r="AB31" s="111"/>
      <c r="AC31" s="111"/>
      <c r="AD31" s="111"/>
      <c r="AE31" s="111"/>
      <c r="AF31" s="111"/>
      <c r="AG31" s="11"/>
      <c r="AH31" s="71"/>
    </row>
    <row r="32">
      <c r="A32" s="11"/>
      <c r="B32" s="98" t="s">
        <v>1</v>
      </c>
      <c r="C32" s="98" t="s">
        <v>105</v>
      </c>
      <c r="D32" s="66"/>
      <c r="E32" s="11"/>
      <c r="F32" s="128" t="s">
        <v>150</v>
      </c>
      <c r="G32" s="135"/>
      <c r="H32" s="130"/>
      <c r="I32" s="131"/>
      <c r="J32" s="130"/>
      <c r="K32" s="130"/>
      <c r="L32" s="68"/>
      <c r="M32" s="130"/>
      <c r="N32" s="130"/>
      <c r="O32" s="130"/>
      <c r="P32" s="130"/>
      <c r="Q32" s="68"/>
      <c r="R32" s="111"/>
      <c r="S32" s="111"/>
      <c r="T32" s="111"/>
      <c r="U32" s="111"/>
      <c r="V32" s="70"/>
      <c r="W32" s="111"/>
      <c r="X32" s="111"/>
      <c r="Y32" s="70"/>
      <c r="Z32" s="111"/>
      <c r="AA32" s="111"/>
      <c r="AB32" s="111"/>
      <c r="AC32" s="111"/>
      <c r="AD32" s="111"/>
      <c r="AE32" s="111"/>
      <c r="AF32" s="111"/>
      <c r="AG32" s="11"/>
      <c r="AH32" s="71"/>
    </row>
    <row r="33">
      <c r="A33" s="11"/>
      <c r="B33" s="98" t="s">
        <v>1</v>
      </c>
      <c r="C33" s="98" t="s">
        <v>105</v>
      </c>
      <c r="D33" s="66"/>
      <c r="E33" s="11"/>
      <c r="F33" s="128" t="s">
        <v>151</v>
      </c>
      <c r="G33" s="135"/>
      <c r="H33" s="130"/>
      <c r="I33" s="131"/>
      <c r="J33" s="130"/>
      <c r="K33" s="130"/>
      <c r="L33" s="68"/>
      <c r="M33" s="130"/>
      <c r="N33" s="130"/>
      <c r="O33" s="130"/>
      <c r="P33" s="130"/>
      <c r="Q33" s="68"/>
      <c r="R33" s="111"/>
      <c r="S33" s="111"/>
      <c r="T33" s="111"/>
      <c r="U33" s="111"/>
      <c r="V33" s="70"/>
      <c r="W33" s="111"/>
      <c r="X33" s="111"/>
      <c r="Y33" s="70"/>
      <c r="Z33" s="111"/>
      <c r="AA33" s="111"/>
      <c r="AB33" s="111"/>
      <c r="AC33" s="111"/>
      <c r="AD33" s="111"/>
      <c r="AE33" s="111"/>
      <c r="AF33" s="111"/>
      <c r="AG33" s="11"/>
      <c r="AH33" s="71"/>
    </row>
    <row r="34">
      <c r="A34" s="11"/>
      <c r="B34" s="98" t="s">
        <v>1</v>
      </c>
      <c r="C34" s="98" t="s">
        <v>105</v>
      </c>
      <c r="D34" s="66"/>
      <c r="E34" s="11"/>
      <c r="F34" s="128" t="s">
        <v>152</v>
      </c>
      <c r="G34" s="135"/>
      <c r="H34" s="130"/>
      <c r="I34" s="131"/>
      <c r="J34" s="130"/>
      <c r="K34" s="130"/>
      <c r="L34" s="68"/>
      <c r="M34" s="130"/>
      <c r="N34" s="130"/>
      <c r="O34" s="130"/>
      <c r="P34" s="130"/>
      <c r="Q34" s="68"/>
      <c r="R34" s="111"/>
      <c r="S34" s="111"/>
      <c r="T34" s="111"/>
      <c r="U34" s="111"/>
      <c r="V34" s="70"/>
      <c r="W34" s="111"/>
      <c r="X34" s="111"/>
      <c r="Y34" s="70"/>
      <c r="Z34" s="111"/>
      <c r="AA34" s="111"/>
      <c r="AB34" s="111"/>
      <c r="AC34" s="111"/>
      <c r="AD34" s="111"/>
      <c r="AE34" s="111"/>
      <c r="AF34" s="111"/>
      <c r="AG34" s="11"/>
      <c r="AH34" s="71"/>
    </row>
    <row r="35">
      <c r="A35" s="11"/>
      <c r="B35" s="113"/>
      <c r="C35" s="113"/>
      <c r="D35" s="114"/>
      <c r="E35" s="113"/>
      <c r="F35" s="136" t="s">
        <v>153</v>
      </c>
      <c r="G35" s="137"/>
      <c r="H35" s="137"/>
      <c r="I35" s="138"/>
      <c r="J35" s="137"/>
      <c r="K35" s="137"/>
      <c r="L35" s="68"/>
      <c r="M35" s="137"/>
      <c r="N35" s="137"/>
      <c r="O35" s="137"/>
      <c r="P35" s="137"/>
      <c r="Q35" s="68"/>
      <c r="R35" s="111"/>
      <c r="S35" s="111"/>
      <c r="T35" s="111"/>
      <c r="U35" s="111"/>
      <c r="V35" s="70"/>
      <c r="W35" s="111"/>
      <c r="X35" s="111"/>
      <c r="Y35" s="70"/>
      <c r="Z35" s="111"/>
      <c r="AA35" s="111"/>
      <c r="AB35" s="111"/>
      <c r="AC35" s="111"/>
      <c r="AD35" s="111"/>
      <c r="AE35" s="111"/>
      <c r="AF35" s="111"/>
      <c r="AG35" s="11"/>
      <c r="AH35" s="71"/>
    </row>
    <row r="36">
      <c r="A36" s="11"/>
      <c r="B36" s="98" t="s">
        <v>1</v>
      </c>
      <c r="C36" s="98" t="s">
        <v>105</v>
      </c>
      <c r="D36" s="66"/>
      <c r="E36" s="11"/>
      <c r="F36" s="128" t="s">
        <v>154</v>
      </c>
      <c r="G36" s="135"/>
      <c r="H36" s="130"/>
      <c r="I36" s="131"/>
      <c r="J36" s="130"/>
      <c r="K36" s="130"/>
      <c r="L36" s="68"/>
      <c r="M36" s="130"/>
      <c r="N36" s="130"/>
      <c r="O36" s="130"/>
      <c r="P36" s="130"/>
      <c r="Q36" s="68"/>
      <c r="R36" s="111"/>
      <c r="S36" s="111"/>
      <c r="T36" s="111"/>
      <c r="U36" s="111"/>
      <c r="V36" s="70"/>
      <c r="W36" s="111"/>
      <c r="X36" s="111"/>
      <c r="Y36" s="70"/>
      <c r="Z36" s="111"/>
      <c r="AA36" s="111"/>
      <c r="AB36" s="111"/>
      <c r="AC36" s="111"/>
      <c r="AD36" s="111"/>
      <c r="AE36" s="111"/>
      <c r="AF36" s="111"/>
      <c r="AG36" s="11"/>
      <c r="AH36" s="71"/>
    </row>
    <row r="37">
      <c r="A37" s="11"/>
      <c r="B37" s="98" t="s">
        <v>1</v>
      </c>
      <c r="C37" s="98" t="s">
        <v>105</v>
      </c>
      <c r="D37" s="66"/>
      <c r="E37" s="11"/>
      <c r="F37" s="128" t="s">
        <v>155</v>
      </c>
      <c r="G37" s="135"/>
      <c r="H37" s="130"/>
      <c r="I37" s="131"/>
      <c r="J37" s="130"/>
      <c r="K37" s="130"/>
      <c r="L37" s="68"/>
      <c r="M37" s="130"/>
      <c r="N37" s="130"/>
      <c r="O37" s="130"/>
      <c r="P37" s="130"/>
      <c r="Q37" s="68"/>
      <c r="R37" s="111"/>
      <c r="S37" s="111"/>
      <c r="T37" s="111"/>
      <c r="U37" s="111"/>
      <c r="V37" s="70"/>
      <c r="W37" s="111"/>
      <c r="X37" s="111"/>
      <c r="Y37" s="70"/>
      <c r="Z37" s="111"/>
      <c r="AA37" s="111"/>
      <c r="AB37" s="111"/>
      <c r="AC37" s="111"/>
      <c r="AD37" s="111"/>
      <c r="AE37" s="111"/>
      <c r="AF37" s="111"/>
      <c r="AG37" s="11"/>
      <c r="AH37" s="71"/>
    </row>
    <row r="38">
      <c r="A38" s="11"/>
      <c r="B38" s="98" t="s">
        <v>1</v>
      </c>
      <c r="C38" s="113"/>
      <c r="D38" s="66"/>
      <c r="E38" s="11"/>
      <c r="F38" s="144" t="s">
        <v>156</v>
      </c>
      <c r="G38" s="135"/>
      <c r="H38" s="140">
        <v>116000.0</v>
      </c>
      <c r="I38" s="141">
        <v>1.0</v>
      </c>
      <c r="J38" s="101">
        <f>H38*I38</f>
        <v>116000</v>
      </c>
      <c r="K38" s="142" t="s">
        <v>145</v>
      </c>
      <c r="L38" s="68"/>
      <c r="M38" s="143">
        <f>J38/0.8</f>
        <v>145000</v>
      </c>
      <c r="N38" s="142" t="s">
        <v>145</v>
      </c>
      <c r="O38" s="110">
        <f>M38/$I$70</f>
        <v>39.18918919</v>
      </c>
      <c r="P38" s="142" t="s">
        <v>145</v>
      </c>
      <c r="Q38" s="68"/>
      <c r="R38" s="111"/>
      <c r="S38" s="111"/>
      <c r="T38" s="111"/>
      <c r="U38" s="111"/>
      <c r="V38" s="70"/>
      <c r="W38" s="111"/>
      <c r="X38" s="111"/>
      <c r="Y38" s="70"/>
      <c r="Z38" s="111"/>
      <c r="AA38" s="111"/>
      <c r="AB38" s="111"/>
      <c r="AC38" s="111"/>
      <c r="AD38" s="111"/>
      <c r="AE38" s="111"/>
      <c r="AF38" s="111"/>
      <c r="AG38" s="11"/>
      <c r="AH38" s="71"/>
    </row>
    <row r="39">
      <c r="A39" s="11"/>
      <c r="B39" s="113"/>
      <c r="C39" s="113"/>
      <c r="D39" s="114"/>
      <c r="E39" s="113"/>
      <c r="F39" s="136" t="s">
        <v>157</v>
      </c>
      <c r="G39" s="137"/>
      <c r="H39" s="137"/>
      <c r="I39" s="138"/>
      <c r="J39" s="137"/>
      <c r="K39" s="137"/>
      <c r="L39" s="68"/>
      <c r="M39" s="137"/>
      <c r="N39" s="137"/>
      <c r="O39" s="137"/>
      <c r="P39" s="137"/>
      <c r="Q39" s="68"/>
      <c r="R39" s="111"/>
      <c r="S39" s="111"/>
      <c r="T39" s="111"/>
      <c r="U39" s="111"/>
      <c r="V39" s="70"/>
      <c r="W39" s="111"/>
      <c r="X39" s="111"/>
      <c r="Y39" s="70"/>
      <c r="Z39" s="111"/>
      <c r="AA39" s="111"/>
      <c r="AB39" s="111"/>
      <c r="AC39" s="111"/>
      <c r="AD39" s="111"/>
      <c r="AE39" s="111"/>
      <c r="AF39" s="111"/>
      <c r="AG39" s="11"/>
      <c r="AH39" s="71"/>
    </row>
    <row r="40">
      <c r="A40" s="11"/>
      <c r="B40" s="98" t="s">
        <v>1</v>
      </c>
      <c r="C40" s="98" t="s">
        <v>105</v>
      </c>
      <c r="D40" s="66"/>
      <c r="E40" s="11"/>
      <c r="F40" s="128" t="s">
        <v>158</v>
      </c>
      <c r="G40" s="135"/>
      <c r="H40" s="130"/>
      <c r="I40" s="131"/>
      <c r="J40" s="130"/>
      <c r="K40" s="130"/>
      <c r="L40" s="68"/>
      <c r="M40" s="130"/>
      <c r="N40" s="130"/>
      <c r="O40" s="130"/>
      <c r="P40" s="130"/>
      <c r="Q40" s="68"/>
      <c r="R40" s="111"/>
      <c r="S40" s="111"/>
      <c r="T40" s="111"/>
      <c r="U40" s="111"/>
      <c r="V40" s="70"/>
      <c r="W40" s="111"/>
      <c r="X40" s="111"/>
      <c r="Y40" s="70"/>
      <c r="Z40" s="111"/>
      <c r="AA40" s="111"/>
      <c r="AB40" s="111"/>
      <c r="AC40" s="111"/>
      <c r="AD40" s="111"/>
      <c r="AE40" s="111"/>
      <c r="AF40" s="111"/>
      <c r="AG40" s="11"/>
      <c r="AH40" s="71"/>
    </row>
    <row r="41">
      <c r="A41" s="11"/>
      <c r="B41" s="98" t="s">
        <v>1</v>
      </c>
      <c r="C41" s="98" t="s">
        <v>105</v>
      </c>
      <c r="D41" s="66"/>
      <c r="E41" s="11"/>
      <c r="F41" s="128" t="s">
        <v>159</v>
      </c>
      <c r="G41" s="135"/>
      <c r="H41" s="130"/>
      <c r="I41" s="131"/>
      <c r="J41" s="130"/>
      <c r="K41" s="130"/>
      <c r="L41" s="68"/>
      <c r="M41" s="130"/>
      <c r="N41" s="130"/>
      <c r="O41" s="130"/>
      <c r="P41" s="130"/>
      <c r="Q41" s="68"/>
      <c r="R41" s="111"/>
      <c r="S41" s="111"/>
      <c r="T41" s="111"/>
      <c r="U41" s="111"/>
      <c r="V41" s="70"/>
      <c r="W41" s="111"/>
      <c r="X41" s="111"/>
      <c r="Y41" s="70"/>
      <c r="Z41" s="111"/>
      <c r="AA41" s="111"/>
      <c r="AB41" s="111"/>
      <c r="AC41" s="111"/>
      <c r="AD41" s="111"/>
      <c r="AE41" s="111"/>
      <c r="AF41" s="111"/>
      <c r="AG41" s="11"/>
      <c r="AH41" s="71"/>
    </row>
    <row r="42">
      <c r="A42" s="11"/>
      <c r="B42" s="113"/>
      <c r="C42" s="113"/>
      <c r="D42" s="114"/>
      <c r="E42" s="113"/>
      <c r="F42" s="136" t="s">
        <v>160</v>
      </c>
      <c r="G42" s="137"/>
      <c r="H42" s="137"/>
      <c r="I42" s="138"/>
      <c r="J42" s="137"/>
      <c r="K42" s="137"/>
      <c r="L42" s="68"/>
      <c r="M42" s="137"/>
      <c r="N42" s="137"/>
      <c r="O42" s="137"/>
      <c r="P42" s="137"/>
      <c r="Q42" s="68"/>
      <c r="R42" s="111"/>
      <c r="S42" s="111"/>
      <c r="T42" s="111"/>
      <c r="U42" s="111"/>
      <c r="V42" s="70"/>
      <c r="W42" s="111"/>
      <c r="X42" s="111"/>
      <c r="Y42" s="70"/>
      <c r="Z42" s="111"/>
      <c r="AA42" s="111"/>
      <c r="AB42" s="111"/>
      <c r="AC42" s="111"/>
      <c r="AD42" s="111"/>
      <c r="AE42" s="111"/>
      <c r="AF42" s="111"/>
      <c r="AG42" s="11"/>
      <c r="AH42" s="71"/>
    </row>
    <row r="43">
      <c r="A43" s="11"/>
      <c r="B43" s="98" t="s">
        <v>1</v>
      </c>
      <c r="C43" s="113"/>
      <c r="D43" s="66"/>
      <c r="E43" s="11"/>
      <c r="F43" s="144" t="s">
        <v>161</v>
      </c>
      <c r="G43" s="145"/>
      <c r="H43" s="140">
        <v>10000.0</v>
      </c>
      <c r="I43" s="141">
        <v>1.0</v>
      </c>
      <c r="J43" s="101">
        <f t="shared" ref="J43:J44" si="6">H43*I43</f>
        <v>10000</v>
      </c>
      <c r="K43" s="142" t="s">
        <v>145</v>
      </c>
      <c r="L43" s="68"/>
      <c r="M43" s="143">
        <f>J43/0.5</f>
        <v>20000</v>
      </c>
      <c r="N43" s="142" t="s">
        <v>145</v>
      </c>
      <c r="O43" s="110">
        <f t="shared" ref="O43:O44" si="7">M43/$I$70</f>
        <v>5.405405405</v>
      </c>
      <c r="P43" s="142" t="s">
        <v>145</v>
      </c>
      <c r="Q43" s="68"/>
      <c r="R43" s="111"/>
      <c r="S43" s="111"/>
      <c r="T43" s="111"/>
      <c r="U43" s="111"/>
      <c r="V43" s="70"/>
      <c r="W43" s="111"/>
      <c r="X43" s="111"/>
      <c r="Y43" s="70"/>
      <c r="Z43" s="111"/>
      <c r="AA43" s="111"/>
      <c r="AB43" s="111"/>
      <c r="AC43" s="111"/>
      <c r="AD43" s="111"/>
      <c r="AE43" s="111"/>
      <c r="AF43" s="111"/>
      <c r="AG43" s="11"/>
      <c r="AH43" s="71"/>
    </row>
    <row r="44">
      <c r="A44" s="11"/>
      <c r="B44" s="98" t="s">
        <v>1</v>
      </c>
      <c r="C44" s="113"/>
      <c r="D44" s="66"/>
      <c r="E44" s="11"/>
      <c r="F44" s="144" t="s">
        <v>162</v>
      </c>
      <c r="G44" s="145"/>
      <c r="H44" s="140">
        <v>90000.0</v>
      </c>
      <c r="I44" s="141">
        <v>1.0</v>
      </c>
      <c r="J44" s="101">
        <f t="shared" si="6"/>
        <v>90000</v>
      </c>
      <c r="K44" s="142" t="s">
        <v>145</v>
      </c>
      <c r="L44" s="68"/>
      <c r="M44" s="143">
        <f>J44/0.8</f>
        <v>112500</v>
      </c>
      <c r="N44" s="142" t="s">
        <v>145</v>
      </c>
      <c r="O44" s="110">
        <f t="shared" si="7"/>
        <v>30.40540541</v>
      </c>
      <c r="P44" s="142" t="s">
        <v>145</v>
      </c>
      <c r="Q44" s="68"/>
      <c r="R44" s="111"/>
      <c r="S44" s="111"/>
      <c r="T44" s="111"/>
      <c r="U44" s="111"/>
      <c r="V44" s="70"/>
      <c r="W44" s="111"/>
      <c r="X44" s="111"/>
      <c r="Y44" s="70"/>
      <c r="Z44" s="111"/>
      <c r="AA44" s="111"/>
      <c r="AB44" s="111"/>
      <c r="AC44" s="111"/>
      <c r="AD44" s="111"/>
      <c r="AE44" s="111"/>
      <c r="AF44" s="111"/>
      <c r="AG44" s="11"/>
      <c r="AH44" s="71"/>
    </row>
    <row r="45">
      <c r="A45" s="11"/>
      <c r="B45" s="113"/>
      <c r="C45" s="113"/>
      <c r="D45" s="114"/>
      <c r="E45" s="113"/>
      <c r="F45" s="136" t="s">
        <v>163</v>
      </c>
      <c r="G45" s="137"/>
      <c r="H45" s="137"/>
      <c r="I45" s="138"/>
      <c r="J45" s="137"/>
      <c r="K45" s="137"/>
      <c r="L45" s="68"/>
      <c r="M45" s="137"/>
      <c r="N45" s="137"/>
      <c r="O45" s="137"/>
      <c r="P45" s="137"/>
      <c r="Q45" s="68"/>
      <c r="R45" s="111"/>
      <c r="S45" s="111"/>
      <c r="T45" s="111"/>
      <c r="U45" s="111"/>
      <c r="V45" s="70"/>
      <c r="W45" s="111"/>
      <c r="X45" s="111"/>
      <c r="Y45" s="70"/>
      <c r="Z45" s="111"/>
      <c r="AA45" s="111"/>
      <c r="AB45" s="111"/>
      <c r="AC45" s="111"/>
      <c r="AD45" s="111"/>
      <c r="AE45" s="111"/>
      <c r="AF45" s="111"/>
      <c r="AG45" s="11"/>
      <c r="AH45" s="71"/>
    </row>
    <row r="46">
      <c r="A46" s="11"/>
      <c r="B46" s="98" t="s">
        <v>1</v>
      </c>
      <c r="C46" s="113"/>
      <c r="D46" s="66"/>
      <c r="E46" s="11"/>
      <c r="F46" s="144" t="s">
        <v>164</v>
      </c>
      <c r="G46" s="145"/>
      <c r="H46" s="140">
        <v>108000.0</v>
      </c>
      <c r="I46" s="141">
        <v>1.0</v>
      </c>
      <c r="J46" s="101">
        <f>H46*I46</f>
        <v>108000</v>
      </c>
      <c r="K46" s="142" t="s">
        <v>145</v>
      </c>
      <c r="L46" s="68"/>
      <c r="M46" s="143">
        <f>J46/0.8</f>
        <v>135000</v>
      </c>
      <c r="N46" s="142" t="s">
        <v>145</v>
      </c>
      <c r="O46" s="110">
        <f>M46/$I$70</f>
        <v>36.48648649</v>
      </c>
      <c r="P46" s="142" t="s">
        <v>145</v>
      </c>
      <c r="Q46" s="68"/>
      <c r="R46" s="111"/>
      <c r="S46" s="111"/>
      <c r="T46" s="111"/>
      <c r="U46" s="111"/>
      <c r="V46" s="70"/>
      <c r="W46" s="111"/>
      <c r="X46" s="111"/>
      <c r="Y46" s="70"/>
      <c r="Z46" s="111"/>
      <c r="AA46" s="111"/>
      <c r="AB46" s="111"/>
      <c r="AC46" s="111"/>
      <c r="AD46" s="111"/>
      <c r="AE46" s="111"/>
      <c r="AF46" s="111"/>
      <c r="AG46" s="11"/>
      <c r="AH46" s="71"/>
    </row>
    <row r="47">
      <c r="A47" s="11"/>
      <c r="B47" s="113"/>
      <c r="C47" s="113"/>
      <c r="D47" s="114"/>
      <c r="E47" s="113"/>
      <c r="F47" s="136" t="s">
        <v>33</v>
      </c>
      <c r="G47" s="137"/>
      <c r="H47" s="137"/>
      <c r="I47" s="138"/>
      <c r="J47" s="137"/>
      <c r="K47" s="137"/>
      <c r="L47" s="68"/>
      <c r="M47" s="137"/>
      <c r="N47" s="137"/>
      <c r="O47" s="137"/>
      <c r="P47" s="137"/>
      <c r="Q47" s="68"/>
      <c r="R47" s="111"/>
      <c r="S47" s="111"/>
      <c r="T47" s="111"/>
      <c r="U47" s="111"/>
      <c r="V47" s="70"/>
      <c r="W47" s="111"/>
      <c r="X47" s="111"/>
      <c r="Y47" s="70"/>
      <c r="Z47" s="111"/>
      <c r="AA47" s="111"/>
      <c r="AB47" s="111"/>
      <c r="AC47" s="111"/>
      <c r="AD47" s="111"/>
      <c r="AE47" s="111"/>
      <c r="AF47" s="111"/>
      <c r="AG47" s="11"/>
      <c r="AH47" s="71"/>
    </row>
    <row r="48">
      <c r="A48" s="11"/>
      <c r="B48" s="98" t="s">
        <v>1</v>
      </c>
      <c r="C48" s="98" t="s">
        <v>105</v>
      </c>
      <c r="D48" s="66"/>
      <c r="E48" s="11"/>
      <c r="F48" s="128" t="s">
        <v>82</v>
      </c>
      <c r="G48" s="135"/>
      <c r="H48" s="130"/>
      <c r="I48" s="131"/>
      <c r="J48" s="130"/>
      <c r="K48" s="130"/>
      <c r="L48" s="68"/>
      <c r="M48" s="130"/>
      <c r="N48" s="130"/>
      <c r="O48" s="130"/>
      <c r="P48" s="130"/>
      <c r="Q48" s="68"/>
      <c r="R48" s="111"/>
      <c r="S48" s="111"/>
      <c r="T48" s="111"/>
      <c r="U48" s="111"/>
      <c r="V48" s="70"/>
      <c r="W48" s="111"/>
      <c r="X48" s="111"/>
      <c r="Y48" s="70"/>
      <c r="Z48" s="111"/>
      <c r="AA48" s="111"/>
      <c r="AB48" s="111"/>
      <c r="AC48" s="111"/>
      <c r="AD48" s="111"/>
      <c r="AE48" s="111"/>
      <c r="AF48" s="111"/>
      <c r="AG48" s="11"/>
      <c r="AH48" s="71"/>
    </row>
    <row r="49">
      <c r="A49" s="11"/>
      <c r="B49" s="98" t="s">
        <v>1</v>
      </c>
      <c r="C49" s="113"/>
      <c r="D49" s="66"/>
      <c r="E49" s="11"/>
      <c r="F49" s="146" t="s">
        <v>83</v>
      </c>
      <c r="G49" s="145"/>
      <c r="H49" s="140">
        <v>100000.0</v>
      </c>
      <c r="I49" s="141">
        <v>1.0</v>
      </c>
      <c r="J49" s="101">
        <f t="shared" ref="J49:J50" si="8">H49*I49</f>
        <v>100000</v>
      </c>
      <c r="K49" s="142" t="s">
        <v>145</v>
      </c>
      <c r="L49" s="68"/>
      <c r="M49" s="143">
        <f t="shared" ref="M49:M50" si="9">J49/0.75</f>
        <v>133333.3333</v>
      </c>
      <c r="N49" s="142" t="s">
        <v>145</v>
      </c>
      <c r="O49" s="110">
        <f t="shared" ref="O49:O50" si="10">M49/$I$70</f>
        <v>36.03603604</v>
      </c>
      <c r="P49" s="142" t="s">
        <v>145</v>
      </c>
      <c r="Q49" s="68"/>
      <c r="R49" s="111"/>
      <c r="S49" s="111"/>
      <c r="T49" s="111"/>
      <c r="U49" s="111"/>
      <c r="V49" s="70"/>
      <c r="W49" s="111"/>
      <c r="X49" s="111"/>
      <c r="Y49" s="70"/>
      <c r="Z49" s="111"/>
      <c r="AA49" s="111"/>
      <c r="AB49" s="111"/>
      <c r="AC49" s="111"/>
      <c r="AD49" s="111"/>
      <c r="AE49" s="111"/>
      <c r="AF49" s="111"/>
      <c r="AG49" s="11"/>
      <c r="AH49" s="71"/>
    </row>
    <row r="50">
      <c r="A50" s="11"/>
      <c r="B50" s="98" t="s">
        <v>1</v>
      </c>
      <c r="C50" s="113"/>
      <c r="D50" s="66"/>
      <c r="E50" s="11"/>
      <c r="F50" s="146" t="s">
        <v>84</v>
      </c>
      <c r="G50" s="145"/>
      <c r="H50" s="140">
        <v>100000.0</v>
      </c>
      <c r="I50" s="141">
        <v>1.0</v>
      </c>
      <c r="J50" s="101">
        <f t="shared" si="8"/>
        <v>100000</v>
      </c>
      <c r="K50" s="142" t="s">
        <v>145</v>
      </c>
      <c r="L50" s="68"/>
      <c r="M50" s="143">
        <f t="shared" si="9"/>
        <v>133333.3333</v>
      </c>
      <c r="N50" s="142" t="s">
        <v>145</v>
      </c>
      <c r="O50" s="110">
        <f t="shared" si="10"/>
        <v>36.03603604</v>
      </c>
      <c r="P50" s="142" t="s">
        <v>145</v>
      </c>
      <c r="Q50" s="68"/>
      <c r="R50" s="111"/>
      <c r="S50" s="111"/>
      <c r="T50" s="111"/>
      <c r="U50" s="111"/>
      <c r="V50" s="70"/>
      <c r="W50" s="111"/>
      <c r="X50" s="111"/>
      <c r="Y50" s="70"/>
      <c r="Z50" s="111"/>
      <c r="AA50" s="111"/>
      <c r="AB50" s="111"/>
      <c r="AC50" s="111"/>
      <c r="AD50" s="111"/>
      <c r="AE50" s="111"/>
      <c r="AF50" s="111"/>
      <c r="AG50" s="11"/>
      <c r="AH50" s="71"/>
    </row>
    <row r="51">
      <c r="A51" s="11"/>
      <c r="B51" s="98" t="s">
        <v>1</v>
      </c>
      <c r="C51" s="98" t="s">
        <v>105</v>
      </c>
      <c r="D51" s="66"/>
      <c r="E51" s="11"/>
      <c r="F51" s="128" t="s">
        <v>79</v>
      </c>
      <c r="G51" s="135"/>
      <c r="H51" s="130"/>
      <c r="I51" s="131"/>
      <c r="J51" s="130"/>
      <c r="K51" s="130"/>
      <c r="L51" s="68"/>
      <c r="M51" s="130"/>
      <c r="N51" s="130"/>
      <c r="O51" s="130"/>
      <c r="P51" s="130"/>
      <c r="Q51" s="68"/>
      <c r="R51" s="111"/>
      <c r="S51" s="111"/>
      <c r="T51" s="111"/>
      <c r="U51" s="111"/>
      <c r="V51" s="70"/>
      <c r="W51" s="111"/>
      <c r="X51" s="111"/>
      <c r="Y51" s="70"/>
      <c r="Z51" s="111"/>
      <c r="AA51" s="111"/>
      <c r="AB51" s="111"/>
      <c r="AC51" s="111"/>
      <c r="AD51" s="111"/>
      <c r="AE51" s="111"/>
      <c r="AF51" s="111"/>
      <c r="AG51" s="11"/>
      <c r="AH51" s="71"/>
    </row>
    <row r="52">
      <c r="A52" s="11"/>
      <c r="B52" s="98" t="s">
        <v>1</v>
      </c>
      <c r="C52" s="98" t="s">
        <v>105</v>
      </c>
      <c r="D52" s="66"/>
      <c r="E52" s="11"/>
      <c r="F52" s="128" t="s">
        <v>81</v>
      </c>
      <c r="G52" s="135"/>
      <c r="H52" s="130"/>
      <c r="I52" s="131"/>
      <c r="J52" s="130"/>
      <c r="K52" s="130"/>
      <c r="L52" s="68"/>
      <c r="M52" s="130"/>
      <c r="N52" s="130"/>
      <c r="O52" s="130"/>
      <c r="P52" s="130"/>
      <c r="Q52" s="68"/>
      <c r="R52" s="111"/>
      <c r="S52" s="111"/>
      <c r="T52" s="111"/>
      <c r="U52" s="111"/>
      <c r="V52" s="70"/>
      <c r="W52" s="111"/>
      <c r="X52" s="111"/>
      <c r="Y52" s="70"/>
      <c r="Z52" s="111"/>
      <c r="AA52" s="111"/>
      <c r="AB52" s="111"/>
      <c r="AC52" s="111"/>
      <c r="AD52" s="111"/>
      <c r="AE52" s="111"/>
      <c r="AF52" s="111"/>
      <c r="AG52" s="11"/>
      <c r="AH52" s="71"/>
    </row>
    <row r="53">
      <c r="A53" s="11"/>
      <c r="B53" s="98" t="s">
        <v>1</v>
      </c>
      <c r="C53" s="98" t="s">
        <v>105</v>
      </c>
      <c r="D53" s="66"/>
      <c r="E53" s="11"/>
      <c r="F53" s="128" t="s">
        <v>85</v>
      </c>
      <c r="G53" s="135"/>
      <c r="H53" s="130"/>
      <c r="I53" s="131"/>
      <c r="J53" s="130"/>
      <c r="K53" s="130"/>
      <c r="L53" s="68"/>
      <c r="M53" s="130"/>
      <c r="N53" s="130"/>
      <c r="O53" s="130"/>
      <c r="P53" s="130"/>
      <c r="Q53" s="68"/>
      <c r="R53" s="111"/>
      <c r="S53" s="111"/>
      <c r="T53" s="111"/>
      <c r="U53" s="111"/>
      <c r="V53" s="70"/>
      <c r="W53" s="111"/>
      <c r="X53" s="111"/>
      <c r="Y53" s="70"/>
      <c r="Z53" s="111"/>
      <c r="AA53" s="111"/>
      <c r="AB53" s="111"/>
      <c r="AC53" s="111"/>
      <c r="AD53" s="111"/>
      <c r="AE53" s="111"/>
      <c r="AF53" s="111"/>
      <c r="AG53" s="11"/>
      <c r="AH53" s="71"/>
    </row>
    <row r="54">
      <c r="A54" s="11"/>
      <c r="B54" s="113"/>
      <c r="C54" s="98" t="s">
        <v>105</v>
      </c>
      <c r="D54" s="66"/>
      <c r="E54" s="11"/>
      <c r="F54" s="146" t="s">
        <v>165</v>
      </c>
      <c r="G54" s="145"/>
      <c r="H54" s="147">
        <v>50000.0</v>
      </c>
      <c r="I54" s="141">
        <v>1.0</v>
      </c>
      <c r="J54" s="142" t="s">
        <v>145</v>
      </c>
      <c r="K54" s="101">
        <f>H54*I54</f>
        <v>50000</v>
      </c>
      <c r="L54" s="68"/>
      <c r="M54" s="142" t="s">
        <v>145</v>
      </c>
      <c r="N54" s="143">
        <f>K54/0.6</f>
        <v>83333.33333</v>
      </c>
      <c r="O54" s="142" t="s">
        <v>145</v>
      </c>
      <c r="P54" s="110">
        <f>N54/I70</f>
        <v>22.52252252</v>
      </c>
      <c r="Q54" s="68"/>
      <c r="R54" s="111"/>
      <c r="S54" s="111"/>
      <c r="T54" s="111"/>
      <c r="U54" s="111"/>
      <c r="V54" s="70"/>
      <c r="W54" s="111"/>
      <c r="X54" s="111"/>
      <c r="Y54" s="70"/>
      <c r="Z54" s="111"/>
      <c r="AA54" s="111"/>
      <c r="AB54" s="111"/>
      <c r="AC54" s="111"/>
      <c r="AD54" s="111"/>
      <c r="AE54" s="111"/>
      <c r="AF54" s="111"/>
      <c r="AG54" s="11"/>
      <c r="AH54" s="71"/>
    </row>
    <row r="55">
      <c r="A55" s="11"/>
      <c r="B55" s="98" t="s">
        <v>1</v>
      </c>
      <c r="C55" s="113"/>
      <c r="D55" s="148" t="s">
        <v>166</v>
      </c>
      <c r="E55" s="11"/>
      <c r="F55" s="146" t="s">
        <v>167</v>
      </c>
      <c r="G55" s="145"/>
      <c r="H55" s="140">
        <v>650000.0</v>
      </c>
      <c r="I55" s="141">
        <v>1.0</v>
      </c>
      <c r="J55" s="101">
        <f>H55*I55</f>
        <v>650000</v>
      </c>
      <c r="K55" s="142" t="s">
        <v>145</v>
      </c>
      <c r="L55" s="68"/>
      <c r="M55" s="143">
        <f>J55/0.75</f>
        <v>866666.6667</v>
      </c>
      <c r="N55" s="142" t="s">
        <v>145</v>
      </c>
      <c r="O55" s="110">
        <f>M55/$I$70</f>
        <v>234.2342342</v>
      </c>
      <c r="P55" s="142" t="s">
        <v>145</v>
      </c>
      <c r="Q55" s="68"/>
      <c r="R55" s="111"/>
      <c r="S55" s="111"/>
      <c r="T55" s="111"/>
      <c r="U55" s="111"/>
      <c r="V55" s="70"/>
      <c r="W55" s="111"/>
      <c r="X55" s="111"/>
      <c r="Y55" s="70"/>
      <c r="Z55" s="111"/>
      <c r="AA55" s="111"/>
      <c r="AB55" s="111"/>
      <c r="AC55" s="111"/>
      <c r="AD55" s="111"/>
      <c r="AE55" s="111"/>
      <c r="AF55" s="111"/>
      <c r="AG55" s="11"/>
      <c r="AH55" s="71"/>
    </row>
    <row r="56">
      <c r="A56" s="11"/>
      <c r="B56" s="113"/>
      <c r="C56" s="113"/>
      <c r="D56" s="114"/>
      <c r="E56" s="113"/>
      <c r="F56" s="149" t="s">
        <v>34</v>
      </c>
      <c r="G56" s="150"/>
      <c r="H56" s="150"/>
      <c r="I56" s="151"/>
      <c r="J56" s="152"/>
      <c r="K56" s="152"/>
      <c r="L56" s="68"/>
      <c r="M56" s="152"/>
      <c r="N56" s="152"/>
      <c r="O56" s="152"/>
      <c r="P56" s="152"/>
      <c r="Q56" s="68"/>
      <c r="R56" s="152"/>
      <c r="S56" s="152"/>
      <c r="T56" s="152"/>
      <c r="U56" s="152"/>
      <c r="V56" s="70"/>
      <c r="W56" s="152"/>
      <c r="X56" s="152"/>
      <c r="Y56" s="70"/>
      <c r="Z56" s="123"/>
      <c r="AA56" s="124"/>
      <c r="AB56" s="132"/>
      <c r="AC56" s="153"/>
      <c r="AD56" s="134"/>
      <c r="AE56" s="134"/>
      <c r="AF56" s="111"/>
      <c r="AG56" s="11"/>
      <c r="AH56" s="71"/>
    </row>
    <row r="57">
      <c r="A57" s="11"/>
      <c r="B57" s="98" t="s">
        <v>1</v>
      </c>
      <c r="C57" s="98" t="s">
        <v>105</v>
      </c>
      <c r="D57" s="66"/>
      <c r="E57" s="11"/>
      <c r="F57" s="154" t="s">
        <v>168</v>
      </c>
      <c r="G57" s="155"/>
      <c r="H57" s="156"/>
      <c r="I57" s="157"/>
      <c r="J57" s="156"/>
      <c r="K57" s="156"/>
      <c r="L57" s="68"/>
      <c r="M57" s="156"/>
      <c r="N57" s="156"/>
      <c r="O57" s="156"/>
      <c r="P57" s="156"/>
      <c r="Q57" s="68"/>
      <c r="R57" s="103"/>
      <c r="S57" s="103"/>
      <c r="T57" s="103"/>
      <c r="U57" s="103"/>
      <c r="V57" s="70"/>
      <c r="W57" s="158"/>
      <c r="X57" s="159"/>
      <c r="Y57" s="70"/>
      <c r="Z57" s="123"/>
      <c r="AA57" s="124"/>
      <c r="AB57" s="132"/>
      <c r="AC57" s="153"/>
      <c r="AD57" s="134"/>
      <c r="AE57" s="134"/>
      <c r="AF57" s="134"/>
      <c r="AG57" s="11"/>
      <c r="AH57" s="71"/>
    </row>
    <row r="58">
      <c r="A58" s="11"/>
      <c r="B58" s="113"/>
      <c r="C58" s="98" t="s">
        <v>105</v>
      </c>
      <c r="D58" s="148" t="s">
        <v>166</v>
      </c>
      <c r="E58" s="11"/>
      <c r="F58" s="146" t="s">
        <v>169</v>
      </c>
      <c r="G58" s="145"/>
      <c r="H58" s="147">
        <v>0.0</v>
      </c>
      <c r="I58" s="141">
        <v>1.0</v>
      </c>
      <c r="J58" s="142" t="s">
        <v>145</v>
      </c>
      <c r="K58" s="101">
        <f>H58*I58</f>
        <v>0</v>
      </c>
      <c r="L58" s="68"/>
      <c r="M58" s="142" t="s">
        <v>145</v>
      </c>
      <c r="N58" s="101">
        <f>K58/0.9</f>
        <v>0</v>
      </c>
      <c r="O58" s="142" t="s">
        <v>145</v>
      </c>
      <c r="P58" s="160">
        <v>0.0</v>
      </c>
      <c r="Q58" s="68"/>
      <c r="R58" s="103"/>
      <c r="S58" s="111"/>
      <c r="T58" s="103"/>
      <c r="U58" s="103"/>
      <c r="V58" s="70"/>
      <c r="W58" s="161"/>
      <c r="X58" s="162"/>
      <c r="Y58" s="70"/>
      <c r="Z58" s="123"/>
      <c r="AA58" s="124"/>
      <c r="AB58" s="132"/>
      <c r="AC58" s="153"/>
      <c r="AD58" s="134"/>
      <c r="AE58" s="134"/>
      <c r="AF58" s="134"/>
      <c r="AG58" s="11"/>
      <c r="AH58" s="71"/>
    </row>
    <row r="59">
      <c r="A59" s="11"/>
      <c r="B59" s="98" t="s">
        <v>1</v>
      </c>
      <c r="C59" s="113"/>
      <c r="D59" s="66"/>
      <c r="E59" s="11"/>
      <c r="F59" s="144" t="s">
        <v>170</v>
      </c>
      <c r="G59" s="145"/>
      <c r="H59" s="140">
        <v>280000.0</v>
      </c>
      <c r="I59" s="141">
        <v>1.0</v>
      </c>
      <c r="J59" s="101">
        <f t="shared" ref="J59:J62" si="11">H59*I59</f>
        <v>280000</v>
      </c>
      <c r="K59" s="142" t="s">
        <v>145</v>
      </c>
      <c r="L59" s="68"/>
      <c r="M59" s="143">
        <f>J59/0.9</f>
        <v>311111.1111</v>
      </c>
      <c r="N59" s="142" t="s">
        <v>145</v>
      </c>
      <c r="O59" s="110">
        <f t="shared" ref="O59:O62" si="12">M59/$I$70</f>
        <v>84.08408408</v>
      </c>
      <c r="P59" s="142" t="s">
        <v>145</v>
      </c>
      <c r="Q59" s="68"/>
      <c r="R59" s="103"/>
      <c r="S59" s="111"/>
      <c r="T59" s="103"/>
      <c r="U59" s="103"/>
      <c r="V59" s="70"/>
      <c r="W59" s="161"/>
      <c r="X59" s="162"/>
      <c r="Y59" s="70"/>
      <c r="Z59" s="123"/>
      <c r="AA59" s="124"/>
      <c r="AB59" s="132"/>
      <c r="AC59" s="153"/>
      <c r="AD59" s="134"/>
      <c r="AE59" s="134"/>
      <c r="AF59" s="134"/>
      <c r="AG59" s="11"/>
      <c r="AH59" s="71"/>
    </row>
    <row r="60" ht="27.0" customHeight="1">
      <c r="A60" s="11"/>
      <c r="B60" s="98" t="s">
        <v>1</v>
      </c>
      <c r="C60" s="113"/>
      <c r="D60" s="66"/>
      <c r="E60" s="11"/>
      <c r="F60" s="144" t="s">
        <v>171</v>
      </c>
      <c r="G60" s="145"/>
      <c r="H60" s="140">
        <v>300000.0</v>
      </c>
      <c r="I60" s="141">
        <v>1.0</v>
      </c>
      <c r="J60" s="101">
        <f t="shared" si="11"/>
        <v>300000</v>
      </c>
      <c r="K60" s="142" t="s">
        <v>145</v>
      </c>
      <c r="L60" s="68"/>
      <c r="M60" s="143">
        <f>J60/0.95</f>
        <v>315789.4737</v>
      </c>
      <c r="N60" s="142" t="s">
        <v>145</v>
      </c>
      <c r="O60" s="110">
        <f t="shared" si="12"/>
        <v>85.3485064</v>
      </c>
      <c r="P60" s="142" t="s">
        <v>145</v>
      </c>
      <c r="Q60" s="68"/>
      <c r="R60" s="103"/>
      <c r="S60" s="103"/>
      <c r="T60" s="103"/>
      <c r="U60" s="103"/>
      <c r="V60" s="70"/>
      <c r="W60" s="158"/>
      <c r="X60" s="159"/>
      <c r="Y60" s="70"/>
      <c r="Z60" s="123"/>
      <c r="AA60" s="124"/>
      <c r="AB60" s="132"/>
      <c r="AC60" s="153"/>
      <c r="AD60" s="134"/>
      <c r="AE60" s="134"/>
      <c r="AF60" s="134"/>
      <c r="AG60" s="11"/>
      <c r="AH60" s="71"/>
    </row>
    <row r="61" ht="27.0" customHeight="1">
      <c r="A61" s="11"/>
      <c r="B61" s="98" t="s">
        <v>1</v>
      </c>
      <c r="C61" s="113"/>
      <c r="D61" s="163" t="s">
        <v>172</v>
      </c>
      <c r="E61" s="11"/>
      <c r="F61" s="146" t="s">
        <v>173</v>
      </c>
      <c r="G61" s="134"/>
      <c r="H61" s="147">
        <v>150000.0</v>
      </c>
      <c r="I61" s="146">
        <v>1.0</v>
      </c>
      <c r="J61" s="101">
        <f t="shared" si="11"/>
        <v>150000</v>
      </c>
      <c r="K61" s="142" t="s">
        <v>145</v>
      </c>
      <c r="L61" s="68"/>
      <c r="M61" s="143">
        <f>J61</f>
        <v>150000</v>
      </c>
      <c r="N61" s="142" t="s">
        <v>145</v>
      </c>
      <c r="O61" s="110">
        <f t="shared" si="12"/>
        <v>40.54054054</v>
      </c>
      <c r="P61" s="142" t="s">
        <v>145</v>
      </c>
      <c r="Q61" s="70"/>
      <c r="R61" s="103"/>
      <c r="S61" s="103"/>
      <c r="T61" s="103"/>
      <c r="U61" s="103"/>
      <c r="V61" s="70"/>
      <c r="W61" s="158"/>
      <c r="X61" s="159"/>
      <c r="Y61" s="70"/>
      <c r="Z61" s="123"/>
      <c r="AA61" s="124"/>
      <c r="AB61" s="134"/>
      <c r="AC61" s="134"/>
      <c r="AD61" s="134"/>
      <c r="AE61" s="134"/>
      <c r="AF61" s="134"/>
      <c r="AG61" s="11"/>
      <c r="AH61" s="71"/>
    </row>
    <row r="62" ht="27.0" customHeight="1">
      <c r="A62" s="11"/>
      <c r="B62" s="98" t="s">
        <v>1</v>
      </c>
      <c r="C62" s="113"/>
      <c r="D62" s="66"/>
      <c r="E62" s="11"/>
      <c r="F62" s="146" t="s">
        <v>174</v>
      </c>
      <c r="G62" s="134"/>
      <c r="H62" s="140">
        <v>270000.0</v>
      </c>
      <c r="I62" s="146">
        <v>1.0</v>
      </c>
      <c r="J62" s="101">
        <f t="shared" si="11"/>
        <v>270000</v>
      </c>
      <c r="K62" s="142" t="s">
        <v>145</v>
      </c>
      <c r="L62" s="68"/>
      <c r="M62" s="143">
        <f>J62/0.9</f>
        <v>300000</v>
      </c>
      <c r="N62" s="142" t="s">
        <v>145</v>
      </c>
      <c r="O62" s="110">
        <f t="shared" si="12"/>
        <v>81.08108108</v>
      </c>
      <c r="P62" s="142" t="s">
        <v>145</v>
      </c>
      <c r="Q62" s="70"/>
      <c r="R62" s="103"/>
      <c r="S62" s="103"/>
      <c r="T62" s="103"/>
      <c r="U62" s="103"/>
      <c r="V62" s="70"/>
      <c r="W62" s="158"/>
      <c r="X62" s="159"/>
      <c r="Y62" s="70"/>
      <c r="Z62" s="123"/>
      <c r="AA62" s="124"/>
      <c r="AB62" s="134"/>
      <c r="AC62" s="134"/>
      <c r="AD62" s="134"/>
      <c r="AE62" s="134"/>
      <c r="AF62" s="134"/>
      <c r="AG62" s="11"/>
      <c r="AH62" s="71"/>
    </row>
    <row r="63">
      <c r="A63" s="11"/>
      <c r="B63" s="98" t="s">
        <v>1</v>
      </c>
      <c r="C63" s="98" t="s">
        <v>105</v>
      </c>
      <c r="D63" s="66"/>
      <c r="E63" s="11"/>
      <c r="F63" s="128" t="s">
        <v>175</v>
      </c>
      <c r="G63" s="135"/>
      <c r="H63" s="130"/>
      <c r="I63" s="131"/>
      <c r="J63" s="130"/>
      <c r="K63" s="130"/>
      <c r="L63" s="68"/>
      <c r="M63" s="130"/>
      <c r="N63" s="130"/>
      <c r="O63" s="130"/>
      <c r="P63" s="130"/>
      <c r="Q63" s="68"/>
      <c r="R63" s="103"/>
      <c r="S63" s="103"/>
      <c r="T63" s="103"/>
      <c r="U63" s="103"/>
      <c r="V63" s="70"/>
      <c r="W63" s="158"/>
      <c r="X63" s="159"/>
      <c r="Y63" s="70"/>
      <c r="Z63" s="123"/>
      <c r="AA63" s="124"/>
      <c r="AB63" s="123"/>
      <c r="AC63" s="109"/>
      <c r="AD63" s="134"/>
      <c r="AE63" s="134"/>
      <c r="AF63" s="134"/>
      <c r="AG63" s="11"/>
      <c r="AH63" s="71"/>
    </row>
    <row r="64">
      <c r="A64" s="11"/>
      <c r="B64" s="98" t="s">
        <v>1</v>
      </c>
      <c r="C64" s="98" t="s">
        <v>105</v>
      </c>
      <c r="D64" s="66"/>
      <c r="E64" s="11"/>
      <c r="F64" s="164" t="s">
        <v>176</v>
      </c>
      <c r="G64" s="135"/>
      <c r="H64" s="130"/>
      <c r="I64" s="131"/>
      <c r="J64" s="130"/>
      <c r="K64" s="130"/>
      <c r="L64" s="68"/>
      <c r="M64" s="130"/>
      <c r="N64" s="130"/>
      <c r="O64" s="130"/>
      <c r="P64" s="130"/>
      <c r="Q64" s="68"/>
      <c r="R64" s="103"/>
      <c r="S64" s="103"/>
      <c r="T64" s="103"/>
      <c r="U64" s="103"/>
      <c r="V64" s="70"/>
      <c r="W64" s="158"/>
      <c r="X64" s="159"/>
      <c r="Y64" s="70"/>
      <c r="Z64" s="123"/>
      <c r="AA64" s="124"/>
      <c r="AB64" s="123"/>
      <c r="AC64" s="109"/>
      <c r="AD64" s="134"/>
      <c r="AE64" s="134"/>
      <c r="AF64" s="134"/>
      <c r="AG64" s="11"/>
      <c r="AH64" s="71"/>
    </row>
    <row r="65">
      <c r="A65" s="11"/>
      <c r="B65" s="98" t="s">
        <v>1</v>
      </c>
      <c r="C65" s="113"/>
      <c r="D65" s="66"/>
      <c r="E65" s="11"/>
      <c r="F65" s="165" t="s">
        <v>177</v>
      </c>
      <c r="G65" s="109"/>
      <c r="H65" s="101">
        <v>180000.0</v>
      </c>
      <c r="I65" s="146">
        <v>0.5</v>
      </c>
      <c r="J65" s="166">
        <f>H65*I65</f>
        <v>90000</v>
      </c>
      <c r="K65" s="142" t="s">
        <v>145</v>
      </c>
      <c r="L65" s="68"/>
      <c r="M65" s="101">
        <f>J65/0.9</f>
        <v>100000</v>
      </c>
      <c r="N65" s="101"/>
      <c r="O65" s="167">
        <f>M65/$I$70</f>
        <v>27.02702703</v>
      </c>
      <c r="P65" s="167"/>
      <c r="Q65" s="68"/>
      <c r="R65" s="103"/>
      <c r="S65" s="103"/>
      <c r="T65" s="103"/>
      <c r="U65" s="103"/>
      <c r="V65" s="70"/>
      <c r="W65" s="158"/>
      <c r="X65" s="159"/>
      <c r="Y65" s="70"/>
      <c r="Z65" s="123"/>
      <c r="AA65" s="124"/>
      <c r="AB65" s="123"/>
      <c r="AC65" s="109"/>
      <c r="AD65" s="134"/>
      <c r="AE65" s="134"/>
      <c r="AF65" s="134"/>
      <c r="AG65" s="11"/>
      <c r="AH65" s="71"/>
    </row>
    <row r="66" ht="15.75" customHeight="1">
      <c r="A66" s="11"/>
      <c r="B66" s="98" t="s">
        <v>1</v>
      </c>
      <c r="C66" s="98" t="s">
        <v>105</v>
      </c>
      <c r="D66" s="66"/>
      <c r="E66" s="11"/>
      <c r="F66" s="168" t="s">
        <v>178</v>
      </c>
      <c r="G66" s="109"/>
      <c r="H66" s="101">
        <v>20000.0</v>
      </c>
      <c r="I66" s="141">
        <v>1.0</v>
      </c>
      <c r="J66" s="166">
        <f>+H66*I66</f>
        <v>20000</v>
      </c>
      <c r="K66" s="166">
        <f>H66*I66</f>
        <v>20000</v>
      </c>
      <c r="L66" s="68"/>
      <c r="M66" s="169"/>
      <c r="N66" s="169"/>
      <c r="O66" s="169"/>
      <c r="P66" s="169"/>
      <c r="Q66" s="68"/>
      <c r="R66" s="103"/>
      <c r="S66" s="103"/>
      <c r="T66" s="103"/>
      <c r="U66" s="103"/>
      <c r="V66" s="70"/>
      <c r="W66" s="158"/>
      <c r="X66" s="159"/>
      <c r="Y66" s="70"/>
      <c r="Z66" s="123"/>
      <c r="AA66" s="124"/>
      <c r="AB66" s="125"/>
      <c r="AC66" s="109"/>
      <c r="AD66" s="134"/>
      <c r="AE66" s="134"/>
      <c r="AF66" s="134"/>
      <c r="AG66" s="11"/>
      <c r="AH66" s="71"/>
    </row>
    <row r="67" ht="15.75" customHeight="1">
      <c r="A67" s="11"/>
      <c r="B67" s="11"/>
      <c r="C67" s="11"/>
      <c r="D67" s="66"/>
      <c r="E67" s="11"/>
      <c r="F67" s="11"/>
      <c r="G67" s="68"/>
      <c r="H67" s="170"/>
      <c r="I67" s="171" t="s">
        <v>179</v>
      </c>
      <c r="J67" s="172">
        <f t="shared" ref="J67:K67" si="13">SUM(J5:J66)</f>
        <v>3665000</v>
      </c>
      <c r="K67" s="172">
        <f t="shared" si="13"/>
        <v>1441000</v>
      </c>
      <c r="L67" s="68"/>
      <c r="M67" s="68"/>
      <c r="N67" s="68"/>
      <c r="O67" s="173"/>
      <c r="P67" s="70"/>
      <c r="Q67" s="70"/>
      <c r="R67" s="70"/>
      <c r="S67" s="70"/>
      <c r="T67" s="70"/>
      <c r="U67" s="69"/>
      <c r="V67" s="70"/>
      <c r="W67" s="70"/>
      <c r="X67" s="69"/>
      <c r="Y67" s="70"/>
      <c r="Z67" s="70"/>
      <c r="AA67" s="69"/>
      <c r="AB67" s="11"/>
      <c r="AC67" s="11"/>
      <c r="AD67" s="11"/>
      <c r="AE67" s="11"/>
      <c r="AF67" s="11"/>
      <c r="AG67" s="11"/>
      <c r="AH67" s="71"/>
    </row>
    <row r="68" ht="15.75" customHeight="1">
      <c r="A68" s="11"/>
      <c r="B68" s="11"/>
      <c r="C68" s="11"/>
      <c r="D68" s="66"/>
      <c r="E68" s="11"/>
      <c r="F68" s="11"/>
      <c r="G68" s="11"/>
      <c r="H68" s="68"/>
      <c r="I68" s="174">
        <v>0.2</v>
      </c>
      <c r="J68" s="172">
        <f>J67/0.797</f>
        <v>4598494.354</v>
      </c>
      <c r="K68" s="172">
        <f>K67/0.755</f>
        <v>1908609.272</v>
      </c>
      <c r="L68" s="68"/>
      <c r="M68" s="68"/>
      <c r="N68" s="68"/>
      <c r="O68" s="172">
        <f t="shared" ref="O68:P68" si="14">SUM(O5:O67)</f>
        <v>1233.486645</v>
      </c>
      <c r="P68" s="172">
        <f t="shared" si="14"/>
        <v>515.6306306</v>
      </c>
      <c r="Q68" s="70"/>
      <c r="R68" s="68"/>
      <c r="S68" s="68"/>
      <c r="T68" s="70"/>
      <c r="U68" s="69"/>
      <c r="V68" s="70"/>
      <c r="W68" s="70"/>
      <c r="X68" s="69"/>
      <c r="Y68" s="70"/>
      <c r="Z68" s="70"/>
      <c r="AA68" s="69"/>
      <c r="AB68" s="11"/>
      <c r="AC68" s="11"/>
      <c r="AD68" s="11"/>
      <c r="AE68" s="11"/>
      <c r="AF68" s="11"/>
      <c r="AG68" s="11"/>
      <c r="AH68" s="71"/>
    </row>
    <row r="69" ht="15.75" customHeight="1">
      <c r="A69" s="11"/>
      <c r="B69" s="11"/>
      <c r="C69" s="11"/>
      <c r="D69" s="66"/>
      <c r="E69" s="11"/>
      <c r="F69" s="11"/>
      <c r="G69" s="68"/>
      <c r="H69" s="172" t="s">
        <v>180</v>
      </c>
      <c r="I69" s="175" t="s">
        <v>181</v>
      </c>
      <c r="J69" s="176">
        <v>9000.0</v>
      </c>
      <c r="K69" s="172"/>
      <c r="L69" s="68"/>
      <c r="M69" s="68"/>
      <c r="N69" s="68"/>
      <c r="O69" s="176">
        <v>2.0</v>
      </c>
      <c r="P69" s="172"/>
      <c r="Q69" s="70"/>
      <c r="R69" s="68"/>
      <c r="S69" s="68"/>
      <c r="T69" s="70"/>
      <c r="U69" s="70"/>
      <c r="V69" s="70"/>
      <c r="W69" s="70"/>
      <c r="X69" s="69"/>
      <c r="Y69" s="70"/>
      <c r="Z69" s="70"/>
      <c r="AA69" s="69"/>
      <c r="AB69" s="11"/>
      <c r="AC69" s="11"/>
      <c r="AD69" s="11"/>
      <c r="AE69" s="11"/>
      <c r="AF69" s="11"/>
      <c r="AG69" s="11"/>
      <c r="AH69" s="71"/>
    </row>
    <row r="70">
      <c r="A70" s="11"/>
      <c r="B70" s="11"/>
      <c r="C70" s="11"/>
      <c r="D70" s="66"/>
      <c r="E70" s="11"/>
      <c r="F70" s="11"/>
      <c r="G70" s="68"/>
      <c r="H70" s="172" t="s">
        <v>182</v>
      </c>
      <c r="I70" s="172">
        <v>3700.0</v>
      </c>
      <c r="J70" s="177">
        <f t="shared" ref="J70:K70" si="15">SUM(J68:J69)</f>
        <v>4607494.354</v>
      </c>
      <c r="K70" s="177">
        <f t="shared" si="15"/>
        <v>1908609.272</v>
      </c>
      <c r="L70" s="68"/>
      <c r="M70" s="68"/>
      <c r="N70" s="68"/>
      <c r="O70" s="177">
        <f t="shared" ref="O70:P70" si="16">SUM(O68:O69)</f>
        <v>1235.486645</v>
      </c>
      <c r="P70" s="177">
        <f t="shared" si="16"/>
        <v>515.6306306</v>
      </c>
      <c r="Q70" s="70"/>
      <c r="R70" s="68"/>
      <c r="S70" s="68"/>
      <c r="T70" s="70"/>
      <c r="U70" s="69"/>
      <c r="V70" s="70"/>
      <c r="W70" s="70"/>
      <c r="X70" s="69"/>
      <c r="Y70" s="70"/>
      <c r="Z70" s="70"/>
      <c r="AA70" s="69"/>
      <c r="AB70" s="11"/>
      <c r="AC70" s="11"/>
      <c r="AD70" s="11"/>
      <c r="AE70" s="11"/>
      <c r="AF70" s="11"/>
      <c r="AG70" s="11"/>
      <c r="AH70" s="71"/>
    </row>
    <row r="71" ht="15.75" customHeight="1">
      <c r="A71" s="11"/>
      <c r="B71" s="11"/>
      <c r="C71" s="11"/>
      <c r="D71" s="66"/>
      <c r="E71" s="11"/>
      <c r="F71" s="11"/>
      <c r="G71" s="11"/>
      <c r="H71" s="68"/>
      <c r="I71" s="67"/>
      <c r="J71" s="178">
        <f>J70/I70</f>
        <v>1245.268744</v>
      </c>
      <c r="K71" s="178">
        <f>K70/I70</f>
        <v>515.8403437</v>
      </c>
      <c r="L71" s="68"/>
      <c r="M71" s="68"/>
      <c r="N71" s="68"/>
      <c r="O71" s="173"/>
      <c r="P71" s="179"/>
      <c r="Q71" s="70"/>
      <c r="R71" s="70"/>
      <c r="S71" s="70"/>
      <c r="T71" s="70"/>
      <c r="U71" s="69"/>
      <c r="V71" s="70"/>
      <c r="W71" s="70"/>
      <c r="X71" s="69"/>
      <c r="Y71" s="70"/>
      <c r="Z71" s="11"/>
      <c r="AA71" s="11"/>
      <c r="AB71" s="11"/>
      <c r="AC71" s="11"/>
      <c r="AD71" s="11"/>
      <c r="AE71" s="11"/>
      <c r="AF71" s="11"/>
      <c r="AG71" s="11"/>
      <c r="AH71" s="71"/>
    </row>
    <row r="72" ht="15.75" customHeight="1">
      <c r="A72" s="11"/>
      <c r="B72" s="11"/>
      <c r="C72" s="11"/>
      <c r="D72" s="66"/>
      <c r="E72" s="11"/>
      <c r="F72" s="11"/>
      <c r="G72" s="11"/>
      <c r="H72" s="68"/>
      <c r="I72" s="67"/>
      <c r="J72" s="68"/>
      <c r="K72" s="68"/>
      <c r="L72" s="68"/>
      <c r="M72" s="68"/>
      <c r="N72" s="68"/>
      <c r="O72" s="180"/>
      <c r="P72" s="181"/>
      <c r="Q72" s="70"/>
      <c r="R72" s="70"/>
      <c r="S72" s="70"/>
      <c r="T72" s="70"/>
      <c r="U72" s="69"/>
      <c r="V72" s="70"/>
      <c r="W72" s="70"/>
      <c r="X72" s="69"/>
      <c r="Y72" s="70"/>
      <c r="Z72" s="11"/>
      <c r="AA72" s="11"/>
      <c r="AB72" s="11"/>
      <c r="AC72" s="11"/>
      <c r="AD72" s="11"/>
      <c r="AE72" s="11"/>
      <c r="AF72" s="11"/>
      <c r="AG72" s="11"/>
      <c r="AH72" s="71"/>
    </row>
    <row r="73" ht="15.75" customHeight="1">
      <c r="A73" s="11"/>
      <c r="B73" s="11"/>
      <c r="C73" s="11"/>
      <c r="D73" s="66"/>
      <c r="E73" s="11"/>
      <c r="F73" s="11"/>
      <c r="G73" s="11"/>
      <c r="H73" s="68"/>
      <c r="I73" s="67"/>
      <c r="J73" s="68"/>
      <c r="K73" s="68"/>
      <c r="L73" s="68"/>
      <c r="M73" s="68"/>
      <c r="N73" s="68"/>
      <c r="O73" s="173"/>
      <c r="P73" s="70"/>
      <c r="Q73" s="70"/>
      <c r="R73" s="70"/>
      <c r="S73" s="70"/>
      <c r="T73" s="70"/>
      <c r="U73" s="69"/>
      <c r="V73" s="70"/>
      <c r="W73" s="70"/>
      <c r="X73" s="69"/>
      <c r="Y73" s="70"/>
      <c r="Z73" s="11"/>
      <c r="AA73" s="11"/>
      <c r="AB73" s="11"/>
      <c r="AC73" s="11"/>
      <c r="AD73" s="11"/>
      <c r="AE73" s="11"/>
      <c r="AF73" s="11"/>
      <c r="AG73" s="11"/>
      <c r="AH73" s="71"/>
    </row>
  </sheetData>
  <mergeCells count="1">
    <mergeCell ref="Z3:AC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11.13"/>
    <col customWidth="1" min="5" max="5" width="8.63"/>
    <col customWidth="1" min="6" max="6" width="38.38"/>
    <col customWidth="1" min="7" max="7" width="8.88"/>
    <col customWidth="1" min="8" max="8" width="9.0"/>
    <col customWidth="1" min="9" max="9" width="8.75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10.13"/>
    <col customWidth="1" min="16" max="16" width="8.0"/>
    <col customWidth="1" min="17" max="17" width="7.0"/>
    <col customWidth="1" min="18" max="18" width="11.38"/>
    <col customWidth="1" min="19" max="19" width="7.63"/>
    <col customWidth="1" min="20" max="20" width="9.13"/>
    <col customWidth="1" min="21" max="21" width="12.38"/>
    <col customWidth="1" min="22" max="22" width="7.63"/>
    <col customWidth="1" min="23" max="23" width="16.38"/>
    <col customWidth="1" min="24" max="24" width="14.5"/>
    <col customWidth="1" min="25" max="25" width="11.25"/>
    <col customWidth="1" min="26" max="26" width="27.63"/>
    <col customWidth="1" min="27" max="27" width="15.0"/>
    <col customWidth="1" min="28" max="28" width="19.5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11"/>
      <c r="B1" s="11"/>
      <c r="C1" s="11"/>
      <c r="D1" s="11"/>
      <c r="E1" s="11"/>
      <c r="F1" s="11"/>
      <c r="G1" s="11"/>
      <c r="H1" s="11"/>
      <c r="I1" s="67"/>
      <c r="J1" s="11"/>
      <c r="K1" s="11"/>
      <c r="L1" s="68"/>
      <c r="M1" s="68"/>
      <c r="N1" s="68"/>
      <c r="O1" s="68"/>
      <c r="P1" s="68"/>
      <c r="Q1" s="182"/>
      <c r="R1" s="11"/>
      <c r="S1" s="11"/>
      <c r="T1" s="11"/>
      <c r="U1" s="69"/>
      <c r="V1" s="70"/>
      <c r="W1" s="69"/>
      <c r="X1" s="69"/>
      <c r="Y1" s="70"/>
      <c r="Z1" s="69"/>
      <c r="AA1" s="69"/>
      <c r="AB1" s="69"/>
      <c r="AC1" s="69"/>
      <c r="AD1" s="11"/>
      <c r="AE1" s="11"/>
      <c r="AF1" s="11"/>
      <c r="AG1" s="11"/>
      <c r="AH1" s="71"/>
    </row>
    <row r="2" ht="15.75" customHeight="1">
      <c r="A2" s="11"/>
      <c r="B2" s="11"/>
      <c r="C2" s="11"/>
      <c r="D2" s="11"/>
      <c r="E2" s="11"/>
      <c r="F2" s="11"/>
      <c r="G2" s="11"/>
      <c r="H2" s="11"/>
      <c r="I2" s="67"/>
      <c r="J2" s="11"/>
      <c r="K2" s="11"/>
      <c r="L2" s="68"/>
      <c r="M2" s="11"/>
      <c r="N2" s="11"/>
      <c r="O2" s="11"/>
      <c r="P2" s="11"/>
      <c r="Q2" s="66"/>
      <c r="R2" s="11"/>
      <c r="S2" s="11"/>
      <c r="T2" s="11"/>
      <c r="U2" s="69"/>
      <c r="V2" s="70"/>
      <c r="W2" s="69"/>
      <c r="X2" s="69"/>
      <c r="Y2" s="70"/>
      <c r="Z2" s="72" t="s">
        <v>102</v>
      </c>
      <c r="AA2" s="69"/>
      <c r="AB2" s="69"/>
      <c r="AC2" s="69"/>
      <c r="AD2" s="11"/>
      <c r="AE2" s="11"/>
      <c r="AF2" s="11"/>
      <c r="AG2" s="11"/>
      <c r="AH2" s="71"/>
    </row>
    <row r="3">
      <c r="A3" s="11"/>
      <c r="B3" s="73"/>
      <c r="C3" s="73"/>
      <c r="D3" s="74" t="s">
        <v>103</v>
      </c>
      <c r="E3" s="73"/>
      <c r="F3" s="73"/>
      <c r="G3" s="73"/>
      <c r="H3" s="73"/>
      <c r="I3" s="75"/>
      <c r="J3" s="76"/>
      <c r="K3" s="76"/>
      <c r="L3" s="68"/>
      <c r="M3" s="77"/>
      <c r="N3" s="77"/>
      <c r="O3" s="77"/>
      <c r="P3" s="78"/>
      <c r="Q3" s="183"/>
      <c r="R3" s="79" t="s">
        <v>103</v>
      </c>
      <c r="S3" s="80"/>
      <c r="T3" s="80"/>
      <c r="U3" s="80"/>
      <c r="V3" s="70"/>
      <c r="W3" s="81" t="s">
        <v>104</v>
      </c>
      <c r="X3" s="82"/>
      <c r="Y3" s="70"/>
      <c r="Z3" s="83" t="s">
        <v>103</v>
      </c>
      <c r="AA3" s="84"/>
      <c r="AB3" s="84"/>
      <c r="AC3" s="84"/>
      <c r="AD3" s="78"/>
      <c r="AE3" s="78"/>
      <c r="AF3" s="78"/>
      <c r="AG3" s="11"/>
      <c r="AH3" s="71"/>
    </row>
    <row r="4">
      <c r="A4" s="11"/>
      <c r="B4" s="85" t="s">
        <v>1</v>
      </c>
      <c r="C4" s="85" t="s">
        <v>105</v>
      </c>
      <c r="D4" s="86" t="s">
        <v>106</v>
      </c>
      <c r="E4" s="87" t="s">
        <v>107</v>
      </c>
      <c r="F4" s="88" t="s">
        <v>108</v>
      </c>
      <c r="G4" s="87" t="s">
        <v>109</v>
      </c>
      <c r="H4" s="89" t="s">
        <v>110</v>
      </c>
      <c r="I4" s="90" t="s">
        <v>111</v>
      </c>
      <c r="J4" s="85" t="s">
        <v>1</v>
      </c>
      <c r="K4" s="85" t="s">
        <v>105</v>
      </c>
      <c r="L4" s="68"/>
      <c r="M4" s="85" t="s">
        <v>1</v>
      </c>
      <c r="N4" s="85" t="s">
        <v>105</v>
      </c>
      <c r="O4" s="85" t="s">
        <v>1</v>
      </c>
      <c r="P4" s="85" t="s">
        <v>105</v>
      </c>
      <c r="Q4" s="183"/>
      <c r="R4" s="85" t="s">
        <v>1</v>
      </c>
      <c r="S4" s="85" t="s">
        <v>105</v>
      </c>
      <c r="T4" s="91" t="s">
        <v>112</v>
      </c>
      <c r="U4" s="92" t="s">
        <v>113</v>
      </c>
      <c r="V4" s="70"/>
      <c r="W4" s="93" t="s">
        <v>114</v>
      </c>
      <c r="X4" s="94" t="s">
        <v>115</v>
      </c>
      <c r="Y4" s="70"/>
      <c r="Z4" s="95" t="s">
        <v>116</v>
      </c>
      <c r="AA4" s="96" t="s">
        <v>117</v>
      </c>
      <c r="AB4" s="96" t="s">
        <v>118</v>
      </c>
      <c r="AC4" s="96" t="s">
        <v>119</v>
      </c>
      <c r="AD4" s="96" t="s">
        <v>120</v>
      </c>
      <c r="AE4" s="96" t="s">
        <v>121</v>
      </c>
      <c r="AF4" s="96" t="s">
        <v>122</v>
      </c>
      <c r="AG4" s="97"/>
      <c r="AH4" s="71"/>
    </row>
    <row r="5">
      <c r="A5" s="11"/>
      <c r="B5" s="98" t="s">
        <v>1</v>
      </c>
      <c r="C5" s="98" t="s">
        <v>105</v>
      </c>
      <c r="D5" s="11"/>
      <c r="E5" s="11"/>
      <c r="F5" s="99" t="s">
        <v>123</v>
      </c>
      <c r="G5" s="100" t="s">
        <v>124</v>
      </c>
      <c r="H5" s="101">
        <v>3500.0</v>
      </c>
      <c r="I5" s="44">
        <v>6.0</v>
      </c>
      <c r="J5" s="101">
        <f t="shared" ref="J5:J8" si="3">H5*I5</f>
        <v>21000</v>
      </c>
      <c r="K5" s="101">
        <f>H5*I5</f>
        <v>21000</v>
      </c>
      <c r="L5" s="68"/>
      <c r="M5" s="101">
        <f t="shared" ref="M5:N5" si="1">J5/0.7</f>
        <v>30000</v>
      </c>
      <c r="N5" s="101">
        <f t="shared" si="1"/>
        <v>30000</v>
      </c>
      <c r="O5" s="102">
        <f t="shared" ref="O5:P5" si="2">M5/$I$67</f>
        <v>8.108108108</v>
      </c>
      <c r="P5" s="102">
        <f t="shared" si="2"/>
        <v>8.108108108</v>
      </c>
      <c r="Q5" s="182"/>
      <c r="R5" s="103"/>
      <c r="S5" s="103"/>
      <c r="T5" s="103"/>
      <c r="U5" s="103"/>
      <c r="V5" s="70"/>
      <c r="W5" s="104"/>
      <c r="X5" s="104"/>
      <c r="Y5" s="70"/>
      <c r="Z5" s="105"/>
      <c r="AA5" s="106"/>
      <c r="AB5" s="105"/>
      <c r="AC5" s="106"/>
      <c r="AD5" s="107"/>
      <c r="AE5" s="107"/>
      <c r="AF5" s="107"/>
      <c r="AG5" s="11"/>
      <c r="AH5" s="71"/>
    </row>
    <row r="6">
      <c r="A6" s="11"/>
      <c r="B6" s="14"/>
      <c r="C6" s="14"/>
      <c r="D6" s="11"/>
      <c r="E6" s="11"/>
      <c r="F6" s="108" t="s">
        <v>125</v>
      </c>
      <c r="G6" s="109"/>
      <c r="H6" s="101">
        <v>7000.0</v>
      </c>
      <c r="I6" s="44">
        <v>0.0</v>
      </c>
      <c r="J6" s="101">
        <f t="shared" si="3"/>
        <v>0</v>
      </c>
      <c r="K6" s="101"/>
      <c r="L6" s="68"/>
      <c r="M6" s="101">
        <f t="shared" ref="M6:M7" si="4">J6/0.7</f>
        <v>0</v>
      </c>
      <c r="N6" s="101"/>
      <c r="O6" s="110">
        <f t="shared" ref="O6:O8" si="5">M6/$I$67</f>
        <v>0</v>
      </c>
      <c r="P6" s="110"/>
      <c r="Q6" s="182"/>
      <c r="R6" s="103"/>
      <c r="S6" s="103"/>
      <c r="T6" s="103"/>
      <c r="U6" s="103"/>
      <c r="V6" s="70"/>
      <c r="W6" s="104"/>
      <c r="X6" s="104"/>
      <c r="Y6" s="70"/>
      <c r="Z6" s="105"/>
      <c r="AA6" s="106"/>
      <c r="AB6" s="105"/>
      <c r="AC6" s="106"/>
      <c r="AD6" s="107"/>
      <c r="AE6" s="107"/>
      <c r="AF6" s="107"/>
      <c r="AG6" s="11"/>
      <c r="AH6" s="71"/>
    </row>
    <row r="7">
      <c r="A7" s="11"/>
      <c r="B7" s="14"/>
      <c r="C7" s="14"/>
      <c r="D7" s="11"/>
      <c r="E7" s="11"/>
      <c r="F7" s="108" t="s">
        <v>126</v>
      </c>
      <c r="G7" s="109"/>
      <c r="H7" s="101">
        <v>12000.0</v>
      </c>
      <c r="I7" s="44">
        <v>0.0</v>
      </c>
      <c r="J7" s="101">
        <f t="shared" si="3"/>
        <v>0</v>
      </c>
      <c r="K7" s="101"/>
      <c r="L7" s="68"/>
      <c r="M7" s="101">
        <f t="shared" si="4"/>
        <v>0</v>
      </c>
      <c r="N7" s="101"/>
      <c r="O7" s="110">
        <f t="shared" si="5"/>
        <v>0</v>
      </c>
      <c r="P7" s="110"/>
      <c r="Q7" s="182"/>
      <c r="R7" s="111"/>
      <c r="S7" s="111"/>
      <c r="T7" s="111"/>
      <c r="U7" s="111"/>
      <c r="V7" s="70"/>
      <c r="W7" s="111"/>
      <c r="X7" s="111"/>
      <c r="Y7" s="70"/>
      <c r="Z7" s="111"/>
      <c r="AA7" s="111"/>
      <c r="AB7" s="111"/>
      <c r="AC7" s="111"/>
      <c r="AD7" s="111"/>
      <c r="AE7" s="111"/>
      <c r="AF7" s="111"/>
      <c r="AG7" s="11"/>
      <c r="AH7" s="71"/>
    </row>
    <row r="8">
      <c r="A8" s="11"/>
      <c r="B8" s="14"/>
      <c r="C8" s="14"/>
      <c r="D8" s="11"/>
      <c r="E8" s="11"/>
      <c r="F8" s="112" t="s">
        <v>127</v>
      </c>
      <c r="G8" s="109"/>
      <c r="H8" s="101">
        <v>151000.0</v>
      </c>
      <c r="I8" s="44">
        <v>0.0</v>
      </c>
      <c r="J8" s="101">
        <f t="shared" si="3"/>
        <v>0</v>
      </c>
      <c r="K8" s="101"/>
      <c r="L8" s="68"/>
      <c r="M8" s="101">
        <f>J8/0.95</f>
        <v>0</v>
      </c>
      <c r="N8" s="101"/>
      <c r="O8" s="110">
        <f t="shared" si="5"/>
        <v>0</v>
      </c>
      <c r="P8" s="110"/>
      <c r="Q8" s="182"/>
      <c r="R8" s="111"/>
      <c r="S8" s="111"/>
      <c r="T8" s="111"/>
      <c r="U8" s="111"/>
      <c r="V8" s="70"/>
      <c r="W8" s="111"/>
      <c r="X8" s="111"/>
      <c r="Y8" s="70"/>
      <c r="Z8" s="111"/>
      <c r="AA8" s="111"/>
      <c r="AB8" s="111"/>
      <c r="AC8" s="111"/>
      <c r="AD8" s="111"/>
      <c r="AE8" s="111"/>
      <c r="AF8" s="111"/>
      <c r="AG8" s="11"/>
      <c r="AH8" s="71"/>
    </row>
    <row r="9">
      <c r="A9" s="11"/>
      <c r="B9" s="113"/>
      <c r="C9" s="113"/>
      <c r="D9" s="113"/>
      <c r="E9" s="113"/>
      <c r="F9" s="115" t="s">
        <v>128</v>
      </c>
      <c r="G9" s="116"/>
      <c r="H9" s="116"/>
      <c r="I9" s="117"/>
      <c r="J9" s="184">
        <v>965000.0</v>
      </c>
      <c r="K9" s="118"/>
      <c r="L9" s="68"/>
      <c r="M9" s="116"/>
      <c r="N9" s="116"/>
      <c r="O9" s="119">
        <v>485.0</v>
      </c>
      <c r="P9" s="119"/>
      <c r="Q9" s="182"/>
      <c r="R9" s="111"/>
      <c r="S9" s="111"/>
      <c r="T9" s="111"/>
      <c r="U9" s="111"/>
      <c r="V9" s="70"/>
      <c r="W9" s="111"/>
      <c r="X9" s="111"/>
      <c r="Y9" s="70"/>
      <c r="Z9" s="111"/>
      <c r="AA9" s="111"/>
      <c r="AB9" s="111"/>
      <c r="AC9" s="111"/>
      <c r="AD9" s="111"/>
      <c r="AE9" s="111"/>
      <c r="AF9" s="111"/>
      <c r="AG9" s="68"/>
      <c r="AH9" s="71"/>
    </row>
    <row r="10">
      <c r="A10" s="11"/>
      <c r="B10" s="113"/>
      <c r="C10" s="113"/>
      <c r="D10" s="113"/>
      <c r="E10" s="113"/>
      <c r="F10" s="120" t="s">
        <v>32</v>
      </c>
      <c r="G10" s="121"/>
      <c r="H10" s="121"/>
      <c r="I10" s="122"/>
      <c r="J10" s="121"/>
      <c r="K10" s="121"/>
      <c r="L10" s="68"/>
      <c r="M10" s="121"/>
      <c r="N10" s="121"/>
      <c r="O10" s="121"/>
      <c r="P10" s="121"/>
      <c r="Q10" s="182"/>
      <c r="R10" s="103"/>
      <c r="S10" s="103"/>
      <c r="T10" s="103"/>
      <c r="U10" s="103"/>
      <c r="V10" s="70"/>
      <c r="W10" s="104"/>
      <c r="X10" s="104"/>
      <c r="Y10" s="70"/>
      <c r="Z10" s="123"/>
      <c r="AA10" s="124"/>
      <c r="AB10" s="124"/>
      <c r="AC10" s="125"/>
      <c r="AD10" s="125"/>
      <c r="AE10" s="126"/>
      <c r="AF10" s="127"/>
      <c r="AG10" s="11"/>
      <c r="AH10" s="71"/>
    </row>
    <row r="11">
      <c r="A11" s="11"/>
      <c r="B11" s="98" t="s">
        <v>1</v>
      </c>
      <c r="C11" s="113"/>
      <c r="D11" s="11"/>
      <c r="E11" s="11"/>
      <c r="F11" s="128" t="s">
        <v>80</v>
      </c>
      <c r="G11" s="129"/>
      <c r="H11" s="130"/>
      <c r="I11" s="131"/>
      <c r="J11" s="130"/>
      <c r="K11" s="130"/>
      <c r="L11" s="68"/>
      <c r="M11" s="130"/>
      <c r="N11" s="130"/>
      <c r="O11" s="130"/>
      <c r="P11" s="130"/>
      <c r="Q11" s="182"/>
      <c r="R11" s="111"/>
      <c r="S11" s="111"/>
      <c r="T11" s="111"/>
      <c r="U11" s="111"/>
      <c r="V11" s="70"/>
      <c r="W11" s="111"/>
      <c r="X11" s="111"/>
      <c r="Y11" s="70"/>
      <c r="Z11" s="123"/>
      <c r="AA11" s="124"/>
      <c r="AB11" s="132"/>
      <c r="AC11" s="133"/>
      <c r="AD11" s="134"/>
      <c r="AE11" s="126"/>
      <c r="AF11" s="127"/>
      <c r="AG11" s="11"/>
      <c r="AH11" s="71"/>
    </row>
    <row r="12">
      <c r="A12" s="11"/>
      <c r="B12" s="98" t="s">
        <v>1</v>
      </c>
      <c r="C12" s="113"/>
      <c r="D12" s="11"/>
      <c r="E12" s="11"/>
      <c r="F12" s="128" t="s">
        <v>129</v>
      </c>
      <c r="G12" s="129"/>
      <c r="H12" s="130"/>
      <c r="I12" s="131"/>
      <c r="J12" s="130"/>
      <c r="K12" s="130"/>
      <c r="L12" s="68"/>
      <c r="M12" s="130"/>
      <c r="N12" s="130"/>
      <c r="O12" s="130"/>
      <c r="P12" s="130"/>
      <c r="Q12" s="182"/>
      <c r="R12" s="111"/>
      <c r="S12" s="111"/>
      <c r="T12" s="111"/>
      <c r="U12" s="111"/>
      <c r="V12" s="70"/>
      <c r="W12" s="111"/>
      <c r="X12" s="111"/>
      <c r="Y12" s="70"/>
      <c r="Z12" s="123"/>
      <c r="AA12" s="124"/>
      <c r="AB12" s="132"/>
      <c r="AC12" s="133"/>
      <c r="AD12" s="134"/>
      <c r="AE12" s="126"/>
      <c r="AF12" s="127"/>
      <c r="AG12" s="11"/>
      <c r="AH12" s="71"/>
    </row>
    <row r="13">
      <c r="A13" s="11"/>
      <c r="B13" s="98" t="s">
        <v>1</v>
      </c>
      <c r="C13" s="113"/>
      <c r="D13" s="11"/>
      <c r="E13" s="11"/>
      <c r="F13" s="128" t="s">
        <v>130</v>
      </c>
      <c r="G13" s="135"/>
      <c r="H13" s="130"/>
      <c r="I13" s="131"/>
      <c r="J13" s="130"/>
      <c r="K13" s="130"/>
      <c r="L13" s="68"/>
      <c r="M13" s="130"/>
      <c r="N13" s="130"/>
      <c r="O13" s="130"/>
      <c r="P13" s="130"/>
      <c r="Q13" s="185"/>
      <c r="R13" s="111"/>
      <c r="S13" s="111"/>
      <c r="T13" s="111"/>
      <c r="U13" s="111"/>
      <c r="V13" s="70"/>
      <c r="W13" s="111"/>
      <c r="X13" s="111"/>
      <c r="Y13" s="70"/>
      <c r="Z13" s="111"/>
      <c r="AA13" s="111"/>
      <c r="AB13" s="111"/>
      <c r="AC13" s="111"/>
      <c r="AD13" s="111"/>
      <c r="AE13" s="111"/>
      <c r="AF13" s="111"/>
      <c r="AG13" s="11"/>
      <c r="AH13" s="71"/>
    </row>
    <row r="14">
      <c r="A14" s="11"/>
      <c r="B14" s="98" t="s">
        <v>1</v>
      </c>
      <c r="C14" s="113"/>
      <c r="D14" s="11"/>
      <c r="E14" s="11"/>
      <c r="F14" s="128" t="s">
        <v>131</v>
      </c>
      <c r="G14" s="135"/>
      <c r="H14" s="130"/>
      <c r="I14" s="131"/>
      <c r="J14" s="130"/>
      <c r="K14" s="130"/>
      <c r="L14" s="68"/>
      <c r="M14" s="130"/>
      <c r="N14" s="130"/>
      <c r="O14" s="130"/>
      <c r="P14" s="130"/>
      <c r="Q14" s="185"/>
      <c r="R14" s="111"/>
      <c r="S14" s="111"/>
      <c r="T14" s="111"/>
      <c r="U14" s="111"/>
      <c r="V14" s="70"/>
      <c r="W14" s="111"/>
      <c r="X14" s="111"/>
      <c r="Y14" s="70"/>
      <c r="Z14" s="111"/>
      <c r="AA14" s="111"/>
      <c r="AB14" s="111"/>
      <c r="AC14" s="111"/>
      <c r="AD14" s="111"/>
      <c r="AE14" s="111"/>
      <c r="AF14" s="111"/>
      <c r="AG14" s="11"/>
      <c r="AH14" s="71"/>
    </row>
    <row r="15">
      <c r="A15" s="11"/>
      <c r="B15" s="113"/>
      <c r="C15" s="113"/>
      <c r="D15" s="113"/>
      <c r="E15" s="113"/>
      <c r="F15" s="136" t="s">
        <v>132</v>
      </c>
      <c r="G15" s="137"/>
      <c r="H15" s="137"/>
      <c r="I15" s="138"/>
      <c r="J15" s="137"/>
      <c r="K15" s="137"/>
      <c r="L15" s="68"/>
      <c r="M15" s="137"/>
      <c r="N15" s="137"/>
      <c r="O15" s="137"/>
      <c r="P15" s="137"/>
      <c r="Q15" s="182"/>
      <c r="R15" s="111"/>
      <c r="S15" s="111"/>
      <c r="T15" s="111"/>
      <c r="U15" s="111"/>
      <c r="V15" s="70"/>
      <c r="W15" s="111"/>
      <c r="X15" s="111"/>
      <c r="Y15" s="70"/>
      <c r="Z15" s="111"/>
      <c r="AA15" s="111"/>
      <c r="AB15" s="111"/>
      <c r="AC15" s="111"/>
      <c r="AD15" s="111"/>
      <c r="AE15" s="111"/>
      <c r="AF15" s="111"/>
      <c r="AG15" s="11"/>
      <c r="AH15" s="71"/>
    </row>
    <row r="16">
      <c r="A16" s="11"/>
      <c r="B16" s="98" t="s">
        <v>1</v>
      </c>
      <c r="C16" s="113"/>
      <c r="D16" s="11"/>
      <c r="E16" s="11"/>
      <c r="F16" s="128" t="s">
        <v>133</v>
      </c>
      <c r="G16" s="135"/>
      <c r="H16" s="130"/>
      <c r="I16" s="131"/>
      <c r="J16" s="130"/>
      <c r="K16" s="130"/>
      <c r="L16" s="68"/>
      <c r="M16" s="130"/>
      <c r="N16" s="130"/>
      <c r="O16" s="130"/>
      <c r="P16" s="130"/>
      <c r="Q16" s="182"/>
      <c r="R16" s="111"/>
      <c r="S16" s="111"/>
      <c r="T16" s="111"/>
      <c r="U16" s="111"/>
      <c r="V16" s="70"/>
      <c r="W16" s="111"/>
      <c r="X16" s="111"/>
      <c r="Y16" s="70"/>
      <c r="Z16" s="111"/>
      <c r="AA16" s="111"/>
      <c r="AB16" s="111"/>
      <c r="AC16" s="111"/>
      <c r="AD16" s="111"/>
      <c r="AE16" s="111"/>
      <c r="AF16" s="111"/>
      <c r="AG16" s="11"/>
      <c r="AH16" s="71"/>
    </row>
    <row r="17">
      <c r="A17" s="11"/>
      <c r="B17" s="98" t="s">
        <v>1</v>
      </c>
      <c r="C17" s="113"/>
      <c r="D17" s="11"/>
      <c r="E17" s="11"/>
      <c r="F17" s="128" t="s">
        <v>134</v>
      </c>
      <c r="G17" s="135"/>
      <c r="H17" s="130"/>
      <c r="I17" s="131"/>
      <c r="J17" s="130"/>
      <c r="K17" s="130"/>
      <c r="L17" s="68"/>
      <c r="M17" s="130"/>
      <c r="N17" s="130"/>
      <c r="O17" s="130"/>
      <c r="P17" s="130"/>
      <c r="Q17" s="182"/>
      <c r="R17" s="111"/>
      <c r="S17" s="111"/>
      <c r="T17" s="111"/>
      <c r="U17" s="111"/>
      <c r="V17" s="70"/>
      <c r="W17" s="111"/>
      <c r="X17" s="111"/>
      <c r="Y17" s="70"/>
      <c r="Z17" s="111"/>
      <c r="AA17" s="111"/>
      <c r="AB17" s="111"/>
      <c r="AC17" s="111"/>
      <c r="AD17" s="111"/>
      <c r="AE17" s="111"/>
      <c r="AF17" s="111"/>
      <c r="AG17" s="11"/>
      <c r="AH17" s="71"/>
    </row>
    <row r="18">
      <c r="A18" s="11"/>
      <c r="B18" s="98" t="s">
        <v>1</v>
      </c>
      <c r="C18" s="113"/>
      <c r="D18" s="11"/>
      <c r="E18" s="11"/>
      <c r="F18" s="128" t="s">
        <v>135</v>
      </c>
      <c r="G18" s="135"/>
      <c r="H18" s="130"/>
      <c r="I18" s="131"/>
      <c r="J18" s="130"/>
      <c r="K18" s="130"/>
      <c r="L18" s="68"/>
      <c r="M18" s="130"/>
      <c r="N18" s="130"/>
      <c r="O18" s="130"/>
      <c r="P18" s="130"/>
      <c r="Q18" s="182"/>
      <c r="R18" s="111"/>
      <c r="S18" s="111"/>
      <c r="T18" s="111"/>
      <c r="U18" s="111"/>
      <c r="V18" s="70"/>
      <c r="W18" s="111"/>
      <c r="X18" s="111"/>
      <c r="Y18" s="70"/>
      <c r="Z18" s="111"/>
      <c r="AA18" s="111"/>
      <c r="AB18" s="111"/>
      <c r="AC18" s="111"/>
      <c r="AD18" s="111"/>
      <c r="AE18" s="111"/>
      <c r="AF18" s="111"/>
      <c r="AG18" s="11"/>
      <c r="AH18" s="71"/>
    </row>
    <row r="19">
      <c r="A19" s="11"/>
      <c r="B19" s="98" t="s">
        <v>1</v>
      </c>
      <c r="C19" s="113"/>
      <c r="D19" s="11"/>
      <c r="E19" s="11"/>
      <c r="F19" s="128" t="s">
        <v>136</v>
      </c>
      <c r="G19" s="135"/>
      <c r="H19" s="130"/>
      <c r="I19" s="131"/>
      <c r="J19" s="130"/>
      <c r="K19" s="130"/>
      <c r="L19" s="68"/>
      <c r="M19" s="130"/>
      <c r="N19" s="130"/>
      <c r="O19" s="130"/>
      <c r="P19" s="130"/>
      <c r="Q19" s="182"/>
      <c r="R19" s="111"/>
      <c r="S19" s="111"/>
      <c r="T19" s="111"/>
      <c r="U19" s="111"/>
      <c r="V19" s="70"/>
      <c r="W19" s="111"/>
      <c r="X19" s="111"/>
      <c r="Y19" s="70"/>
      <c r="Z19" s="111"/>
      <c r="AA19" s="111"/>
      <c r="AB19" s="111"/>
      <c r="AC19" s="111"/>
      <c r="AD19" s="111"/>
      <c r="AE19" s="111"/>
      <c r="AF19" s="111"/>
      <c r="AG19" s="11"/>
      <c r="AH19" s="71"/>
    </row>
    <row r="20">
      <c r="A20" s="11"/>
      <c r="B20" s="113"/>
      <c r="C20" s="113"/>
      <c r="D20" s="113"/>
      <c r="E20" s="113"/>
      <c r="F20" s="136" t="s">
        <v>137</v>
      </c>
      <c r="G20" s="137"/>
      <c r="H20" s="137"/>
      <c r="I20" s="138"/>
      <c r="J20" s="137"/>
      <c r="K20" s="137"/>
      <c r="L20" s="68"/>
      <c r="M20" s="137"/>
      <c r="N20" s="137"/>
      <c r="O20" s="137"/>
      <c r="P20" s="137"/>
      <c r="Q20" s="182"/>
      <c r="R20" s="111"/>
      <c r="S20" s="111"/>
      <c r="T20" s="111"/>
      <c r="U20" s="111"/>
      <c r="V20" s="70"/>
      <c r="W20" s="111"/>
      <c r="X20" s="111"/>
      <c r="Y20" s="70"/>
      <c r="Z20" s="111"/>
      <c r="AA20" s="111"/>
      <c r="AB20" s="111"/>
      <c r="AC20" s="111"/>
      <c r="AD20" s="111"/>
      <c r="AE20" s="111"/>
      <c r="AF20" s="111"/>
      <c r="AG20" s="11"/>
      <c r="AH20" s="71"/>
    </row>
    <row r="21">
      <c r="A21" s="11"/>
      <c r="B21" s="98" t="s">
        <v>1</v>
      </c>
      <c r="C21" s="113"/>
      <c r="D21" s="11"/>
      <c r="E21" s="11"/>
      <c r="F21" s="128" t="s">
        <v>138</v>
      </c>
      <c r="G21" s="135"/>
      <c r="H21" s="130"/>
      <c r="I21" s="131"/>
      <c r="J21" s="130"/>
      <c r="K21" s="130"/>
      <c r="L21" s="68"/>
      <c r="M21" s="130"/>
      <c r="N21" s="130"/>
      <c r="O21" s="130"/>
      <c r="P21" s="130"/>
      <c r="Q21" s="182"/>
      <c r="R21" s="111"/>
      <c r="S21" s="111"/>
      <c r="T21" s="111"/>
      <c r="U21" s="111"/>
      <c r="V21" s="70"/>
      <c r="W21" s="111"/>
      <c r="X21" s="111"/>
      <c r="Y21" s="70"/>
      <c r="Z21" s="111"/>
      <c r="AA21" s="111"/>
      <c r="AB21" s="111"/>
      <c r="AC21" s="111"/>
      <c r="AD21" s="111"/>
      <c r="AE21" s="111"/>
      <c r="AF21" s="111"/>
      <c r="AG21" s="11"/>
      <c r="AH21" s="71"/>
    </row>
    <row r="22">
      <c r="A22" s="11"/>
      <c r="B22" s="98" t="s">
        <v>1</v>
      </c>
      <c r="C22" s="113"/>
      <c r="D22" s="11"/>
      <c r="E22" s="11"/>
      <c r="F22" s="128" t="s">
        <v>139</v>
      </c>
      <c r="G22" s="135"/>
      <c r="H22" s="130"/>
      <c r="I22" s="131"/>
      <c r="J22" s="130"/>
      <c r="K22" s="130"/>
      <c r="L22" s="68"/>
      <c r="M22" s="130"/>
      <c r="N22" s="130"/>
      <c r="O22" s="130"/>
      <c r="P22" s="130"/>
      <c r="Q22" s="182"/>
      <c r="R22" s="111"/>
      <c r="S22" s="111"/>
      <c r="T22" s="111"/>
      <c r="U22" s="111"/>
      <c r="V22" s="70"/>
      <c r="W22" s="111"/>
      <c r="X22" s="111"/>
      <c r="Y22" s="70"/>
      <c r="Z22" s="111"/>
      <c r="AA22" s="111"/>
      <c r="AB22" s="111"/>
      <c r="AC22" s="111"/>
      <c r="AD22" s="111"/>
      <c r="AE22" s="111"/>
      <c r="AF22" s="111"/>
      <c r="AG22" s="11"/>
      <c r="AH22" s="71"/>
    </row>
    <row r="23">
      <c r="A23" s="11"/>
      <c r="B23" s="98" t="s">
        <v>1</v>
      </c>
      <c r="C23" s="113"/>
      <c r="D23" s="11"/>
      <c r="E23" s="11"/>
      <c r="F23" s="128" t="s">
        <v>140</v>
      </c>
      <c r="G23" s="135"/>
      <c r="H23" s="130"/>
      <c r="I23" s="131"/>
      <c r="J23" s="130"/>
      <c r="K23" s="130"/>
      <c r="L23" s="68"/>
      <c r="M23" s="130"/>
      <c r="N23" s="130"/>
      <c r="O23" s="130"/>
      <c r="P23" s="130"/>
      <c r="Q23" s="182"/>
      <c r="R23" s="111"/>
      <c r="S23" s="111"/>
      <c r="T23" s="111"/>
      <c r="U23" s="111"/>
      <c r="V23" s="70"/>
      <c r="W23" s="111"/>
      <c r="X23" s="111"/>
      <c r="Y23" s="70"/>
      <c r="Z23" s="111"/>
      <c r="AA23" s="111"/>
      <c r="AB23" s="111"/>
      <c r="AC23" s="111"/>
      <c r="AD23" s="111"/>
      <c r="AE23" s="111"/>
      <c r="AF23" s="111"/>
      <c r="AG23" s="11"/>
      <c r="AH23" s="71"/>
    </row>
    <row r="24">
      <c r="A24" s="11"/>
      <c r="B24" s="98" t="s">
        <v>1</v>
      </c>
      <c r="C24" s="113"/>
      <c r="D24" s="11"/>
      <c r="E24" s="11"/>
      <c r="F24" s="128" t="s">
        <v>141</v>
      </c>
      <c r="G24" s="135"/>
      <c r="H24" s="130"/>
      <c r="I24" s="131"/>
      <c r="J24" s="130"/>
      <c r="K24" s="130"/>
      <c r="L24" s="68"/>
      <c r="M24" s="130"/>
      <c r="N24" s="130"/>
      <c r="O24" s="130"/>
      <c r="P24" s="130"/>
      <c r="Q24" s="182"/>
      <c r="R24" s="111"/>
      <c r="S24" s="111"/>
      <c r="T24" s="111"/>
      <c r="U24" s="111"/>
      <c r="V24" s="70"/>
      <c r="W24" s="111"/>
      <c r="X24" s="111"/>
      <c r="Y24" s="70"/>
      <c r="Z24" s="111"/>
      <c r="AA24" s="111"/>
      <c r="AB24" s="111"/>
      <c r="AC24" s="111"/>
      <c r="AD24" s="111"/>
      <c r="AE24" s="111"/>
      <c r="AF24" s="111"/>
      <c r="AG24" s="11"/>
      <c r="AH24" s="71"/>
    </row>
    <row r="25">
      <c r="A25" s="11"/>
      <c r="B25" s="113"/>
      <c r="C25" s="113"/>
      <c r="D25" s="113"/>
      <c r="E25" s="113"/>
      <c r="F25" s="136" t="s">
        <v>142</v>
      </c>
      <c r="G25" s="137"/>
      <c r="H25" s="137"/>
      <c r="I25" s="138"/>
      <c r="J25" s="137"/>
      <c r="K25" s="137"/>
      <c r="L25" s="68"/>
      <c r="M25" s="137"/>
      <c r="N25" s="137"/>
      <c r="O25" s="137"/>
      <c r="P25" s="137"/>
      <c r="Q25" s="182"/>
      <c r="R25" s="111"/>
      <c r="S25" s="111"/>
      <c r="T25" s="111"/>
      <c r="U25" s="111"/>
      <c r="V25" s="70"/>
      <c r="W25" s="111"/>
      <c r="X25" s="111"/>
      <c r="Y25" s="70"/>
      <c r="Z25" s="111"/>
      <c r="AA25" s="111"/>
      <c r="AB25" s="111"/>
      <c r="AC25" s="111"/>
      <c r="AD25" s="111"/>
      <c r="AE25" s="111"/>
      <c r="AF25" s="111"/>
      <c r="AG25" s="11"/>
      <c r="AH25" s="71"/>
    </row>
    <row r="26">
      <c r="A26" s="11"/>
      <c r="B26" s="98" t="s">
        <v>1</v>
      </c>
      <c r="C26" s="113"/>
      <c r="D26" s="11"/>
      <c r="E26" s="11"/>
      <c r="F26" s="128" t="s">
        <v>143</v>
      </c>
      <c r="G26" s="135"/>
      <c r="H26" s="130"/>
      <c r="I26" s="131"/>
      <c r="J26" s="130"/>
      <c r="K26" s="130"/>
      <c r="L26" s="68"/>
      <c r="M26" s="130"/>
      <c r="N26" s="130"/>
      <c r="O26" s="130"/>
      <c r="P26" s="130"/>
      <c r="Q26" s="182"/>
      <c r="R26" s="111"/>
      <c r="S26" s="111"/>
      <c r="T26" s="111"/>
      <c r="U26" s="111"/>
      <c r="V26" s="70"/>
      <c r="W26" s="111"/>
      <c r="X26" s="111"/>
      <c r="Y26" s="70"/>
      <c r="Z26" s="111"/>
      <c r="AA26" s="111"/>
      <c r="AB26" s="111"/>
      <c r="AC26" s="111"/>
      <c r="AD26" s="111"/>
      <c r="AE26" s="111"/>
      <c r="AF26" s="111"/>
      <c r="AG26" s="11"/>
      <c r="AH26" s="71"/>
    </row>
    <row r="27">
      <c r="A27" s="11"/>
      <c r="B27" s="98" t="s">
        <v>1</v>
      </c>
      <c r="C27" s="113"/>
      <c r="D27" s="11"/>
      <c r="E27" s="11"/>
      <c r="F27" s="139" t="s">
        <v>144</v>
      </c>
      <c r="G27" s="133"/>
      <c r="H27" s="140">
        <v>10000.0</v>
      </c>
      <c r="I27" s="141">
        <v>1.0</v>
      </c>
      <c r="J27" s="101">
        <f>H27*I27</f>
        <v>10000</v>
      </c>
      <c r="K27" s="142" t="s">
        <v>145</v>
      </c>
      <c r="L27" s="68"/>
      <c r="M27" s="143">
        <f>J27/0.6</f>
        <v>16666.66667</v>
      </c>
      <c r="N27" s="142" t="s">
        <v>145</v>
      </c>
      <c r="O27" s="110">
        <f>M27/$I$67</f>
        <v>4.504504505</v>
      </c>
      <c r="P27" s="142" t="s">
        <v>145</v>
      </c>
      <c r="Q27" s="182"/>
      <c r="R27" s="111"/>
      <c r="S27" s="111"/>
      <c r="T27" s="111"/>
      <c r="U27" s="111"/>
      <c r="V27" s="70"/>
      <c r="W27" s="111"/>
      <c r="X27" s="111"/>
      <c r="Y27" s="70"/>
      <c r="Z27" s="111"/>
      <c r="AA27" s="111"/>
      <c r="AB27" s="111"/>
      <c r="AC27" s="111"/>
      <c r="AD27" s="111"/>
      <c r="AE27" s="111"/>
      <c r="AF27" s="111"/>
      <c r="AG27" s="11"/>
      <c r="AH27" s="71"/>
    </row>
    <row r="28">
      <c r="A28" s="11"/>
      <c r="B28" s="98" t="s">
        <v>1</v>
      </c>
      <c r="C28" s="113"/>
      <c r="D28" s="11"/>
      <c r="E28" s="11"/>
      <c r="F28" s="128" t="s">
        <v>146</v>
      </c>
      <c r="G28" s="135"/>
      <c r="H28" s="130"/>
      <c r="I28" s="131"/>
      <c r="J28" s="130"/>
      <c r="K28" s="130"/>
      <c r="L28" s="68"/>
      <c r="M28" s="130"/>
      <c r="N28" s="130"/>
      <c r="O28" s="130"/>
      <c r="P28" s="130"/>
      <c r="Q28" s="182"/>
      <c r="R28" s="111"/>
      <c r="S28" s="111"/>
      <c r="T28" s="111"/>
      <c r="U28" s="111"/>
      <c r="V28" s="70"/>
      <c r="W28" s="111"/>
      <c r="X28" s="111"/>
      <c r="Y28" s="70"/>
      <c r="Z28" s="111"/>
      <c r="AA28" s="111"/>
      <c r="AB28" s="111"/>
      <c r="AC28" s="111"/>
      <c r="AD28" s="111"/>
      <c r="AE28" s="111"/>
      <c r="AF28" s="111"/>
      <c r="AG28" s="11"/>
      <c r="AH28" s="71"/>
    </row>
    <row r="29">
      <c r="A29" s="11"/>
      <c r="B29" s="98" t="s">
        <v>1</v>
      </c>
      <c r="C29" s="113"/>
      <c r="D29" s="11"/>
      <c r="E29" s="11"/>
      <c r="F29" s="128" t="s">
        <v>147</v>
      </c>
      <c r="G29" s="135"/>
      <c r="H29" s="130"/>
      <c r="I29" s="131"/>
      <c r="J29" s="130"/>
      <c r="K29" s="130"/>
      <c r="L29" s="68"/>
      <c r="M29" s="130"/>
      <c r="N29" s="130"/>
      <c r="O29" s="130"/>
      <c r="P29" s="130"/>
      <c r="Q29" s="182"/>
      <c r="R29" s="111"/>
      <c r="S29" s="111"/>
      <c r="T29" s="111"/>
      <c r="U29" s="111"/>
      <c r="V29" s="70"/>
      <c r="W29" s="111"/>
      <c r="X29" s="111"/>
      <c r="Y29" s="70"/>
      <c r="Z29" s="111"/>
      <c r="AA29" s="111"/>
      <c r="AB29" s="111"/>
      <c r="AC29" s="111"/>
      <c r="AD29" s="111"/>
      <c r="AE29" s="111"/>
      <c r="AF29" s="111"/>
      <c r="AG29" s="11"/>
      <c r="AH29" s="71"/>
    </row>
    <row r="30">
      <c r="A30" s="11"/>
      <c r="B30" s="113"/>
      <c r="C30" s="113"/>
      <c r="D30" s="113"/>
      <c r="E30" s="113"/>
      <c r="F30" s="136" t="s">
        <v>148</v>
      </c>
      <c r="G30" s="137"/>
      <c r="H30" s="137"/>
      <c r="I30" s="138"/>
      <c r="J30" s="137"/>
      <c r="K30" s="137"/>
      <c r="L30" s="68"/>
      <c r="M30" s="137"/>
      <c r="N30" s="137"/>
      <c r="O30" s="137"/>
      <c r="P30" s="137"/>
      <c r="Q30" s="182"/>
      <c r="R30" s="111"/>
      <c r="S30" s="111"/>
      <c r="T30" s="111"/>
      <c r="U30" s="111"/>
      <c r="V30" s="70"/>
      <c r="W30" s="111"/>
      <c r="X30" s="111"/>
      <c r="Y30" s="70"/>
      <c r="Z30" s="111"/>
      <c r="AA30" s="111"/>
      <c r="AB30" s="111"/>
      <c r="AC30" s="111"/>
      <c r="AD30" s="111"/>
      <c r="AE30" s="111"/>
      <c r="AF30" s="111"/>
      <c r="AG30" s="11"/>
      <c r="AH30" s="71"/>
    </row>
    <row r="31">
      <c r="A31" s="11"/>
      <c r="B31" s="98" t="s">
        <v>1</v>
      </c>
      <c r="C31" s="113"/>
      <c r="D31" s="11"/>
      <c r="E31" s="11"/>
      <c r="F31" s="128" t="s">
        <v>149</v>
      </c>
      <c r="G31" s="135"/>
      <c r="H31" s="130"/>
      <c r="I31" s="131"/>
      <c r="J31" s="130"/>
      <c r="K31" s="130"/>
      <c r="L31" s="68"/>
      <c r="M31" s="130"/>
      <c r="N31" s="130"/>
      <c r="O31" s="130"/>
      <c r="P31" s="130"/>
      <c r="Q31" s="182"/>
      <c r="R31" s="111"/>
      <c r="S31" s="111"/>
      <c r="T31" s="111"/>
      <c r="U31" s="111"/>
      <c r="V31" s="70"/>
      <c r="W31" s="111"/>
      <c r="X31" s="111"/>
      <c r="Y31" s="70"/>
      <c r="Z31" s="111"/>
      <c r="AA31" s="111"/>
      <c r="AB31" s="111"/>
      <c r="AC31" s="111"/>
      <c r="AD31" s="111"/>
      <c r="AE31" s="111"/>
      <c r="AF31" s="111"/>
      <c r="AG31" s="11"/>
      <c r="AH31" s="71"/>
    </row>
    <row r="32">
      <c r="A32" s="11"/>
      <c r="B32" s="98" t="s">
        <v>1</v>
      </c>
      <c r="C32" s="113"/>
      <c r="D32" s="11"/>
      <c r="E32" s="11"/>
      <c r="F32" s="128" t="s">
        <v>150</v>
      </c>
      <c r="G32" s="135"/>
      <c r="H32" s="130"/>
      <c r="I32" s="131"/>
      <c r="J32" s="130"/>
      <c r="K32" s="130"/>
      <c r="L32" s="68"/>
      <c r="M32" s="130"/>
      <c r="N32" s="130"/>
      <c r="O32" s="130"/>
      <c r="P32" s="130"/>
      <c r="Q32" s="182"/>
      <c r="R32" s="111"/>
      <c r="S32" s="111"/>
      <c r="T32" s="111"/>
      <c r="U32" s="111"/>
      <c r="V32" s="70"/>
      <c r="W32" s="111"/>
      <c r="X32" s="111"/>
      <c r="Y32" s="70"/>
      <c r="Z32" s="111"/>
      <c r="AA32" s="111"/>
      <c r="AB32" s="111"/>
      <c r="AC32" s="111"/>
      <c r="AD32" s="111"/>
      <c r="AE32" s="111"/>
      <c r="AF32" s="111"/>
      <c r="AG32" s="11"/>
      <c r="AH32" s="71"/>
    </row>
    <row r="33">
      <c r="A33" s="11"/>
      <c r="B33" s="98" t="s">
        <v>1</v>
      </c>
      <c r="C33" s="113"/>
      <c r="D33" s="11"/>
      <c r="E33" s="11"/>
      <c r="F33" s="128" t="s">
        <v>151</v>
      </c>
      <c r="G33" s="135"/>
      <c r="H33" s="130"/>
      <c r="I33" s="131"/>
      <c r="J33" s="130"/>
      <c r="K33" s="130"/>
      <c r="L33" s="68"/>
      <c r="M33" s="130"/>
      <c r="N33" s="130"/>
      <c r="O33" s="130"/>
      <c r="P33" s="130"/>
      <c r="Q33" s="182"/>
      <c r="R33" s="111"/>
      <c r="S33" s="111"/>
      <c r="T33" s="111"/>
      <c r="U33" s="111"/>
      <c r="V33" s="70"/>
      <c r="W33" s="111"/>
      <c r="X33" s="111"/>
      <c r="Y33" s="70"/>
      <c r="Z33" s="111"/>
      <c r="AA33" s="111"/>
      <c r="AB33" s="111"/>
      <c r="AC33" s="111"/>
      <c r="AD33" s="111"/>
      <c r="AE33" s="111"/>
      <c r="AF33" s="111"/>
      <c r="AG33" s="11"/>
      <c r="AH33" s="71"/>
    </row>
    <row r="34">
      <c r="A34" s="11"/>
      <c r="B34" s="98" t="s">
        <v>1</v>
      </c>
      <c r="C34" s="113"/>
      <c r="D34" s="11"/>
      <c r="E34" s="11"/>
      <c r="F34" s="128" t="s">
        <v>152</v>
      </c>
      <c r="G34" s="135"/>
      <c r="H34" s="130"/>
      <c r="I34" s="131"/>
      <c r="J34" s="130"/>
      <c r="K34" s="130"/>
      <c r="L34" s="68"/>
      <c r="M34" s="130"/>
      <c r="N34" s="130"/>
      <c r="O34" s="130"/>
      <c r="P34" s="130"/>
      <c r="Q34" s="182"/>
      <c r="R34" s="111"/>
      <c r="S34" s="111"/>
      <c r="T34" s="111"/>
      <c r="U34" s="111"/>
      <c r="V34" s="70"/>
      <c r="W34" s="111"/>
      <c r="X34" s="111"/>
      <c r="Y34" s="70"/>
      <c r="Z34" s="111"/>
      <c r="AA34" s="111"/>
      <c r="AB34" s="111"/>
      <c r="AC34" s="111"/>
      <c r="AD34" s="111"/>
      <c r="AE34" s="111"/>
      <c r="AF34" s="111"/>
      <c r="AG34" s="11"/>
      <c r="AH34" s="71"/>
    </row>
    <row r="35">
      <c r="A35" s="11"/>
      <c r="B35" s="113"/>
      <c r="C35" s="113"/>
      <c r="D35" s="113"/>
      <c r="E35" s="113"/>
      <c r="F35" s="136" t="s">
        <v>153</v>
      </c>
      <c r="G35" s="137"/>
      <c r="H35" s="137"/>
      <c r="I35" s="138"/>
      <c r="J35" s="137"/>
      <c r="K35" s="137"/>
      <c r="L35" s="68"/>
      <c r="M35" s="137"/>
      <c r="N35" s="137"/>
      <c r="O35" s="137"/>
      <c r="P35" s="137"/>
      <c r="Q35" s="182"/>
      <c r="R35" s="111"/>
      <c r="S35" s="111"/>
      <c r="T35" s="111"/>
      <c r="U35" s="111"/>
      <c r="V35" s="70"/>
      <c r="W35" s="111"/>
      <c r="X35" s="111"/>
      <c r="Y35" s="70"/>
      <c r="Z35" s="111"/>
      <c r="AA35" s="111"/>
      <c r="AB35" s="111"/>
      <c r="AC35" s="111"/>
      <c r="AD35" s="111"/>
      <c r="AE35" s="111"/>
      <c r="AF35" s="111"/>
      <c r="AG35" s="11"/>
      <c r="AH35" s="71"/>
    </row>
    <row r="36">
      <c r="A36" s="11"/>
      <c r="B36" s="98" t="s">
        <v>1</v>
      </c>
      <c r="C36" s="113"/>
      <c r="D36" s="11"/>
      <c r="E36" s="11"/>
      <c r="F36" s="128" t="s">
        <v>154</v>
      </c>
      <c r="G36" s="135"/>
      <c r="H36" s="130"/>
      <c r="I36" s="131"/>
      <c r="J36" s="130"/>
      <c r="K36" s="130"/>
      <c r="L36" s="68"/>
      <c r="M36" s="130"/>
      <c r="N36" s="130"/>
      <c r="O36" s="130"/>
      <c r="P36" s="130"/>
      <c r="Q36" s="182"/>
      <c r="R36" s="111"/>
      <c r="S36" s="111"/>
      <c r="T36" s="111"/>
      <c r="U36" s="111"/>
      <c r="V36" s="70"/>
      <c r="W36" s="111"/>
      <c r="X36" s="111"/>
      <c r="Y36" s="70"/>
      <c r="Z36" s="111"/>
      <c r="AA36" s="111"/>
      <c r="AB36" s="111"/>
      <c r="AC36" s="111"/>
      <c r="AD36" s="111"/>
      <c r="AE36" s="111"/>
      <c r="AF36" s="111"/>
      <c r="AG36" s="11"/>
      <c r="AH36" s="71"/>
    </row>
    <row r="37">
      <c r="A37" s="11"/>
      <c r="B37" s="98" t="s">
        <v>1</v>
      </c>
      <c r="C37" s="113"/>
      <c r="D37" s="11"/>
      <c r="E37" s="11"/>
      <c r="F37" s="128" t="s">
        <v>155</v>
      </c>
      <c r="G37" s="135"/>
      <c r="H37" s="130"/>
      <c r="I37" s="131"/>
      <c r="J37" s="130"/>
      <c r="K37" s="130"/>
      <c r="L37" s="68"/>
      <c r="M37" s="130"/>
      <c r="N37" s="130"/>
      <c r="O37" s="130"/>
      <c r="P37" s="130"/>
      <c r="Q37" s="182"/>
      <c r="R37" s="111"/>
      <c r="S37" s="111"/>
      <c r="T37" s="111"/>
      <c r="U37" s="111"/>
      <c r="V37" s="70"/>
      <c r="W37" s="111"/>
      <c r="X37" s="111"/>
      <c r="Y37" s="70"/>
      <c r="Z37" s="111"/>
      <c r="AA37" s="111"/>
      <c r="AB37" s="111"/>
      <c r="AC37" s="111"/>
      <c r="AD37" s="111"/>
      <c r="AE37" s="111"/>
      <c r="AF37" s="111"/>
      <c r="AG37" s="11"/>
      <c r="AH37" s="71"/>
    </row>
    <row r="38">
      <c r="A38" s="11"/>
      <c r="B38" s="98" t="s">
        <v>1</v>
      </c>
      <c r="C38" s="113"/>
      <c r="D38" s="11"/>
      <c r="E38" s="11"/>
      <c r="F38" s="144" t="s">
        <v>156</v>
      </c>
      <c r="G38" s="135"/>
      <c r="H38" s="140">
        <v>116000.0</v>
      </c>
      <c r="I38" s="141">
        <v>1.0</v>
      </c>
      <c r="J38" s="101">
        <f>H38*I38</f>
        <v>116000</v>
      </c>
      <c r="K38" s="142" t="s">
        <v>145</v>
      </c>
      <c r="L38" s="68"/>
      <c r="M38" s="143">
        <f>J38/0.8</f>
        <v>145000</v>
      </c>
      <c r="N38" s="142" t="s">
        <v>145</v>
      </c>
      <c r="O38" s="110">
        <f>M38/$I$67</f>
        <v>39.18918919</v>
      </c>
      <c r="P38" s="142" t="s">
        <v>145</v>
      </c>
      <c r="Q38" s="182"/>
      <c r="R38" s="111"/>
      <c r="S38" s="111"/>
      <c r="T38" s="111"/>
      <c r="U38" s="111"/>
      <c r="V38" s="70"/>
      <c r="W38" s="111"/>
      <c r="X38" s="111"/>
      <c r="Y38" s="70"/>
      <c r="Z38" s="111"/>
      <c r="AA38" s="111"/>
      <c r="AB38" s="111"/>
      <c r="AC38" s="111"/>
      <c r="AD38" s="111"/>
      <c r="AE38" s="111"/>
      <c r="AF38" s="111"/>
      <c r="AG38" s="11"/>
      <c r="AH38" s="71"/>
    </row>
    <row r="39">
      <c r="A39" s="11"/>
      <c r="B39" s="113"/>
      <c r="C39" s="113"/>
      <c r="D39" s="113"/>
      <c r="E39" s="113"/>
      <c r="F39" s="136" t="s">
        <v>157</v>
      </c>
      <c r="G39" s="137"/>
      <c r="H39" s="137"/>
      <c r="I39" s="138"/>
      <c r="J39" s="137"/>
      <c r="K39" s="137"/>
      <c r="L39" s="68"/>
      <c r="M39" s="137"/>
      <c r="N39" s="137"/>
      <c r="O39" s="137"/>
      <c r="P39" s="137"/>
      <c r="Q39" s="182"/>
      <c r="R39" s="111"/>
      <c r="S39" s="111"/>
      <c r="T39" s="111"/>
      <c r="U39" s="111"/>
      <c r="V39" s="70"/>
      <c r="W39" s="111"/>
      <c r="X39" s="111"/>
      <c r="Y39" s="70"/>
      <c r="Z39" s="111"/>
      <c r="AA39" s="111"/>
      <c r="AB39" s="111"/>
      <c r="AC39" s="111"/>
      <c r="AD39" s="111"/>
      <c r="AE39" s="111"/>
      <c r="AF39" s="111"/>
      <c r="AG39" s="11"/>
      <c r="AH39" s="71"/>
    </row>
    <row r="40">
      <c r="A40" s="11"/>
      <c r="B40" s="98" t="s">
        <v>1</v>
      </c>
      <c r="C40" s="113"/>
      <c r="D40" s="11"/>
      <c r="E40" s="11"/>
      <c r="F40" s="128" t="s">
        <v>158</v>
      </c>
      <c r="G40" s="135"/>
      <c r="H40" s="130"/>
      <c r="I40" s="131"/>
      <c r="J40" s="130"/>
      <c r="K40" s="130"/>
      <c r="L40" s="68"/>
      <c r="M40" s="130"/>
      <c r="N40" s="130"/>
      <c r="O40" s="130"/>
      <c r="P40" s="130"/>
      <c r="Q40" s="182"/>
      <c r="R40" s="111"/>
      <c r="S40" s="111"/>
      <c r="T40" s="111"/>
      <c r="U40" s="111"/>
      <c r="V40" s="70"/>
      <c r="W40" s="111"/>
      <c r="X40" s="111"/>
      <c r="Y40" s="70"/>
      <c r="Z40" s="111"/>
      <c r="AA40" s="111"/>
      <c r="AB40" s="111"/>
      <c r="AC40" s="111"/>
      <c r="AD40" s="111"/>
      <c r="AE40" s="111"/>
      <c r="AF40" s="111"/>
      <c r="AG40" s="11"/>
      <c r="AH40" s="71"/>
    </row>
    <row r="41">
      <c r="A41" s="11"/>
      <c r="B41" s="98" t="s">
        <v>1</v>
      </c>
      <c r="C41" s="113"/>
      <c r="D41" s="11"/>
      <c r="E41" s="11"/>
      <c r="F41" s="128" t="s">
        <v>159</v>
      </c>
      <c r="G41" s="135"/>
      <c r="H41" s="130"/>
      <c r="I41" s="131"/>
      <c r="J41" s="130"/>
      <c r="K41" s="130"/>
      <c r="L41" s="68"/>
      <c r="M41" s="130"/>
      <c r="N41" s="130"/>
      <c r="O41" s="130"/>
      <c r="P41" s="130"/>
      <c r="Q41" s="182"/>
      <c r="R41" s="111"/>
      <c r="S41" s="111"/>
      <c r="T41" s="111"/>
      <c r="U41" s="111"/>
      <c r="V41" s="70"/>
      <c r="W41" s="111"/>
      <c r="X41" s="111"/>
      <c r="Y41" s="70"/>
      <c r="Z41" s="111"/>
      <c r="AA41" s="111"/>
      <c r="AB41" s="111"/>
      <c r="AC41" s="111"/>
      <c r="AD41" s="111"/>
      <c r="AE41" s="111"/>
      <c r="AF41" s="111"/>
      <c r="AG41" s="11"/>
      <c r="AH41" s="71"/>
    </row>
    <row r="42">
      <c r="A42" s="11"/>
      <c r="B42" s="113"/>
      <c r="C42" s="113"/>
      <c r="D42" s="113"/>
      <c r="E42" s="113"/>
      <c r="F42" s="136" t="s">
        <v>160</v>
      </c>
      <c r="G42" s="137"/>
      <c r="H42" s="137"/>
      <c r="I42" s="138"/>
      <c r="J42" s="137"/>
      <c r="K42" s="137"/>
      <c r="L42" s="68"/>
      <c r="M42" s="137"/>
      <c r="N42" s="137"/>
      <c r="O42" s="137"/>
      <c r="P42" s="137"/>
      <c r="Q42" s="182"/>
      <c r="R42" s="111"/>
      <c r="S42" s="111"/>
      <c r="T42" s="111"/>
      <c r="U42" s="111"/>
      <c r="V42" s="70"/>
      <c r="W42" s="111"/>
      <c r="X42" s="111"/>
      <c r="Y42" s="70"/>
      <c r="Z42" s="111"/>
      <c r="AA42" s="111"/>
      <c r="AB42" s="111"/>
      <c r="AC42" s="111"/>
      <c r="AD42" s="111"/>
      <c r="AE42" s="111"/>
      <c r="AF42" s="111"/>
      <c r="AG42" s="11"/>
      <c r="AH42" s="71"/>
    </row>
    <row r="43">
      <c r="A43" s="11"/>
      <c r="B43" s="98" t="s">
        <v>1</v>
      </c>
      <c r="C43" s="113"/>
      <c r="D43" s="11"/>
      <c r="E43" s="11"/>
      <c r="F43" s="144" t="s">
        <v>161</v>
      </c>
      <c r="G43" s="145"/>
      <c r="H43" s="140">
        <v>10000.0</v>
      </c>
      <c r="I43" s="141">
        <v>1.0</v>
      </c>
      <c r="J43" s="101">
        <f t="shared" ref="J43:J44" si="6">H43*I43</f>
        <v>10000</v>
      </c>
      <c r="K43" s="142" t="s">
        <v>145</v>
      </c>
      <c r="L43" s="68"/>
      <c r="M43" s="143">
        <f>J43/0.5</f>
        <v>20000</v>
      </c>
      <c r="N43" s="142" t="s">
        <v>145</v>
      </c>
      <c r="O43" s="110">
        <f t="shared" ref="O43:O44" si="7">M43/$I$67</f>
        <v>5.405405405</v>
      </c>
      <c r="P43" s="142" t="s">
        <v>145</v>
      </c>
      <c r="Q43" s="182"/>
      <c r="R43" s="111"/>
      <c r="S43" s="111"/>
      <c r="T43" s="111"/>
      <c r="U43" s="111"/>
      <c r="V43" s="70"/>
      <c r="W43" s="111"/>
      <c r="X43" s="111"/>
      <c r="Y43" s="70"/>
      <c r="Z43" s="111"/>
      <c r="AA43" s="111"/>
      <c r="AB43" s="111"/>
      <c r="AC43" s="111"/>
      <c r="AD43" s="111"/>
      <c r="AE43" s="111"/>
      <c r="AF43" s="111"/>
      <c r="AG43" s="11"/>
      <c r="AH43" s="71"/>
    </row>
    <row r="44">
      <c r="A44" s="11"/>
      <c r="B44" s="98" t="s">
        <v>1</v>
      </c>
      <c r="C44" s="113"/>
      <c r="D44" s="11"/>
      <c r="E44" s="11"/>
      <c r="F44" s="144" t="s">
        <v>162</v>
      </c>
      <c r="G44" s="145"/>
      <c r="H44" s="140">
        <v>90000.0</v>
      </c>
      <c r="I44" s="141">
        <v>1.0</v>
      </c>
      <c r="J44" s="101">
        <f t="shared" si="6"/>
        <v>90000</v>
      </c>
      <c r="K44" s="142" t="s">
        <v>145</v>
      </c>
      <c r="L44" s="68"/>
      <c r="M44" s="143">
        <f>J44/0.8</f>
        <v>112500</v>
      </c>
      <c r="N44" s="142" t="s">
        <v>145</v>
      </c>
      <c r="O44" s="110">
        <f t="shared" si="7"/>
        <v>30.40540541</v>
      </c>
      <c r="P44" s="142" t="s">
        <v>145</v>
      </c>
      <c r="Q44" s="182"/>
      <c r="R44" s="111"/>
      <c r="S44" s="111"/>
      <c r="T44" s="111"/>
      <c r="U44" s="111"/>
      <c r="V44" s="70"/>
      <c r="W44" s="111"/>
      <c r="X44" s="111"/>
      <c r="Y44" s="70"/>
      <c r="Z44" s="111"/>
      <c r="AA44" s="111"/>
      <c r="AB44" s="111"/>
      <c r="AC44" s="111"/>
      <c r="AD44" s="111"/>
      <c r="AE44" s="111"/>
      <c r="AF44" s="111"/>
      <c r="AG44" s="11"/>
      <c r="AH44" s="71"/>
    </row>
    <row r="45">
      <c r="A45" s="11"/>
      <c r="B45" s="113"/>
      <c r="C45" s="113"/>
      <c r="D45" s="113"/>
      <c r="E45" s="113"/>
      <c r="F45" s="136" t="s">
        <v>163</v>
      </c>
      <c r="G45" s="137"/>
      <c r="H45" s="137"/>
      <c r="I45" s="138"/>
      <c r="J45" s="137"/>
      <c r="K45" s="137"/>
      <c r="L45" s="68"/>
      <c r="M45" s="137"/>
      <c r="N45" s="137"/>
      <c r="O45" s="137"/>
      <c r="P45" s="137"/>
      <c r="Q45" s="182"/>
      <c r="R45" s="111"/>
      <c r="S45" s="111"/>
      <c r="T45" s="111"/>
      <c r="U45" s="111"/>
      <c r="V45" s="70"/>
      <c r="W45" s="111"/>
      <c r="X45" s="111"/>
      <c r="Y45" s="70"/>
      <c r="Z45" s="111"/>
      <c r="AA45" s="111"/>
      <c r="AB45" s="111"/>
      <c r="AC45" s="111"/>
      <c r="AD45" s="111"/>
      <c r="AE45" s="111"/>
      <c r="AF45" s="111"/>
      <c r="AG45" s="11"/>
      <c r="AH45" s="71"/>
    </row>
    <row r="46">
      <c r="A46" s="11"/>
      <c r="B46" s="98" t="s">
        <v>1</v>
      </c>
      <c r="C46" s="113"/>
      <c r="D46" s="11"/>
      <c r="E46" s="11"/>
      <c r="F46" s="144" t="s">
        <v>164</v>
      </c>
      <c r="G46" s="145"/>
      <c r="H46" s="140">
        <v>108000.0</v>
      </c>
      <c r="I46" s="141">
        <v>1.0</v>
      </c>
      <c r="J46" s="101">
        <f>H46*I46</f>
        <v>108000</v>
      </c>
      <c r="K46" s="142" t="s">
        <v>145</v>
      </c>
      <c r="L46" s="68"/>
      <c r="M46" s="143">
        <f>J46/0.8</f>
        <v>135000</v>
      </c>
      <c r="N46" s="142" t="s">
        <v>145</v>
      </c>
      <c r="O46" s="110">
        <f>M46/$I$67</f>
        <v>36.48648649</v>
      </c>
      <c r="P46" s="142" t="s">
        <v>145</v>
      </c>
      <c r="Q46" s="182"/>
      <c r="R46" s="111"/>
      <c r="S46" s="111"/>
      <c r="T46" s="111"/>
      <c r="U46" s="111"/>
      <c r="V46" s="70"/>
      <c r="W46" s="111"/>
      <c r="X46" s="111"/>
      <c r="Y46" s="70"/>
      <c r="Z46" s="111"/>
      <c r="AA46" s="111"/>
      <c r="AB46" s="111"/>
      <c r="AC46" s="111"/>
      <c r="AD46" s="111"/>
      <c r="AE46" s="111"/>
      <c r="AF46" s="111"/>
      <c r="AG46" s="11"/>
      <c r="AH46" s="71"/>
    </row>
    <row r="47">
      <c r="A47" s="11"/>
      <c r="B47" s="113"/>
      <c r="C47" s="113"/>
      <c r="D47" s="113"/>
      <c r="E47" s="113"/>
      <c r="F47" s="136" t="s">
        <v>33</v>
      </c>
      <c r="G47" s="137"/>
      <c r="H47" s="137"/>
      <c r="I47" s="138"/>
      <c r="J47" s="137"/>
      <c r="K47" s="137"/>
      <c r="L47" s="68"/>
      <c r="M47" s="137"/>
      <c r="N47" s="137"/>
      <c r="O47" s="137"/>
      <c r="P47" s="137"/>
      <c r="Q47" s="182"/>
      <c r="R47" s="111"/>
      <c r="S47" s="111"/>
      <c r="T47" s="111"/>
      <c r="U47" s="111"/>
      <c r="V47" s="70"/>
      <c r="W47" s="111"/>
      <c r="X47" s="111"/>
      <c r="Y47" s="70"/>
      <c r="Z47" s="111"/>
      <c r="AA47" s="111"/>
      <c r="AB47" s="111"/>
      <c r="AC47" s="111"/>
      <c r="AD47" s="111"/>
      <c r="AE47" s="111"/>
      <c r="AF47" s="111"/>
      <c r="AG47" s="11"/>
      <c r="AH47" s="71"/>
    </row>
    <row r="48">
      <c r="A48" s="11"/>
      <c r="B48" s="98" t="s">
        <v>1</v>
      </c>
      <c r="C48" s="113"/>
      <c r="D48" s="11"/>
      <c r="E48" s="11"/>
      <c r="F48" s="146" t="s">
        <v>83</v>
      </c>
      <c r="G48" s="145"/>
      <c r="H48" s="140">
        <v>100000.0</v>
      </c>
      <c r="I48" s="141">
        <v>1.0</v>
      </c>
      <c r="J48" s="101">
        <f t="shared" ref="J48:J49" si="8">H48*I48</f>
        <v>100000</v>
      </c>
      <c r="K48" s="142" t="s">
        <v>145</v>
      </c>
      <c r="L48" s="68"/>
      <c r="M48" s="143">
        <f t="shared" ref="M48:M49" si="9">J48/0.75</f>
        <v>133333.3333</v>
      </c>
      <c r="N48" s="142" t="s">
        <v>145</v>
      </c>
      <c r="O48" s="110">
        <f t="shared" ref="O48:O49" si="10">M48/$I$67</f>
        <v>36.03603604</v>
      </c>
      <c r="P48" s="142" t="s">
        <v>145</v>
      </c>
      <c r="Q48" s="182"/>
      <c r="R48" s="111"/>
      <c r="S48" s="111"/>
      <c r="T48" s="111"/>
      <c r="U48" s="111"/>
      <c r="V48" s="70"/>
      <c r="W48" s="111"/>
      <c r="X48" s="111"/>
      <c r="Y48" s="70"/>
      <c r="Z48" s="111"/>
      <c r="AA48" s="111"/>
      <c r="AB48" s="111"/>
      <c r="AC48" s="111"/>
      <c r="AD48" s="111"/>
      <c r="AE48" s="111"/>
      <c r="AF48" s="111"/>
      <c r="AG48" s="11"/>
      <c r="AH48" s="71"/>
    </row>
    <row r="49">
      <c r="A49" s="11"/>
      <c r="B49" s="98" t="s">
        <v>1</v>
      </c>
      <c r="C49" s="113"/>
      <c r="D49" s="11"/>
      <c r="E49" s="11"/>
      <c r="F49" s="146" t="s">
        <v>84</v>
      </c>
      <c r="G49" s="145"/>
      <c r="H49" s="140">
        <v>100000.0</v>
      </c>
      <c r="I49" s="141">
        <v>1.0</v>
      </c>
      <c r="J49" s="101">
        <f t="shared" si="8"/>
        <v>100000</v>
      </c>
      <c r="K49" s="142" t="s">
        <v>145</v>
      </c>
      <c r="L49" s="68"/>
      <c r="M49" s="143">
        <f t="shared" si="9"/>
        <v>133333.3333</v>
      </c>
      <c r="N49" s="142" t="s">
        <v>145</v>
      </c>
      <c r="O49" s="110">
        <f t="shared" si="10"/>
        <v>36.03603604</v>
      </c>
      <c r="P49" s="142" t="s">
        <v>145</v>
      </c>
      <c r="Q49" s="182"/>
      <c r="R49" s="111"/>
      <c r="S49" s="111"/>
      <c r="T49" s="111"/>
      <c r="U49" s="111"/>
      <c r="V49" s="70"/>
      <c r="W49" s="111"/>
      <c r="X49" s="111"/>
      <c r="Y49" s="70"/>
      <c r="Z49" s="111"/>
      <c r="AA49" s="111"/>
      <c r="AB49" s="111"/>
      <c r="AC49" s="111"/>
      <c r="AD49" s="111"/>
      <c r="AE49" s="111"/>
      <c r="AF49" s="111"/>
      <c r="AG49" s="11"/>
      <c r="AH49" s="71"/>
    </row>
    <row r="50">
      <c r="A50" s="11"/>
      <c r="B50" s="98" t="s">
        <v>1</v>
      </c>
      <c r="C50" s="113"/>
      <c r="D50" s="11"/>
      <c r="E50" s="11"/>
      <c r="F50" s="128" t="s">
        <v>81</v>
      </c>
      <c r="G50" s="135"/>
      <c r="H50" s="130"/>
      <c r="I50" s="131"/>
      <c r="J50" s="130"/>
      <c r="K50" s="130"/>
      <c r="L50" s="68"/>
      <c r="M50" s="130"/>
      <c r="N50" s="130"/>
      <c r="O50" s="130"/>
      <c r="P50" s="130"/>
      <c r="Q50" s="182"/>
      <c r="R50" s="111"/>
      <c r="S50" s="111"/>
      <c r="T50" s="111"/>
      <c r="U50" s="111"/>
      <c r="V50" s="70"/>
      <c r="W50" s="111"/>
      <c r="X50" s="111"/>
      <c r="Y50" s="70"/>
      <c r="Z50" s="111"/>
      <c r="AA50" s="111"/>
      <c r="AB50" s="111"/>
      <c r="AC50" s="111"/>
      <c r="AD50" s="111"/>
      <c r="AE50" s="111"/>
      <c r="AF50" s="111"/>
      <c r="AG50" s="11"/>
      <c r="AH50" s="71"/>
    </row>
    <row r="51">
      <c r="A51" s="11"/>
      <c r="B51" s="113"/>
      <c r="C51" s="98" t="s">
        <v>105</v>
      </c>
      <c r="D51" s="11"/>
      <c r="E51" s="11"/>
      <c r="F51" s="146" t="s">
        <v>165</v>
      </c>
      <c r="G51" s="145"/>
      <c r="H51" s="147">
        <v>50000.0</v>
      </c>
      <c r="I51" s="141">
        <v>1.0</v>
      </c>
      <c r="J51" s="142" t="s">
        <v>145</v>
      </c>
      <c r="K51" s="101">
        <f>H51*I51</f>
        <v>50000</v>
      </c>
      <c r="L51" s="68"/>
      <c r="M51" s="142" t="s">
        <v>145</v>
      </c>
      <c r="N51" s="143">
        <f>K51/0.6</f>
        <v>83333.33333</v>
      </c>
      <c r="O51" s="142" t="s">
        <v>145</v>
      </c>
      <c r="P51" s="110">
        <f>N51/I67</f>
        <v>22.52252252</v>
      </c>
      <c r="Q51" s="182"/>
      <c r="R51" s="111"/>
      <c r="S51" s="111"/>
      <c r="T51" s="111"/>
      <c r="U51" s="111"/>
      <c r="V51" s="70"/>
      <c r="W51" s="111"/>
      <c r="X51" s="111"/>
      <c r="Y51" s="70"/>
      <c r="Z51" s="111"/>
      <c r="AA51" s="111"/>
      <c r="AB51" s="111"/>
      <c r="AC51" s="111"/>
      <c r="AD51" s="111"/>
      <c r="AE51" s="111"/>
      <c r="AF51" s="111"/>
      <c r="AG51" s="11"/>
      <c r="AH51" s="71"/>
    </row>
    <row r="52">
      <c r="A52" s="11"/>
      <c r="B52" s="98" t="s">
        <v>1</v>
      </c>
      <c r="C52" s="113"/>
      <c r="D52" s="11"/>
      <c r="E52" s="11"/>
      <c r="F52" s="146" t="s">
        <v>167</v>
      </c>
      <c r="G52" s="145"/>
      <c r="H52" s="140">
        <v>650000.0</v>
      </c>
      <c r="I52" s="141">
        <v>1.0</v>
      </c>
      <c r="J52" s="101">
        <f>H52*I52</f>
        <v>650000</v>
      </c>
      <c r="K52" s="142" t="s">
        <v>145</v>
      </c>
      <c r="L52" s="68"/>
      <c r="M52" s="143">
        <f>J52/0.75</f>
        <v>866666.6667</v>
      </c>
      <c r="N52" s="142" t="s">
        <v>145</v>
      </c>
      <c r="O52" s="110">
        <f>M52/$I$67</f>
        <v>234.2342342</v>
      </c>
      <c r="P52" s="142" t="s">
        <v>145</v>
      </c>
      <c r="Q52" s="182"/>
      <c r="R52" s="111"/>
      <c r="S52" s="111"/>
      <c r="T52" s="111"/>
      <c r="U52" s="111"/>
      <c r="V52" s="70"/>
      <c r="W52" s="111"/>
      <c r="X52" s="111"/>
      <c r="Y52" s="70"/>
      <c r="Z52" s="111"/>
      <c r="AA52" s="111"/>
      <c r="AB52" s="111"/>
      <c r="AC52" s="111"/>
      <c r="AD52" s="111"/>
      <c r="AE52" s="111"/>
      <c r="AF52" s="111"/>
      <c r="AG52" s="11"/>
      <c r="AH52" s="71"/>
    </row>
    <row r="53">
      <c r="A53" s="11"/>
      <c r="B53" s="113"/>
      <c r="C53" s="113"/>
      <c r="D53" s="113"/>
      <c r="E53" s="113"/>
      <c r="F53" s="149" t="s">
        <v>34</v>
      </c>
      <c r="G53" s="150"/>
      <c r="H53" s="150"/>
      <c r="I53" s="151"/>
      <c r="J53" s="152"/>
      <c r="K53" s="152"/>
      <c r="L53" s="68"/>
      <c r="M53" s="152"/>
      <c r="N53" s="152"/>
      <c r="O53" s="152"/>
      <c r="P53" s="152"/>
      <c r="Q53" s="182"/>
      <c r="R53" s="152"/>
      <c r="S53" s="152"/>
      <c r="T53" s="152"/>
      <c r="U53" s="152"/>
      <c r="V53" s="70"/>
      <c r="W53" s="152"/>
      <c r="X53" s="152"/>
      <c r="Y53" s="70"/>
      <c r="Z53" s="123"/>
      <c r="AA53" s="124"/>
      <c r="AB53" s="132"/>
      <c r="AC53" s="153"/>
      <c r="AD53" s="134"/>
      <c r="AE53" s="134"/>
      <c r="AF53" s="111"/>
      <c r="AG53" s="11"/>
      <c r="AH53" s="71"/>
    </row>
    <row r="54">
      <c r="A54" s="11"/>
      <c r="B54" s="98" t="s">
        <v>1</v>
      </c>
      <c r="C54" s="113"/>
      <c r="D54" s="11"/>
      <c r="E54" s="11"/>
      <c r="F54" s="154" t="s">
        <v>168</v>
      </c>
      <c r="G54" s="155"/>
      <c r="H54" s="156"/>
      <c r="I54" s="157"/>
      <c r="J54" s="156"/>
      <c r="K54" s="156"/>
      <c r="L54" s="68"/>
      <c r="M54" s="156"/>
      <c r="N54" s="156"/>
      <c r="O54" s="156"/>
      <c r="P54" s="156"/>
      <c r="Q54" s="182"/>
      <c r="R54" s="103"/>
      <c r="S54" s="103"/>
      <c r="T54" s="103"/>
      <c r="U54" s="103"/>
      <c r="V54" s="70"/>
      <c r="W54" s="158"/>
      <c r="X54" s="159"/>
      <c r="Y54" s="70"/>
      <c r="Z54" s="123"/>
      <c r="AA54" s="124"/>
      <c r="AB54" s="132"/>
      <c r="AC54" s="153"/>
      <c r="AD54" s="134"/>
      <c r="AE54" s="134"/>
      <c r="AF54" s="134"/>
      <c r="AG54" s="11"/>
      <c r="AH54" s="71"/>
    </row>
    <row r="55">
      <c r="A55" s="11"/>
      <c r="B55" s="113"/>
      <c r="C55" s="98" t="s">
        <v>105</v>
      </c>
      <c r="D55" s="11"/>
      <c r="E55" s="11"/>
      <c r="F55" s="146" t="s">
        <v>169</v>
      </c>
      <c r="G55" s="145"/>
      <c r="H55" s="147">
        <v>0.0</v>
      </c>
      <c r="I55" s="141">
        <v>1.0</v>
      </c>
      <c r="J55" s="142" t="s">
        <v>145</v>
      </c>
      <c r="K55" s="101">
        <f>H55*I55</f>
        <v>0</v>
      </c>
      <c r="L55" s="68"/>
      <c r="M55" s="142" t="s">
        <v>145</v>
      </c>
      <c r="N55" s="101">
        <f>K55/0.9</f>
        <v>0</v>
      </c>
      <c r="O55" s="142" t="s">
        <v>145</v>
      </c>
      <c r="P55" s="160">
        <v>0.0</v>
      </c>
      <c r="Q55" s="182"/>
      <c r="R55" s="103"/>
      <c r="S55" s="111"/>
      <c r="T55" s="103"/>
      <c r="U55" s="103"/>
      <c r="V55" s="70"/>
      <c r="W55" s="161"/>
      <c r="X55" s="162"/>
      <c r="Y55" s="70"/>
      <c r="Z55" s="123"/>
      <c r="AA55" s="124"/>
      <c r="AB55" s="132"/>
      <c r="AC55" s="153"/>
      <c r="AD55" s="134"/>
      <c r="AE55" s="134"/>
      <c r="AF55" s="134"/>
      <c r="AG55" s="11"/>
      <c r="AH55" s="71"/>
    </row>
    <row r="56">
      <c r="A56" s="11"/>
      <c r="B56" s="98" t="s">
        <v>1</v>
      </c>
      <c r="C56" s="113"/>
      <c r="D56" s="11"/>
      <c r="E56" s="11"/>
      <c r="F56" s="144" t="s">
        <v>170</v>
      </c>
      <c r="G56" s="145"/>
      <c r="H56" s="140">
        <v>280000.0</v>
      </c>
      <c r="I56" s="141">
        <v>1.0</v>
      </c>
      <c r="J56" s="101">
        <f t="shared" ref="J56:J59" si="11">H56*I56</f>
        <v>280000</v>
      </c>
      <c r="K56" s="142" t="s">
        <v>145</v>
      </c>
      <c r="L56" s="68"/>
      <c r="M56" s="143">
        <f>J56/0.9</f>
        <v>311111.1111</v>
      </c>
      <c r="N56" s="142" t="s">
        <v>145</v>
      </c>
      <c r="O56" s="110">
        <f t="shared" ref="O56:O59" si="12">M56/$I$67</f>
        <v>84.08408408</v>
      </c>
      <c r="P56" s="142" t="s">
        <v>145</v>
      </c>
      <c r="Q56" s="182"/>
      <c r="R56" s="103"/>
      <c r="S56" s="111"/>
      <c r="T56" s="103"/>
      <c r="U56" s="103"/>
      <c r="V56" s="70"/>
      <c r="W56" s="161"/>
      <c r="X56" s="162"/>
      <c r="Y56" s="70"/>
      <c r="Z56" s="123"/>
      <c r="AA56" s="124"/>
      <c r="AB56" s="132"/>
      <c r="AC56" s="153"/>
      <c r="AD56" s="134"/>
      <c r="AE56" s="134"/>
      <c r="AF56" s="134"/>
      <c r="AG56" s="11"/>
      <c r="AH56" s="71"/>
    </row>
    <row r="57" ht="27.0" customHeight="1">
      <c r="A57" s="11"/>
      <c r="B57" s="98" t="s">
        <v>1</v>
      </c>
      <c r="C57" s="113"/>
      <c r="D57" s="11"/>
      <c r="E57" s="11"/>
      <c r="F57" s="144" t="s">
        <v>171</v>
      </c>
      <c r="G57" s="145"/>
      <c r="H57" s="140">
        <v>300000.0</v>
      </c>
      <c r="I57" s="141">
        <v>1.0</v>
      </c>
      <c r="J57" s="101">
        <f t="shared" si="11"/>
        <v>300000</v>
      </c>
      <c r="K57" s="142" t="s">
        <v>145</v>
      </c>
      <c r="L57" s="68"/>
      <c r="M57" s="143">
        <f>J57/0.95</f>
        <v>315789.4737</v>
      </c>
      <c r="N57" s="142" t="s">
        <v>145</v>
      </c>
      <c r="O57" s="110">
        <f t="shared" si="12"/>
        <v>85.3485064</v>
      </c>
      <c r="P57" s="142" t="s">
        <v>145</v>
      </c>
      <c r="Q57" s="182"/>
      <c r="R57" s="103"/>
      <c r="S57" s="103"/>
      <c r="T57" s="103"/>
      <c r="U57" s="103"/>
      <c r="V57" s="70"/>
      <c r="W57" s="158"/>
      <c r="X57" s="159"/>
      <c r="Y57" s="70"/>
      <c r="Z57" s="123"/>
      <c r="AA57" s="124"/>
      <c r="AB57" s="132"/>
      <c r="AC57" s="153"/>
      <c r="AD57" s="134"/>
      <c r="AE57" s="134"/>
      <c r="AF57" s="134"/>
      <c r="AG57" s="11"/>
      <c r="AH57" s="71"/>
    </row>
    <row r="58" ht="27.0" customHeight="1">
      <c r="A58" s="11"/>
      <c r="B58" s="98" t="s">
        <v>1</v>
      </c>
      <c r="C58" s="113"/>
      <c r="D58" s="11"/>
      <c r="E58" s="11"/>
      <c r="F58" s="146" t="s">
        <v>173</v>
      </c>
      <c r="G58" s="134"/>
      <c r="H58" s="147">
        <v>150000.0</v>
      </c>
      <c r="I58" s="146">
        <v>1.0</v>
      </c>
      <c r="J58" s="101">
        <f t="shared" si="11"/>
        <v>150000</v>
      </c>
      <c r="K58" s="142" t="s">
        <v>145</v>
      </c>
      <c r="L58" s="68"/>
      <c r="M58" s="143">
        <f>J58</f>
        <v>150000</v>
      </c>
      <c r="N58" s="142" t="s">
        <v>145</v>
      </c>
      <c r="O58" s="110">
        <f t="shared" si="12"/>
        <v>40.54054054</v>
      </c>
      <c r="P58" s="142" t="s">
        <v>145</v>
      </c>
      <c r="Q58" s="183"/>
      <c r="R58" s="103"/>
      <c r="S58" s="103"/>
      <c r="T58" s="103"/>
      <c r="U58" s="103"/>
      <c r="V58" s="70"/>
      <c r="W58" s="158"/>
      <c r="X58" s="159"/>
      <c r="Y58" s="70"/>
      <c r="Z58" s="123"/>
      <c r="AA58" s="124"/>
      <c r="AB58" s="134"/>
      <c r="AC58" s="134"/>
      <c r="AD58" s="134"/>
      <c r="AE58" s="134"/>
      <c r="AF58" s="134"/>
      <c r="AG58" s="11"/>
      <c r="AH58" s="71"/>
    </row>
    <row r="59" ht="27.0" customHeight="1">
      <c r="A59" s="11"/>
      <c r="B59" s="98" t="s">
        <v>1</v>
      </c>
      <c r="C59" s="113"/>
      <c r="D59" s="11"/>
      <c r="E59" s="11"/>
      <c r="F59" s="146" t="s">
        <v>174</v>
      </c>
      <c r="G59" s="134"/>
      <c r="H59" s="140">
        <v>270000.0</v>
      </c>
      <c r="I59" s="146">
        <v>1.0</v>
      </c>
      <c r="J59" s="101">
        <f t="shared" si="11"/>
        <v>270000</v>
      </c>
      <c r="K59" s="142" t="s">
        <v>145</v>
      </c>
      <c r="L59" s="68"/>
      <c r="M59" s="143">
        <f>J59/0.9</f>
        <v>300000</v>
      </c>
      <c r="N59" s="142" t="s">
        <v>145</v>
      </c>
      <c r="O59" s="110">
        <f t="shared" si="12"/>
        <v>81.08108108</v>
      </c>
      <c r="P59" s="142" t="s">
        <v>145</v>
      </c>
      <c r="Q59" s="183"/>
      <c r="R59" s="103"/>
      <c r="S59" s="103"/>
      <c r="T59" s="103"/>
      <c r="U59" s="103"/>
      <c r="V59" s="70"/>
      <c r="W59" s="158"/>
      <c r="X59" s="159"/>
      <c r="Y59" s="70"/>
      <c r="Z59" s="123"/>
      <c r="AA59" s="124"/>
      <c r="AB59" s="134"/>
      <c r="AC59" s="134"/>
      <c r="AD59" s="134"/>
      <c r="AE59" s="134"/>
      <c r="AF59" s="134"/>
      <c r="AG59" s="11"/>
      <c r="AH59" s="71"/>
    </row>
    <row r="60">
      <c r="A60" s="11"/>
      <c r="B60" s="98" t="s">
        <v>1</v>
      </c>
      <c r="C60" s="98" t="s">
        <v>105</v>
      </c>
      <c r="D60" s="11"/>
      <c r="E60" s="11"/>
      <c r="F60" s="128" t="s">
        <v>175</v>
      </c>
      <c r="G60" s="135"/>
      <c r="H60" s="130"/>
      <c r="I60" s="131"/>
      <c r="J60" s="130"/>
      <c r="K60" s="130"/>
      <c r="L60" s="68"/>
      <c r="M60" s="130"/>
      <c r="N60" s="130"/>
      <c r="O60" s="130"/>
      <c r="P60" s="130"/>
      <c r="Q60" s="182"/>
      <c r="R60" s="103"/>
      <c r="S60" s="103"/>
      <c r="T60" s="103"/>
      <c r="U60" s="103"/>
      <c r="V60" s="70"/>
      <c r="W60" s="158"/>
      <c r="X60" s="159"/>
      <c r="Y60" s="70"/>
      <c r="Z60" s="123"/>
      <c r="AA60" s="124"/>
      <c r="AB60" s="123"/>
      <c r="AC60" s="109"/>
      <c r="AD60" s="134"/>
      <c r="AE60" s="134"/>
      <c r="AF60" s="134"/>
      <c r="AG60" s="11"/>
      <c r="AH60" s="71"/>
    </row>
    <row r="61">
      <c r="A61" s="11"/>
      <c r="B61" s="98" t="s">
        <v>1</v>
      </c>
      <c r="C61" s="98" t="s">
        <v>105</v>
      </c>
      <c r="D61" s="11"/>
      <c r="E61" s="11"/>
      <c r="F61" s="164" t="s">
        <v>176</v>
      </c>
      <c r="G61" s="135"/>
      <c r="H61" s="130"/>
      <c r="I61" s="131"/>
      <c r="J61" s="130"/>
      <c r="K61" s="130"/>
      <c r="L61" s="68"/>
      <c r="M61" s="130"/>
      <c r="N61" s="130"/>
      <c r="O61" s="130"/>
      <c r="P61" s="130"/>
      <c r="Q61" s="182"/>
      <c r="R61" s="103"/>
      <c r="S61" s="103"/>
      <c r="T61" s="103"/>
      <c r="U61" s="103"/>
      <c r="V61" s="70"/>
      <c r="W61" s="158"/>
      <c r="X61" s="159"/>
      <c r="Y61" s="70"/>
      <c r="Z61" s="123"/>
      <c r="AA61" s="124"/>
      <c r="AB61" s="123"/>
      <c r="AC61" s="109"/>
      <c r="AD61" s="134"/>
      <c r="AE61" s="134"/>
      <c r="AF61" s="134"/>
      <c r="AG61" s="11"/>
      <c r="AH61" s="71"/>
    </row>
    <row r="62">
      <c r="A62" s="11"/>
      <c r="B62" s="98" t="s">
        <v>1</v>
      </c>
      <c r="C62" s="113"/>
      <c r="D62" s="11"/>
      <c r="E62" s="11"/>
      <c r="F62" s="165" t="s">
        <v>177</v>
      </c>
      <c r="G62" s="109"/>
      <c r="H62" s="101">
        <v>180000.0</v>
      </c>
      <c r="I62" s="146">
        <v>0.5</v>
      </c>
      <c r="J62" s="166">
        <f>H62*I62</f>
        <v>90000</v>
      </c>
      <c r="K62" s="142" t="s">
        <v>145</v>
      </c>
      <c r="L62" s="68"/>
      <c r="M62" s="101">
        <f>J62/0.9</f>
        <v>100000</v>
      </c>
      <c r="N62" s="101"/>
      <c r="O62" s="167">
        <f>M62/$I$67</f>
        <v>27.02702703</v>
      </c>
      <c r="P62" s="167"/>
      <c r="Q62" s="182"/>
      <c r="R62" s="103"/>
      <c r="S62" s="103"/>
      <c r="T62" s="103"/>
      <c r="U62" s="103"/>
      <c r="V62" s="70"/>
      <c r="W62" s="158"/>
      <c r="X62" s="159"/>
      <c r="Y62" s="70"/>
      <c r="Z62" s="123"/>
      <c r="AA62" s="124"/>
      <c r="AB62" s="123"/>
      <c r="AC62" s="109"/>
      <c r="AD62" s="134"/>
      <c r="AE62" s="134"/>
      <c r="AF62" s="134"/>
      <c r="AG62" s="11"/>
      <c r="AH62" s="71"/>
    </row>
    <row r="63" ht="15.75" customHeight="1">
      <c r="A63" s="11"/>
      <c r="B63" s="98" t="s">
        <v>1</v>
      </c>
      <c r="C63" s="98" t="s">
        <v>105</v>
      </c>
      <c r="D63" s="11"/>
      <c r="E63" s="11"/>
      <c r="F63" s="168" t="s">
        <v>178</v>
      </c>
      <c r="G63" s="109"/>
      <c r="H63" s="101">
        <v>20000.0</v>
      </c>
      <c r="I63" s="141">
        <v>1.0</v>
      </c>
      <c r="J63" s="166">
        <f>+H63*I63</f>
        <v>20000</v>
      </c>
      <c r="K63" s="166">
        <f>H63*I63</f>
        <v>20000</v>
      </c>
      <c r="L63" s="68"/>
      <c r="M63" s="169"/>
      <c r="N63" s="169"/>
      <c r="O63" s="169"/>
      <c r="P63" s="169"/>
      <c r="Q63" s="182"/>
      <c r="R63" s="103"/>
      <c r="S63" s="103"/>
      <c r="T63" s="103"/>
      <c r="U63" s="103"/>
      <c r="V63" s="70"/>
      <c r="W63" s="158"/>
      <c r="X63" s="159"/>
      <c r="Y63" s="70"/>
      <c r="Z63" s="123"/>
      <c r="AA63" s="124"/>
      <c r="AB63" s="125"/>
      <c r="AC63" s="109"/>
      <c r="AD63" s="134"/>
      <c r="AE63" s="134"/>
      <c r="AF63" s="134"/>
      <c r="AG63" s="11"/>
      <c r="AH63" s="71"/>
    </row>
    <row r="64" ht="15.75" customHeight="1">
      <c r="A64" s="11"/>
      <c r="B64" s="11"/>
      <c r="C64" s="11"/>
      <c r="D64" s="11"/>
      <c r="E64" s="11"/>
      <c r="F64" s="11"/>
      <c r="G64" s="68"/>
      <c r="H64" s="170"/>
      <c r="I64" s="171" t="s">
        <v>179</v>
      </c>
      <c r="J64" s="172">
        <f>SUM(J9:J63)</f>
        <v>3259000</v>
      </c>
      <c r="K64" s="172">
        <f>SUM(K5:K63)</f>
        <v>91000</v>
      </c>
      <c r="L64" s="68"/>
      <c r="M64" s="68"/>
      <c r="N64" s="68"/>
      <c r="O64" s="173"/>
      <c r="P64" s="70"/>
      <c r="Q64" s="183"/>
      <c r="R64" s="70"/>
      <c r="S64" s="70"/>
      <c r="T64" s="70"/>
      <c r="U64" s="69"/>
      <c r="V64" s="70"/>
      <c r="W64" s="70"/>
      <c r="X64" s="69"/>
      <c r="Y64" s="70"/>
      <c r="Z64" s="70"/>
      <c r="AA64" s="69"/>
      <c r="AB64" s="11"/>
      <c r="AC64" s="11"/>
      <c r="AD64" s="11"/>
      <c r="AE64" s="11"/>
      <c r="AF64" s="11"/>
      <c r="AG64" s="11"/>
      <c r="AH64" s="71"/>
    </row>
    <row r="65" ht="15.75" customHeight="1">
      <c r="A65" s="11"/>
      <c r="B65" s="11"/>
      <c r="C65" s="11"/>
      <c r="D65" s="11"/>
      <c r="E65" s="11"/>
      <c r="F65" s="11"/>
      <c r="G65" s="11"/>
      <c r="H65" s="68"/>
      <c r="I65" s="174">
        <v>0.2</v>
      </c>
      <c r="J65" s="172">
        <f>J64/0.797</f>
        <v>4089084.065</v>
      </c>
      <c r="K65" s="172">
        <f>K64/0.755</f>
        <v>120529.8013</v>
      </c>
      <c r="L65" s="68"/>
      <c r="M65" s="68"/>
      <c r="N65" s="68"/>
      <c r="O65" s="172">
        <f t="shared" ref="O65:P65" si="13">SUM(O5:O64)</f>
        <v>1233.486645</v>
      </c>
      <c r="P65" s="172">
        <f t="shared" si="13"/>
        <v>30.63063063</v>
      </c>
      <c r="Q65" s="183"/>
      <c r="R65" s="68"/>
      <c r="S65" s="68"/>
      <c r="T65" s="70"/>
      <c r="U65" s="69"/>
      <c r="V65" s="70"/>
      <c r="W65" s="70"/>
      <c r="X65" s="69"/>
      <c r="Y65" s="70"/>
      <c r="Z65" s="70"/>
      <c r="AA65" s="69"/>
      <c r="AB65" s="11"/>
      <c r="AC65" s="11"/>
      <c r="AD65" s="11"/>
      <c r="AE65" s="11"/>
      <c r="AF65" s="11"/>
      <c r="AG65" s="11"/>
      <c r="AH65" s="71"/>
    </row>
    <row r="66" ht="15.75" customHeight="1">
      <c r="A66" s="11"/>
      <c r="B66" s="11"/>
      <c r="C66" s="11"/>
      <c r="D66" s="11"/>
      <c r="E66" s="11"/>
      <c r="F66" s="11"/>
      <c r="G66" s="68"/>
      <c r="H66" s="172" t="s">
        <v>180</v>
      </c>
      <c r="I66" s="175" t="s">
        <v>181</v>
      </c>
      <c r="J66" s="176">
        <v>9000.0</v>
      </c>
      <c r="K66" s="172"/>
      <c r="L66" s="68"/>
      <c r="M66" s="68"/>
      <c r="N66" s="68"/>
      <c r="O66" s="176">
        <v>2.0</v>
      </c>
      <c r="P66" s="172"/>
      <c r="Q66" s="183"/>
      <c r="R66" s="68"/>
      <c r="S66" s="68"/>
      <c r="T66" s="70"/>
      <c r="U66" s="70"/>
      <c r="V66" s="70"/>
      <c r="W66" s="70"/>
      <c r="X66" s="69"/>
      <c r="Y66" s="70"/>
      <c r="Z66" s="70"/>
      <c r="AA66" s="69"/>
      <c r="AB66" s="11"/>
      <c r="AC66" s="11"/>
      <c r="AD66" s="11"/>
      <c r="AE66" s="11"/>
      <c r="AF66" s="11"/>
      <c r="AG66" s="11"/>
      <c r="AH66" s="71"/>
    </row>
    <row r="67">
      <c r="A67" s="11"/>
      <c r="B67" s="11"/>
      <c r="C67" s="11"/>
      <c r="D67" s="11"/>
      <c r="E67" s="11"/>
      <c r="F67" s="11"/>
      <c r="G67" s="68"/>
      <c r="H67" s="172" t="s">
        <v>182</v>
      </c>
      <c r="I67" s="172">
        <v>3700.0</v>
      </c>
      <c r="J67" s="177">
        <f t="shared" ref="J67:K67" si="14">SUM(J65:J66)</f>
        <v>4098084.065</v>
      </c>
      <c r="K67" s="177">
        <f t="shared" si="14"/>
        <v>120529.8013</v>
      </c>
      <c r="L67" s="68"/>
      <c r="M67" s="68"/>
      <c r="N67" s="68"/>
      <c r="O67" s="177">
        <f t="shared" ref="O67:P67" si="15">SUM(O65:O66)</f>
        <v>1235.486645</v>
      </c>
      <c r="P67" s="177">
        <f t="shared" si="15"/>
        <v>30.63063063</v>
      </c>
      <c r="Q67" s="183"/>
      <c r="R67" s="68"/>
      <c r="S67" s="68"/>
      <c r="T67" s="70"/>
      <c r="U67" s="69"/>
      <c r="V67" s="70"/>
      <c r="W67" s="70"/>
      <c r="X67" s="69"/>
      <c r="Y67" s="70"/>
      <c r="Z67" s="70"/>
      <c r="AA67" s="69"/>
      <c r="AB67" s="11"/>
      <c r="AC67" s="11"/>
      <c r="AD67" s="11"/>
      <c r="AE67" s="11"/>
      <c r="AF67" s="11"/>
      <c r="AG67" s="11"/>
      <c r="AH67" s="71"/>
    </row>
    <row r="68" ht="15.75" customHeight="1">
      <c r="A68" s="11"/>
      <c r="B68" s="11"/>
      <c r="C68" s="11"/>
      <c r="D68" s="11"/>
      <c r="E68" s="11"/>
      <c r="F68" s="11"/>
      <c r="G68" s="11"/>
      <c r="H68" s="68"/>
      <c r="I68" s="67"/>
      <c r="J68" s="178">
        <f>J67/I67</f>
        <v>1107.590288</v>
      </c>
      <c r="K68" s="178">
        <f>K67/I67</f>
        <v>32.57562198</v>
      </c>
      <c r="L68" s="68"/>
      <c r="M68" s="68"/>
      <c r="N68" s="68"/>
      <c r="O68" s="173"/>
      <c r="P68" s="179"/>
      <c r="Q68" s="183"/>
      <c r="R68" s="70"/>
      <c r="S68" s="70"/>
      <c r="T68" s="70"/>
      <c r="U68" s="69"/>
      <c r="V68" s="70"/>
      <c r="W68" s="70"/>
      <c r="X68" s="69"/>
      <c r="Y68" s="70"/>
      <c r="Z68" s="11"/>
      <c r="AA68" s="11"/>
      <c r="AB68" s="11"/>
      <c r="AC68" s="11"/>
      <c r="AD68" s="11"/>
      <c r="AE68" s="11"/>
      <c r="AF68" s="11"/>
      <c r="AG68" s="11"/>
      <c r="AH68" s="71"/>
    </row>
    <row r="69" ht="15.75" customHeight="1">
      <c r="A69" s="11"/>
      <c r="B69" s="11"/>
      <c r="C69" s="11"/>
      <c r="D69" s="11"/>
      <c r="E69" s="11"/>
      <c r="F69" s="11"/>
      <c r="G69" s="11"/>
      <c r="H69" s="68"/>
      <c r="I69" s="67"/>
      <c r="J69" s="68"/>
      <c r="K69" s="68"/>
      <c r="L69" s="68"/>
      <c r="M69" s="68"/>
      <c r="N69" s="68"/>
      <c r="O69" s="180"/>
      <c r="P69" s="181"/>
      <c r="Q69" s="183"/>
      <c r="R69" s="70"/>
      <c r="S69" s="70"/>
      <c r="T69" s="70"/>
      <c r="U69" s="69"/>
      <c r="V69" s="70"/>
      <c r="W69" s="70"/>
      <c r="X69" s="69"/>
      <c r="Y69" s="70"/>
      <c r="Z69" s="11"/>
      <c r="AA69" s="11"/>
      <c r="AB69" s="11"/>
      <c r="AC69" s="11"/>
      <c r="AD69" s="11"/>
      <c r="AE69" s="11"/>
      <c r="AF69" s="11"/>
      <c r="AG69" s="11"/>
      <c r="AH69" s="71"/>
    </row>
    <row r="70" ht="15.75" customHeight="1">
      <c r="A70" s="11"/>
      <c r="B70" s="11"/>
      <c r="C70" s="11"/>
      <c r="D70" s="11"/>
      <c r="E70" s="11"/>
      <c r="F70" s="11"/>
      <c r="G70" s="11"/>
      <c r="H70" s="68"/>
      <c r="I70" s="67"/>
      <c r="J70" s="68"/>
      <c r="K70" s="68"/>
      <c r="L70" s="68"/>
      <c r="M70" s="68"/>
      <c r="N70" s="68"/>
      <c r="O70" s="173"/>
      <c r="P70" s="70"/>
      <c r="Q70" s="183"/>
      <c r="R70" s="70"/>
      <c r="S70" s="70"/>
      <c r="T70" s="70"/>
      <c r="U70" s="69"/>
      <c r="V70" s="70"/>
      <c r="W70" s="70"/>
      <c r="X70" s="69"/>
      <c r="Y70" s="70"/>
      <c r="Z70" s="11"/>
      <c r="AA70" s="11"/>
      <c r="AB70" s="11"/>
      <c r="AC70" s="11"/>
      <c r="AD70" s="11"/>
      <c r="AE70" s="11"/>
      <c r="AF70" s="11"/>
      <c r="AG70" s="11"/>
      <c r="AH70" s="71"/>
    </row>
  </sheetData>
  <mergeCells count="1">
    <mergeCell ref="Z3:A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2.38"/>
    <col customWidth="1" min="3" max="4" width="13.7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>
      <c r="A3" s="11"/>
      <c r="B3" s="186" t="s">
        <v>183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>
      <c r="A4" s="11"/>
      <c r="B4" s="187" t="s">
        <v>184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>
      <c r="A5" s="11"/>
      <c r="B5" s="188" t="s">
        <v>185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>
      <c r="A7" s="11"/>
      <c r="B7" s="189" t="s">
        <v>186</v>
      </c>
      <c r="C7" s="190"/>
      <c r="D7" s="19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>
      <c r="A8" s="11"/>
      <c r="B8" s="87" t="str">
        <f>'RVA249-1 -1-COSTEO'!F4</f>
        <v>CONCEPTO</v>
      </c>
      <c r="C8" s="192" t="str">
        <f>'RVA249-1 -1-COSTEO'!O4</f>
        <v>SHANELLA</v>
      </c>
      <c r="D8" s="85" t="str">
        <f>'RVA249-1 -1-COSTEO'!P4</f>
        <v>DEA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>
      <c r="A9" s="11"/>
      <c r="B9" s="115" t="str">
        <f>'RVA249-1 -1-COSTEO'!F9</f>
        <v>PAQUETE DE CHEQUEO MÉDICO  - Servicios incluidos color azul</v>
      </c>
      <c r="C9" s="119">
        <f>'RVA249-1 -1-COSTEO'!O9</f>
        <v>485</v>
      </c>
      <c r="D9" s="119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>
      <c r="A10" s="11"/>
      <c r="B10" s="120" t="str">
        <f>'RVA249-1 -1-COSTEO'!F10</f>
        <v>LABORATORIOS CLÍNICOS</v>
      </c>
      <c r="C10" s="121" t="str">
        <f>'RVA249-1 -1-COSTEO'!O10</f>
        <v/>
      </c>
      <c r="D10" s="121" t="str">
        <f>'RVA249-1 -1-COSTEO'!P10</f>
        <v/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>
      <c r="A11" s="11"/>
      <c r="B11" s="128" t="str">
        <f>'RVA249-1 -1-COSTEO'!F11</f>
        <v>Citología</v>
      </c>
      <c r="C11" s="130" t="str">
        <f>'RVA249-1 -1-COSTEO'!O11</f>
        <v/>
      </c>
      <c r="D11" s="130" t="str">
        <f>'RVA249-1 -1-COSTEO'!P11</f>
        <v/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>
      <c r="A12" s="11"/>
      <c r="B12" s="128" t="str">
        <f>'RVA249-1 -1-COSTEO'!F12</f>
        <v>Coprológico</v>
      </c>
      <c r="C12" s="130" t="str">
        <f>'RVA249-1 -1-COSTEO'!O12</f>
        <v/>
      </c>
      <c r="D12" s="130" t="str">
        <f>'RVA249-1 -1-COSTEO'!P12</f>
        <v/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>
      <c r="A13" s="11"/>
      <c r="B13" s="128" t="str">
        <f>'RVA249-1 -1-COSTEO'!F13</f>
        <v>Vitamina D25</v>
      </c>
      <c r="C13" s="130" t="str">
        <f>'RVA249-1 -1-COSTEO'!O13</f>
        <v/>
      </c>
      <c r="D13" s="130" t="str">
        <f>'RVA249-1 -1-COSTEO'!P13</f>
        <v/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>
      <c r="A14" s="11"/>
      <c r="B14" s="128" t="str">
        <f>'RVA249-1 -1-COSTEO'!F14</f>
        <v>Vitamina B12</v>
      </c>
      <c r="C14" s="130" t="str">
        <f>'RVA249-1 -1-COSTEO'!O14</f>
        <v/>
      </c>
      <c r="D14" s="130" t="str">
        <f>'RVA249-1 -1-COSTEO'!P14</f>
        <v/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A15" s="11"/>
      <c r="B15" s="136" t="str">
        <f>'RVA249-1 -1-COSTEO'!F15</f>
        <v>Perfil lipídico</v>
      </c>
      <c r="C15" s="137" t="str">
        <f>'RVA249-1 -1-COSTEO'!O15</f>
        <v/>
      </c>
      <c r="D15" s="137" t="str">
        <f>'RVA249-1 -1-COSTEO'!P15</f>
        <v/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A16" s="11"/>
      <c r="B16" s="128" t="str">
        <f>'RVA249-1 -1-COSTEO'!F16</f>
        <v>Colesterol HDL</v>
      </c>
      <c r="C16" s="130" t="str">
        <f>'RVA249-1 -1-COSTEO'!O16</f>
        <v/>
      </c>
      <c r="D16" s="130" t="str">
        <f>'RVA249-1 -1-COSTEO'!P16</f>
        <v/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>
      <c r="A17" s="11"/>
      <c r="B17" s="128" t="str">
        <f>'RVA249-1 -1-COSTEO'!F17</f>
        <v>Colesterol LDL</v>
      </c>
      <c r="C17" s="130" t="str">
        <f>'RVA249-1 -1-COSTEO'!O17</f>
        <v/>
      </c>
      <c r="D17" s="130" t="str">
        <f>'RVA249-1 -1-COSTEO'!P17</f>
        <v/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A18" s="11"/>
      <c r="B18" s="128" t="str">
        <f>'RVA249-1 -1-COSTEO'!F18</f>
        <v>Colesterol total</v>
      </c>
      <c r="C18" s="130" t="str">
        <f>'RVA249-1 -1-COSTEO'!O18</f>
        <v/>
      </c>
      <c r="D18" s="130" t="str">
        <f>'RVA249-1 -1-COSTEO'!P18</f>
        <v/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A19" s="11"/>
      <c r="B19" s="128" t="str">
        <f>'RVA249-1 -1-COSTEO'!F19</f>
        <v>Triglicéridos</v>
      </c>
      <c r="C19" s="130" t="str">
        <f>'RVA249-1 -1-COSTEO'!O19</f>
        <v/>
      </c>
      <c r="D19" s="130" t="str">
        <f>'RVA249-1 -1-COSTEO'!P19</f>
        <v/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A20" s="11"/>
      <c r="B20" s="136" t="str">
        <f>'RVA249-1 -1-COSTEO'!F20</f>
        <v>Perfil Hepático</v>
      </c>
      <c r="C20" s="137" t="str">
        <f>'RVA249-1 -1-COSTEO'!O20</f>
        <v/>
      </c>
      <c r="D20" s="137" t="str">
        <f>'RVA249-1 -1-COSTEO'!P20</f>
        <v/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A21" s="11"/>
      <c r="B21" s="128" t="str">
        <f>'RVA249-1 -1-COSTEO'!F21</f>
        <v>ALT- Alanina transferasa</v>
      </c>
      <c r="C21" s="130" t="str">
        <f>'RVA249-1 -1-COSTEO'!O21</f>
        <v/>
      </c>
      <c r="D21" s="130" t="str">
        <f>'RVA249-1 -1-COSTEO'!P21</f>
        <v/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A22" s="11"/>
      <c r="B22" s="128" t="str">
        <f>'RVA249-1 -1-COSTEO'!F22</f>
        <v>AST - aspartato transferasa</v>
      </c>
      <c r="C22" s="130" t="str">
        <f>'RVA249-1 -1-COSTEO'!O22</f>
        <v/>
      </c>
      <c r="D22" s="130" t="str">
        <f>'RVA249-1 -1-COSTEO'!P22</f>
        <v/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A23" s="11"/>
      <c r="B23" s="128" t="str">
        <f>'RVA249-1 -1-COSTEO'!F23</f>
        <v>Bilirrubina total y directa</v>
      </c>
      <c r="C23" s="130" t="str">
        <f>'RVA249-1 -1-COSTEO'!O23</f>
        <v/>
      </c>
      <c r="D23" s="130" t="str">
        <f>'RVA249-1 -1-COSTEO'!P23</f>
        <v/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A24" s="11"/>
      <c r="B24" s="128" t="str">
        <f>'RVA249-1 -1-COSTEO'!F24</f>
        <v>Gama Glutamil transferasa</v>
      </c>
      <c r="C24" s="130" t="str">
        <f>'RVA249-1 -1-COSTEO'!O24</f>
        <v/>
      </c>
      <c r="D24" s="130" t="str">
        <f>'RVA249-1 -1-COSTEO'!P24</f>
        <v/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A25" s="11"/>
      <c r="B25" s="136" t="str">
        <f>'RVA249-1 -1-COSTEO'!F25</f>
        <v>Perfil Renal</v>
      </c>
      <c r="C25" s="137" t="str">
        <f>'RVA249-1 -1-COSTEO'!O25</f>
        <v/>
      </c>
      <c r="D25" s="137" t="str">
        <f>'RVA249-1 -1-COSTEO'!P25</f>
        <v/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A26" s="11"/>
      <c r="B26" s="128" t="str">
        <f>'RVA249-1 -1-COSTEO'!F26</f>
        <v>Creatinina</v>
      </c>
      <c r="C26" s="130" t="str">
        <f>'RVA249-1 -1-COSTEO'!O26</f>
        <v/>
      </c>
      <c r="D26" s="130" t="str">
        <f>'RVA249-1 -1-COSTEO'!P26</f>
        <v/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A27" s="11"/>
      <c r="B27" s="139" t="str">
        <f>'RVA249-1 -1-COSTEO'!F27</f>
        <v>e-GFR</v>
      </c>
      <c r="C27" s="110">
        <f>'RVA249-1 -1-COSTEO'!O27</f>
        <v>4.504504505</v>
      </c>
      <c r="D27" s="142" t="str">
        <f>'RVA249-1 -1-COSTEO'!P27</f>
        <v>No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A28" s="11"/>
      <c r="B28" s="128" t="str">
        <f>'RVA249-1 -1-COSTEO'!F28</f>
        <v>Uroanálisis</v>
      </c>
      <c r="C28" s="130" t="str">
        <f>'RVA249-1 -1-COSTEO'!O28</f>
        <v/>
      </c>
      <c r="D28" s="130" t="str">
        <f>'RVA249-1 -1-COSTEO'!P28</f>
        <v/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A29" s="11"/>
      <c r="B29" s="128" t="str">
        <f>'RVA249-1 -1-COSTEO'!F29</f>
        <v>Nitrógeno Ureico en Sangre  (BUN)</v>
      </c>
      <c r="C29" s="130" t="str">
        <f>'RVA249-1 -1-COSTEO'!O29</f>
        <v/>
      </c>
      <c r="D29" s="130" t="str">
        <f>'RVA249-1 -1-COSTEO'!P29</f>
        <v/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A30" s="11"/>
      <c r="B30" s="136" t="str">
        <f>'RVA249-1 -1-COSTEO'!F30</f>
        <v>Sangre</v>
      </c>
      <c r="C30" s="137" t="str">
        <f>'RVA249-1 -1-COSTEO'!O30</f>
        <v/>
      </c>
      <c r="D30" s="137" t="str">
        <f>'RVA249-1 -1-COSTEO'!P30</f>
        <v/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A31" s="11"/>
      <c r="B31" s="128" t="str">
        <f>'RVA249-1 -1-COSTEO'!F31</f>
        <v>Hemograma completo</v>
      </c>
      <c r="C31" s="130" t="str">
        <f>'RVA249-1 -1-COSTEO'!O31</f>
        <v/>
      </c>
      <c r="D31" s="130" t="str">
        <f>'RVA249-1 -1-COSTEO'!P31</f>
        <v/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A32" s="11"/>
      <c r="B32" s="128" t="str">
        <f>'RVA249-1 -1-COSTEO'!F32</f>
        <v>Hemoglobina glicosilada</v>
      </c>
      <c r="C32" s="130" t="str">
        <f>'RVA249-1 -1-COSTEO'!O32</f>
        <v/>
      </c>
      <c r="D32" s="130" t="str">
        <f>'RVA249-1 -1-COSTEO'!P32</f>
        <v/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A33" s="11"/>
      <c r="B33" s="128" t="str">
        <f>'RVA249-1 -1-COSTEO'!F33</f>
        <v>Ferritina</v>
      </c>
      <c r="C33" s="130" t="str">
        <f>'RVA249-1 -1-COSTEO'!O33</f>
        <v/>
      </c>
      <c r="D33" s="130" t="str">
        <f>'RVA249-1 -1-COSTEO'!P33</f>
        <v/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A34" s="11"/>
      <c r="B34" s="128" t="str">
        <f>'RVA249-1 -1-COSTEO'!F34</f>
        <v>Glucosa sérica</v>
      </c>
      <c r="C34" s="130" t="str">
        <f>'RVA249-1 -1-COSTEO'!O34</f>
        <v/>
      </c>
      <c r="D34" s="130" t="str">
        <f>'RVA249-1 -1-COSTEO'!P34</f>
        <v/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A35" s="11"/>
      <c r="B35" s="136" t="str">
        <f>'RVA249-1 -1-COSTEO'!F35</f>
        <v>Perfil Tiroideo</v>
      </c>
      <c r="C35" s="137" t="str">
        <f>'RVA249-1 -1-COSTEO'!O35</f>
        <v/>
      </c>
      <c r="D35" s="137" t="str">
        <f>'RVA249-1 -1-COSTEO'!P35</f>
        <v/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A36" s="11"/>
      <c r="B36" s="128" t="str">
        <f>'RVA249-1 -1-COSTEO'!F36</f>
        <v>T4 libre</v>
      </c>
      <c r="C36" s="130" t="str">
        <f>'RVA249-1 -1-COSTEO'!O36</f>
        <v/>
      </c>
      <c r="D36" s="130" t="str">
        <f>'RVA249-1 -1-COSTEO'!P36</f>
        <v/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A37" s="11"/>
      <c r="B37" s="128" t="str">
        <f>'RVA249-1 -1-COSTEO'!F37</f>
        <v>TSH</v>
      </c>
      <c r="C37" s="130" t="str">
        <f>'RVA249-1 -1-COSTEO'!O37</f>
        <v/>
      </c>
      <c r="D37" s="130" t="str">
        <f>'RVA249-1 -1-COSTEO'!P37</f>
        <v/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A38" s="11"/>
      <c r="B38" s="144" t="str">
        <f>'RVA249-1 -1-COSTEO'!F38</f>
        <v>Paratohormona</v>
      </c>
      <c r="C38" s="110">
        <f>'RVA249-1 -1-COSTEO'!O38</f>
        <v>39.18918919</v>
      </c>
      <c r="D38" s="142" t="str">
        <f>'RVA249-1 -1-COSTEO'!P38</f>
        <v>No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A39" s="11"/>
      <c r="B39" s="136" t="str">
        <f>'RVA249-1 -1-COSTEO'!F39</f>
        <v>Enfermedades de transmisión sexual</v>
      </c>
      <c r="C39" s="137" t="str">
        <f>'RVA249-1 -1-COSTEO'!O39</f>
        <v/>
      </c>
      <c r="D39" s="137" t="str">
        <f>'RVA249-1 -1-COSTEO'!P39</f>
        <v/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A40" s="11"/>
      <c r="B40" s="128" t="str">
        <f>'RVA249-1 -1-COSTEO'!F40</f>
        <v>VDRL serología</v>
      </c>
      <c r="C40" s="130" t="str">
        <f>'RVA249-1 -1-COSTEO'!O40</f>
        <v/>
      </c>
      <c r="D40" s="130" t="str">
        <f>'RVA249-1 -1-COSTEO'!P40</f>
        <v/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A41" s="11"/>
      <c r="B41" s="128" t="str">
        <f>'RVA249-1 -1-COSTEO'!F41</f>
        <v>VIH 1 Y 2, Anticuerpos </v>
      </c>
      <c r="C41" s="130" t="str">
        <f>'RVA249-1 -1-COSTEO'!O41</f>
        <v/>
      </c>
      <c r="D41" s="130" t="str">
        <f>'RVA249-1 -1-COSTEO'!P41</f>
        <v/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A42" s="11"/>
      <c r="B42" s="136" t="str">
        <f>'RVA249-1 -1-COSTEO'!F42</f>
        <v>Minerales  </v>
      </c>
      <c r="C42" s="137" t="str">
        <f>'RVA249-1 -1-COSTEO'!O42</f>
        <v/>
      </c>
      <c r="D42" s="137" t="str">
        <f>'RVA249-1 -1-COSTEO'!P42</f>
        <v/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A43" s="11"/>
      <c r="B43" s="144" t="str">
        <f>'RVA249-1 -1-COSTEO'!F43</f>
        <v>Fósforo</v>
      </c>
      <c r="C43" s="110">
        <f>'RVA249-1 -1-COSTEO'!O43</f>
        <v>5.405405405</v>
      </c>
      <c r="D43" s="142" t="str">
        <f>'RVA249-1 -1-COSTEO'!P43</f>
        <v>No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A44" s="11"/>
      <c r="B44" s="144" t="str">
        <f>'RVA249-1 -1-COSTEO'!F44</f>
        <v>Ionograma: calcio - sodio - cloro- potasio</v>
      </c>
      <c r="C44" s="110">
        <f>'RVA249-1 -1-COSTEO'!O44</f>
        <v>30.40540541</v>
      </c>
      <c r="D44" s="142" t="str">
        <f>'RVA249-1 -1-COSTEO'!P44</f>
        <v>No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A45" s="11"/>
      <c r="B45" s="136" t="str">
        <f>'RVA249-1 -1-COSTEO'!F45</f>
        <v>Corazón</v>
      </c>
      <c r="C45" s="137" t="str">
        <f>'RVA249-1 -1-COSTEO'!O45</f>
        <v/>
      </c>
      <c r="D45" s="137" t="str">
        <f>'RVA249-1 -1-COSTEO'!P45</f>
        <v/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A46" s="11"/>
      <c r="B46" s="144" t="str">
        <f>'RVA249-1 -1-COSTEO'!F46</f>
        <v>Homocisteína</v>
      </c>
      <c r="C46" s="110">
        <f>'RVA249-1 -1-COSTEO'!O46</f>
        <v>36.48648649</v>
      </c>
      <c r="D46" s="142" t="str">
        <f>'RVA249-1 -1-COSTEO'!P46</f>
        <v>No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A47" s="11"/>
      <c r="B47" s="136" t="str">
        <f>'RVA249-1 -1-COSTEO'!F47</f>
        <v>IMÁGENES DIAGNÓSTICAS</v>
      </c>
      <c r="C47" s="137" t="str">
        <f>'RVA249-1 -1-COSTEO'!O47</f>
        <v/>
      </c>
      <c r="D47" s="137" t="str">
        <f>'RVA249-1 -1-COSTEO'!P47</f>
        <v/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A48" s="11"/>
      <c r="B48" s="128" t="str">
        <f>'RVA249-1 -1-COSTEO'!F48</f>
        <v>Radiografía de tórax</v>
      </c>
      <c r="C48" s="130" t="str">
        <f>'RVA249-1 -1-COSTEO'!O48</f>
        <v/>
      </c>
      <c r="D48" s="130" t="str">
        <f>'RVA249-1 -1-COSTEO'!P48</f>
        <v/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A49" s="11"/>
      <c r="B49" s="146" t="str">
        <f>'RVA249-1 -1-COSTEO'!F49</f>
        <v>Radiografía de pie derecho</v>
      </c>
      <c r="C49" s="110">
        <f>'RVA249-1 -1-COSTEO'!O49</f>
        <v>36.03603604</v>
      </c>
      <c r="D49" s="142" t="str">
        <f>'RVA249-1 -1-COSTEO'!P49</f>
        <v>No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A50" s="11"/>
      <c r="B50" s="146" t="str">
        <f>'RVA249-1 -1-COSTEO'!F50</f>
        <v>Radiografía de pie izquierdo</v>
      </c>
      <c r="C50" s="110">
        <f>'RVA249-1 -1-COSTEO'!O50</f>
        <v>36.03603604</v>
      </c>
      <c r="D50" s="142" t="str">
        <f>'RVA249-1 -1-COSTEO'!P50</f>
        <v>No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A51" s="11"/>
      <c r="B51" s="128" t="str">
        <f>'RVA249-1 -1-COSTEO'!F51</f>
        <v>Ecografía de abdomen total</v>
      </c>
      <c r="C51" s="130" t="str">
        <f>'RVA249-1 -1-COSTEO'!O51</f>
        <v/>
      </c>
      <c r="D51" s="130" t="str">
        <f>'RVA249-1 -1-COSTEO'!P51</f>
        <v/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A52" s="11"/>
      <c r="B52" s="128" t="str">
        <f>'RVA249-1 -1-COSTEO'!F52</f>
        <v>Ecografía de mama</v>
      </c>
      <c r="C52" s="130" t="str">
        <f>'RVA249-1 -1-COSTEO'!O52</f>
        <v/>
      </c>
      <c r="D52" s="130" t="str">
        <f>'RVA249-1 -1-COSTEO'!P52</f>
        <v/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A53" s="11"/>
      <c r="B53" s="128" t="str">
        <f>'RVA249-1 -1-COSTEO'!F53</f>
        <v>Electrocardiograma</v>
      </c>
      <c r="C53" s="130" t="str">
        <f>'RVA249-1 -1-COSTEO'!O53</f>
        <v/>
      </c>
      <c r="D53" s="130" t="str">
        <f>'RVA249-1 -1-COSTEO'!P53</f>
        <v/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A54" s="11"/>
      <c r="B54" s="146" t="str">
        <f>'RVA249-1 -1-COSTEO'!F54</f>
        <v>Radiografía panorámica dental</v>
      </c>
      <c r="C54" s="142" t="str">
        <f>'RVA249-1 -1-COSTEO'!O54</f>
        <v>No</v>
      </c>
      <c r="D54" s="110">
        <f>'RVA249-1 -1-COSTEO'!P54</f>
        <v>22.52252252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A55" s="11"/>
      <c r="B55" s="146" t="str">
        <f>'RVA249-1 -1-COSTEO'!F55</f>
        <v>Resonancia de columna lumbar - resonador campo abierto</v>
      </c>
      <c r="C55" s="110">
        <f>'RVA249-1 -1-COSTEO'!O55</f>
        <v>234.2342342</v>
      </c>
      <c r="D55" s="142" t="str">
        <f>'RVA249-1 -1-COSTEO'!P55</f>
        <v>No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A56" s="11"/>
      <c r="B56" s="136" t="str">
        <f>'RVA249-1 -1-COSTEO'!F56</f>
        <v>ESPECIALISTAS</v>
      </c>
      <c r="C56" s="137" t="str">
        <f>'RVA249-1 -1-COSTEO'!O56</f>
        <v/>
      </c>
      <c r="D56" s="137" t="str">
        <f>'RVA249-1 -1-COSTEO'!P56</f>
        <v/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A57" s="11"/>
      <c r="B57" s="128" t="str">
        <f>'RVA249-1 -1-COSTEO'!F57</f>
        <v>Consulta con INTERNISTA</v>
      </c>
      <c r="C57" s="130" t="str">
        <f>'RVA249-1 -1-COSTEO'!O57</f>
        <v/>
      </c>
      <c r="D57" s="130" t="str">
        <f>'RVA249-1 -1-COSTEO'!P57</f>
        <v/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A58" s="11"/>
      <c r="B58" s="146" t="str">
        <f>'RVA249-1 -1-COSTEO'!F58</f>
        <v>Consulta con ODONTOLOGÍA</v>
      </c>
      <c r="C58" s="142" t="str">
        <f>'RVA249-1 -1-COSTEO'!O58</f>
        <v>No</v>
      </c>
      <c r="D58" s="160">
        <f>'RVA249-1 -1-COSTEO'!P58</f>
        <v>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A59" s="11"/>
      <c r="B59" s="144" t="str">
        <f>'RVA249-1 -1-COSTEO'!F59</f>
        <v>Consulta con ORTOPEDIA</v>
      </c>
      <c r="C59" s="110">
        <f>'RVA249-1 -1-COSTEO'!O59</f>
        <v>84.08408408</v>
      </c>
      <c r="D59" s="142" t="str">
        <f>'RVA249-1 -1-COSTEO'!P59</f>
        <v>No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A60" s="11"/>
      <c r="B60" s="144" t="str">
        <f>'RVA249-1 -1-COSTEO'!F60</f>
        <v>Consulta con OFTALMOLOGÍA</v>
      </c>
      <c r="C60" s="110">
        <f>'RVA249-1 -1-COSTEO'!O60</f>
        <v>85.3485064</v>
      </c>
      <c r="D60" s="142" t="str">
        <f>'RVA249-1 -1-COSTEO'!P60</f>
        <v>No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A61" s="11"/>
      <c r="B61" s="144" t="str">
        <f>'RVA249-1 -1-COSTEO'!F61</f>
        <v>Video entrevista con VIRTUAL MEDICINA FUNCIONAL  primera vez</v>
      </c>
      <c r="C61" s="110">
        <f>'RVA249-1 -1-COSTEO'!O61</f>
        <v>40.54054054</v>
      </c>
      <c r="D61" s="142" t="str">
        <f>'RVA249-1 -1-COSTEO'!P61</f>
        <v>No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A62" s="11"/>
      <c r="B62" s="144" t="str">
        <f>'RVA249-1 -1-COSTEO'!F62</f>
        <v>Consulta con VIRTUAL Evaluación virtual de Medicina, Nutrición y Psiconutrición
. Protocolo de antioxidantes para la prevención del cáncer
y el manejo de la disbiosis.</v>
      </c>
      <c r="C62" s="110">
        <f>'RVA249-1 -1-COSTEO'!O62</f>
        <v>81.08108108</v>
      </c>
      <c r="D62" s="142" t="str">
        <f>'RVA249-1 -1-COSTEO'!P62</f>
        <v>No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A63" s="11"/>
      <c r="B63" s="128" t="str">
        <f>'RVA249-1 -1-COSTEO'!F63</f>
        <v>08 Traslados hotel - clínica por trayecto Cortos - cerca</v>
      </c>
      <c r="C63" s="130" t="str">
        <f>'RVA249-1 -1-COSTEO'!O63</f>
        <v/>
      </c>
      <c r="D63" s="130" t="str">
        <f>'RVA249-1 -1-COSTEO'!P63</f>
        <v/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A64" s="11"/>
      <c r="B64" s="128" t="str">
        <f>'RVA249-1 -1-COSTEO'!F64</f>
        <v>Servicios Medical Trip Colombia: Póliza al viajero por dos días - Acompañamiento Virtual y presencial</v>
      </c>
      <c r="C64" s="130" t="str">
        <f>'RVA249-1 -1-COSTEO'!O64</f>
        <v/>
      </c>
      <c r="D64" s="130" t="str">
        <f>'RVA249-1 -1-COSTEO'!P64</f>
        <v/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A65" s="11"/>
      <c r="B65" s="165" t="str">
        <f>'RVA249-1 -1-COSTEO'!F5</f>
        <v>Póliza de asistencia médica al viajero - producto visitor  por 06 días</v>
      </c>
      <c r="C65" s="167">
        <f>'RVA249-1 -1-COSTEO'!O5</f>
        <v>8.108108108</v>
      </c>
      <c r="D65" s="167">
        <f>'RVA249-1 -1-COSTEO'!P5</f>
        <v>8.108108108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A66" s="11"/>
      <c r="B66" s="165" t="str">
        <f>'RVA249-1 -1-COSTEO'!F65</f>
        <v>Servicios Medical Trip Colombia: Acompañamiento Virtual y presencial servicios adicionales al chequeo médico</v>
      </c>
      <c r="C66" s="167">
        <f>'RVA249-1 -1-COSTEO'!O65</f>
        <v>27.02702703</v>
      </c>
      <c r="D66" s="142" t="s">
        <v>145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A67" s="11"/>
      <c r="B67" s="146" t="s">
        <v>187</v>
      </c>
      <c r="C67" s="160">
        <v>2.0</v>
      </c>
      <c r="D67" s="130" t="str">
        <f>'RVA249-1 -1-COSTEO'!P66</f>
        <v/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ht="27.0" customHeight="1">
      <c r="A68" s="11"/>
      <c r="B68" s="193" t="s">
        <v>188</v>
      </c>
      <c r="C68" s="194">
        <f t="shared" ref="C68:D68" si="1">SUM(C9:C67)</f>
        <v>1235.486645</v>
      </c>
      <c r="D68" s="194">
        <f t="shared" si="1"/>
        <v>30.63063063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</row>
    <row r="3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</row>
    <row r="4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>
      <c r="A6" s="195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</row>
    <row r="7">
      <c r="A7" s="195"/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>
      <c r="A8" s="195"/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>
      <c r="A9" s="195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</row>
    <row r="10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>
      <c r="A11" s="195"/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  <row r="12">
      <c r="A12" s="195"/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</row>
    <row r="13">
      <c r="A13" s="195"/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</row>
    <row r="14">
      <c r="A14" s="195"/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</row>
    <row r="15">
      <c r="A15" s="195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</row>
    <row r="16">
      <c r="A16" s="195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</row>
    <row r="17">
      <c r="A17" s="195"/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</row>
    <row r="18">
      <c r="A18" s="195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</row>
    <row r="19">
      <c r="A19" s="195"/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</row>
    <row r="20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</row>
    <row r="21">
      <c r="A21" s="195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</row>
    <row r="22">
      <c r="A22" s="195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</row>
    <row r="23">
      <c r="A23" s="195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</row>
    <row r="24">
      <c r="A24" s="195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</row>
    <row r="25">
      <c r="A25" s="195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</row>
    <row r="26">
      <c r="A26" s="195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</row>
    <row r="27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</row>
    <row r="28">
      <c r="A28" s="195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</row>
    <row r="29">
      <c r="A29" s="195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</row>
    <row r="30">
      <c r="A30" s="195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</row>
    <row r="31">
      <c r="A31" s="195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</row>
    <row r="32">
      <c r="A32" s="195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</row>
    <row r="33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</row>
    <row r="34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</row>
    <row r="35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</row>
    <row r="36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</row>
    <row r="37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</row>
    <row r="38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</row>
    <row r="39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</row>
    <row r="40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</row>
    <row r="41">
      <c r="A41" s="195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</row>
    <row r="42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</row>
    <row r="4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</row>
    <row r="44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</row>
    <row r="45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</row>
    <row r="46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</row>
    <row r="47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</row>
    <row r="48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</row>
    <row r="49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</row>
    <row r="50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</row>
    <row r="51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</row>
    <row r="52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</row>
    <row r="53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</row>
    <row r="54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</row>
    <row r="55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</row>
    <row r="56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</row>
    <row r="57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</row>
    <row r="58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</row>
    <row r="59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</row>
    <row r="60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</row>
    <row r="61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</row>
    <row r="62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</row>
    <row r="63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</row>
    <row r="64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</row>
    <row r="65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</row>
    <row r="66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</row>
    <row r="67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</row>
    <row r="68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</row>
    <row r="69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</row>
    <row r="70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</row>
    <row r="71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</row>
    <row r="72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</row>
    <row r="73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</row>
    <row r="74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</row>
    <row r="75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</row>
    <row r="76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</row>
    <row r="77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</row>
    <row r="78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</row>
    <row r="79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</row>
    <row r="80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</row>
    <row r="8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</row>
    <row r="82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</row>
    <row r="83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</row>
    <row r="84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</row>
    <row r="85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</row>
    <row r="86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</row>
    <row r="87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</row>
    <row r="88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</row>
    <row r="89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</row>
    <row r="90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</row>
    <row r="9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</row>
    <row r="92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</row>
    <row r="93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</row>
    <row r="94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</row>
    <row r="95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</row>
    <row r="96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</row>
    <row r="97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</row>
    <row r="98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</row>
    <row r="99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</row>
    <row r="100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</row>
    <row r="10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</row>
    <row r="102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</row>
    <row r="103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</row>
    <row r="104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</row>
    <row r="105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</row>
    <row r="106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</row>
    <row r="107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</row>
    <row r="108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</row>
    <row r="109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</row>
    <row r="110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</row>
    <row r="11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</row>
    <row r="112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</row>
    <row r="113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</row>
    <row r="114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</row>
    <row r="115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</row>
    <row r="116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</row>
    <row r="117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</row>
    <row r="118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</row>
    <row r="119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</row>
    <row r="120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</row>
    <row r="12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</row>
    <row r="122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</row>
    <row r="123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</row>
    <row r="124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</row>
    <row r="125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</row>
    <row r="126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</row>
    <row r="127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</row>
    <row r="128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</row>
    <row r="129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</row>
    <row r="130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</row>
    <row r="13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</row>
    <row r="132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</row>
    <row r="133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</row>
    <row r="134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</row>
    <row r="135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</row>
    <row r="136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</row>
    <row r="137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</row>
    <row r="138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</row>
    <row r="139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</row>
    <row r="140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</row>
    <row r="14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</row>
    <row r="142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</row>
    <row r="143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</row>
    <row r="144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</row>
    <row r="145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</row>
    <row r="146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</row>
    <row r="147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</row>
    <row r="148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</row>
    <row r="149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</row>
    <row r="150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</row>
    <row r="15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</row>
    <row r="152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</row>
    <row r="153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</row>
    <row r="154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</row>
    <row r="155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</row>
    <row r="156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</row>
    <row r="157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</row>
    <row r="158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</row>
    <row r="159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</row>
    <row r="160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</row>
    <row r="16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</row>
    <row r="162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</row>
    <row r="163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</row>
    <row r="164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</row>
    <row r="165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</row>
    <row r="166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</row>
    <row r="167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</row>
    <row r="168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</row>
    <row r="169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</row>
    <row r="170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</row>
    <row r="17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</row>
    <row r="172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</row>
    <row r="173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</row>
    <row r="174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</row>
    <row r="175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</row>
    <row r="176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</row>
    <row r="177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</row>
    <row r="178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</row>
    <row r="179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</row>
    <row r="180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</row>
    <row r="18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</row>
    <row r="182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</row>
    <row r="183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</row>
    <row r="184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</row>
    <row r="185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</row>
    <row r="18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</row>
    <row r="187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</row>
    <row r="188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</row>
    <row r="189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</row>
    <row r="190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</row>
    <row r="19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</row>
    <row r="192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</row>
    <row r="193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</row>
    <row r="194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</row>
    <row r="195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</row>
    <row r="19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96"/>
    </row>
  </sheetData>
  <drawing r:id="rId1"/>
</worksheet>
</file>