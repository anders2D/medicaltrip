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TS+nAvRwv8ReztKgCv6aIgR5BR03QmQfjNj4VhNiGS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======
ID#AAABtxBpydQ
Medical Trip Colombia SAS    (2025-10-16 13:31:55)
No hay tarifa - en 2024 estaba en  $99.000</t>
      </text>
    </comment>
    <comment authorId="0" ref="AD6">
      <text>
        <t xml:space="preserve">======
ID#AAABsO8w7Kw
Medical Trip Colombia SAS    (2025-10-11 16:31:35)
NO DESCONTE LA COMISION</t>
      </text>
    </comment>
  </commentList>
  <extLst>
    <ext uri="GoogleSheetsCustomDataVersion2">
      <go:sheetsCustomData xmlns:go="http://customooxmlschemas.google.com/" r:id="rId1" roundtripDataSignature="AMtx7mjvONt/DoPOSknpgkn90MdLt3uF1A=="/>
    </ext>
  </extLst>
</comments>
</file>

<file path=xl/sharedStrings.xml><?xml version="1.0" encoding="utf-8"?>
<sst xmlns="http://schemas.openxmlformats.org/spreadsheetml/2006/main" count="377" uniqueCount="208">
  <si>
    <t>Nombre</t>
  </si>
  <si>
    <t>Suvienne</t>
  </si>
  <si>
    <t>Apellido</t>
  </si>
  <si>
    <t>Rosa Lourens</t>
  </si>
  <si>
    <t>Apellido de casada</t>
  </si>
  <si>
    <t>Género:  .</t>
  </si>
  <si>
    <t>Femenino</t>
  </si>
  <si>
    <t>Pasaporte</t>
  </si>
  <si>
    <t>Fecha de nacimiento</t>
  </si>
  <si>
    <t>05 de septiembre 1986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</si>
  <si>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</si>
  <si>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</si>
  <si>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</si>
  <si>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</si>
  <si>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</si>
  <si>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</si>
  <si>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</si>
  <si>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</si>
  <si>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 xml:space="preserve"> </t>
  </si>
  <si>
    <t>Seguro</t>
  </si>
  <si>
    <t>SVB</t>
  </si>
  <si>
    <t>Peso</t>
  </si>
  <si>
    <t>Altura</t>
  </si>
  <si>
    <t>Idioma</t>
  </si>
  <si>
    <t>Español, ingles, papiamento, holandes</t>
  </si>
  <si>
    <t>Estadia:</t>
  </si>
  <si>
    <t xml:space="preserve">21 al 26 de Diciembre </t>
  </si>
  <si>
    <t>ITINERARIO SUGERIDO:</t>
  </si>
  <si>
    <t>21 - 26 DICIEMBRE - 06 DÍAS  - 05 NOCHES</t>
  </si>
  <si>
    <t>04 PERSONAS: 02 ADULTOS + 02 NIÑOS  12 - 15 AÑOS</t>
  </si>
  <si>
    <t>ACP horas</t>
  </si>
  <si>
    <t>Traslados cerca</t>
  </si>
  <si>
    <t>UBER</t>
  </si>
  <si>
    <t>DOMINGO</t>
  </si>
  <si>
    <t>Directo PAX</t>
  </si>
  <si>
    <t>AVIANCA</t>
  </si>
  <si>
    <t>02:45 pm</t>
  </si>
  <si>
    <t>Vuelo Curazao - Medellín</t>
  </si>
  <si>
    <t>Aeroturex</t>
  </si>
  <si>
    <t>03:00 pm</t>
  </si>
  <si>
    <t xml:space="preserve">Traslado a aeropuerto - hotel </t>
  </si>
  <si>
    <t>04:00 pm</t>
  </si>
  <si>
    <t>Alojamiento</t>
  </si>
  <si>
    <t>LUNES</t>
  </si>
  <si>
    <t>NO desayunar  - Tomar agua</t>
  </si>
  <si>
    <t>Yenny</t>
  </si>
  <si>
    <t>05:30 am</t>
  </si>
  <si>
    <t>Traslado Hotel - Centro médico</t>
  </si>
  <si>
    <t>Cima</t>
  </si>
  <si>
    <t>4 pax</t>
  </si>
  <si>
    <t>Ecografía de abdomen total</t>
  </si>
  <si>
    <t>Ecografía de mamas</t>
  </si>
  <si>
    <t>Toma de muestras de sangre para laboratorios clínicos</t>
  </si>
  <si>
    <t>Tiempo para comer</t>
  </si>
  <si>
    <t>Citología Cervical</t>
  </si>
  <si>
    <t>Suvienne y esposo</t>
  </si>
  <si>
    <t>Radiografía de tórax</t>
  </si>
  <si>
    <t>Electrocardiograma</t>
  </si>
  <si>
    <t>09:30 am</t>
  </si>
  <si>
    <t>Traslado Centro médico - Hotel</t>
  </si>
  <si>
    <t>Desayuno en el hotel</t>
  </si>
  <si>
    <t>Tiempo para almorzar</t>
  </si>
  <si>
    <t>Uber</t>
  </si>
  <si>
    <t>02:00 pm</t>
  </si>
  <si>
    <t>Traslado en Uber Hotel - parque del poblado punto de encuentro tour</t>
  </si>
  <si>
    <t>02:30 pm</t>
  </si>
  <si>
    <t>Tour compartido a la COMUNA TRECE</t>
  </si>
  <si>
    <t>06:00 pm</t>
  </si>
  <si>
    <t>Traslado en Uber - Parque del poblado - Hotel</t>
  </si>
  <si>
    <t>MARTES</t>
  </si>
  <si>
    <t>07:30 am</t>
  </si>
  <si>
    <t>Esposo e hijo de 12 años</t>
  </si>
  <si>
    <t>08:00 am</t>
  </si>
  <si>
    <t>Consulta con especialista en OFTALMOLOGÍA</t>
  </si>
  <si>
    <t>Suvienne y hijo 15 años</t>
  </si>
  <si>
    <t>09:00 am</t>
  </si>
  <si>
    <t>Consulta con especialista en GLAUCOMATOLOGO</t>
  </si>
  <si>
    <t>OCT tomografía en caso de ser ordenada por el Glaucomatologo</t>
  </si>
  <si>
    <t>10:00 am</t>
  </si>
  <si>
    <t>Traslado centro médico - centro médico</t>
  </si>
  <si>
    <t>10:30 am</t>
  </si>
  <si>
    <t>Radiografía panorámica dental</t>
  </si>
  <si>
    <t>11:00 am</t>
  </si>
  <si>
    <t>Consulta con especialista en Medicina Interna</t>
  </si>
  <si>
    <t>Consulta con especialista en Odontología</t>
  </si>
  <si>
    <t>Hijos 12 y 15 años</t>
  </si>
  <si>
    <t>Consulta con especialista en Pediatría</t>
  </si>
  <si>
    <t>Tiempo para cenar</t>
  </si>
  <si>
    <t>05:30 pm</t>
  </si>
  <si>
    <t>TOUR DE LUCES por Medellín</t>
  </si>
  <si>
    <t>09:00 pm</t>
  </si>
  <si>
    <t>MIÉRCOLES</t>
  </si>
  <si>
    <t>Ecografía de columna lumbar</t>
  </si>
  <si>
    <t>Esposo</t>
  </si>
  <si>
    <t>Ecografía de brazo derecho</t>
  </si>
  <si>
    <t>Consulta con especialista en en Columna y brazo</t>
  </si>
  <si>
    <t>Traslado Centro médico - Centro comercial</t>
  </si>
  <si>
    <t>Tiempo para almorzar y ver la decoración del centro comercial</t>
  </si>
  <si>
    <t>CITY TOUR por Medellín</t>
  </si>
  <si>
    <t>Cena de Navidad en el Hotel</t>
  </si>
  <si>
    <t>JUEVES</t>
  </si>
  <si>
    <t>Desayuno del hotel</t>
  </si>
  <si>
    <t>08:30 am</t>
  </si>
  <si>
    <t>TOUR  a GUATAPÉ - 10 horas</t>
  </si>
  <si>
    <t>06:30 pm</t>
  </si>
  <si>
    <t>VIERNES</t>
  </si>
  <si>
    <t>02:00 am</t>
  </si>
  <si>
    <t>Traslado hotel - aeropuerto</t>
  </si>
  <si>
    <t>04:35 am</t>
  </si>
  <si>
    <t>Vuelo Medellín  - Bogotá</t>
  </si>
  <si>
    <t>Incluido en el chequeo médico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</si>
  <si>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</si>
  <si>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</si>
  <si>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</si>
  <si>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</si>
  <si>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</si>
  <si>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</si>
  <si>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</si>
  <si>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</si>
  <si>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</si>
  <si>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</si>
  <si>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 xml:space="preserve">Suvienne </t>
  </si>
  <si>
    <t>Niño 12 años</t>
  </si>
  <si>
    <t>Niño 15 años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</si>
  <si>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</si>
  <si>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</si>
  <si>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</si>
  <si>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</si>
  <si>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</si>
  <si>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</si>
  <si>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</si>
  <si>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</si>
  <si>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</si>
  <si>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</si>
  <si>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</si>
  <si>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</si>
  <si>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04 días adicionales</t>
  </si>
  <si>
    <t>COLASISTENCIA</t>
  </si>
  <si>
    <t>Sim card física</t>
  </si>
  <si>
    <t>CLARO</t>
  </si>
  <si>
    <t>Datos 10 Gigas</t>
  </si>
  <si>
    <t>Traslado  aeropuerto - hotel - aeropuerto en MINIVAN</t>
  </si>
  <si>
    <t>TAXI VAN</t>
  </si>
  <si>
    <t>Recargo por trayecto a la madrugada de regreso</t>
  </si>
  <si>
    <t>CITY TOUR compartido grupal</t>
  </si>
  <si>
    <t>AEROTUREX</t>
  </si>
  <si>
    <t>GUATAPÉ tour grupal</t>
  </si>
  <si>
    <t>08 traslados en Uber Hotel - punto de encuentro - hotel</t>
  </si>
  <si>
    <t>PAQUETE DE CHEQUEO MÉDICO</t>
  </si>
  <si>
    <t>Citología  cervical</t>
  </si>
  <si>
    <t>CIMA</t>
  </si>
  <si>
    <t>No</t>
  </si>
  <si>
    <t>Antígeno de próstata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</si>
  <si>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</si>
  <si>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</si>
  <si>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</si>
  <si>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</si>
  <si>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</si>
  <si>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</si>
  <si>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</si>
  <si>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</si>
  <si>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</si>
  <si>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</si>
  <si>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</si>
  <si>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</si>
  <si>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</si>
  <si>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</si>
  <si>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</si>
  <si>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</si>
  <si>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</si>
  <si>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</si>
  <si>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</si>
  <si>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</si>
  <si>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</si>
  <si>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</si>
  <si>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</si>
  <si>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</si>
  <si>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</si>
  <si>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</si>
  <si>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</si>
  <si>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</si>
  <si>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</si>
  <si>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Cita con especialista en Medicina Interna</t>
  </si>
  <si>
    <t>Cita con especialista en Pediatría</t>
  </si>
  <si>
    <t>Cita con especialista en Pediatría adolecente</t>
  </si>
  <si>
    <t>Póliza de asistencia médica al viajero - producto visitor  por 02 días</t>
  </si>
  <si>
    <t>04 Traslados hotel - clínica por trayecto</t>
  </si>
  <si>
    <t>Medical Trip Colombia SAS - Acompañamiento virtual  y presencial para exámenes y citas</t>
  </si>
  <si>
    <t>Entrevista virtual con el Dr Marcos Yepes</t>
  </si>
  <si>
    <t>Dr Marcos Yépes</t>
  </si>
  <si>
    <t>Imágenes y especialistas</t>
  </si>
  <si>
    <t>Cita presencial de valoración por Odontología</t>
  </si>
  <si>
    <t>Alta Estética dental</t>
  </si>
  <si>
    <t xml:space="preserve">Consulta con oftamologia </t>
  </si>
  <si>
    <t>OFTALMOLOGIA SAN DIEGO</t>
  </si>
  <si>
    <t>Consulta con Glaucomatólogo</t>
  </si>
  <si>
    <t xml:space="preserve">Tomografía OCT </t>
  </si>
  <si>
    <t>Dr SOTO</t>
  </si>
  <si>
    <t xml:space="preserve">03 Traslados adicionales hotel - clínica por trayecto </t>
  </si>
  <si>
    <t>Medical Trip Servicios de acompañamiento y logística</t>
  </si>
  <si>
    <t>Caja menor</t>
  </si>
  <si>
    <t>Total neto</t>
  </si>
  <si>
    <t>Gastos bancarios</t>
  </si>
  <si>
    <t>4 * 1000</t>
  </si>
  <si>
    <t>Tasa del dólar</t>
  </si>
  <si>
    <t>DETALLE DE LOS SERVICIOS</t>
  </si>
  <si>
    <t>Impuesto bancario en Colombia 4 * 1000</t>
  </si>
  <si>
    <t>TOTAL A PAGAR EN DÓLARES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</si>
</sst>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d mmmm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d-m-yyyy"/>
    <numFmt numFmtId="173" formatCode="[$$]#,##0"/>
    <numFmt numFmtId="174" formatCode="0.0%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b/>
      <sz val="10.0"/>
      <color rgb="FFFFFFFF"/>
      <name val="Lexend"/>
    </font>
    <font>
      <b/>
      <sz val="11.0"/>
      <color rgb="FFFFFFFF"/>
      <name val="Lexend"/>
    </font>
    <font>
      <b/>
      <sz val="10.0"/>
      <color theme="1"/>
      <name val="Lexend"/>
    </font>
    <font>
      <color theme="1"/>
      <name val="Arial"/>
      <scheme val="minor"/>
    </font>
    <font>
      <sz val="8.0"/>
      <color theme="1"/>
      <name val="Lexend"/>
    </font>
    <font>
      <sz val="7.0"/>
      <color theme="1"/>
      <name val="Lexend"/>
    </font>
    <font/>
    <font>
      <b/>
      <sz val="8.0"/>
      <color theme="1"/>
      <name val="Lexend"/>
    </font>
    <font>
      <b/>
      <sz val="7.0"/>
      <color theme="1"/>
      <name val="Lexend"/>
    </font>
    <font>
      <b/>
      <sz val="8.0"/>
      <color rgb="FFFFFFFF"/>
      <name val="Lexend"/>
    </font>
    <font>
      <sz val="10.0"/>
      <color rgb="FF0000FF"/>
      <name val="Lexend"/>
    </font>
    <font>
      <color theme="1"/>
      <name val="Lexend"/>
    </font>
    <font>
      <sz val="10.0"/>
      <color rgb="FFFF0000"/>
      <name val="Lexend"/>
    </font>
    <font>
      <b/>
      <sz val="9.0"/>
      <color theme="1"/>
      <name val="Lexend"/>
    </font>
    <font>
      <sz val="6.0"/>
      <color theme="1"/>
      <name val="Lexend"/>
    </font>
    <font>
      <sz val="7.0"/>
      <color theme="1"/>
      <name val="Arial"/>
    </font>
    <font>
      <b/>
      <sz val="12.0"/>
      <color rgb="FFFFFFFF"/>
      <name val="Lexend"/>
    </font>
    <font>
      <color rgb="FFFFFFFF"/>
      <name val="Arial"/>
      <scheme val="minor"/>
    </font>
    <font>
      <b/>
      <color theme="1"/>
      <name val="Lexend"/>
    </font>
    <font>
      <b/>
      <sz val="12.0"/>
      <color theme="1"/>
      <name val="Arial"/>
    </font>
    <font>
      <sz val="12.0"/>
      <color rgb="FF232831"/>
      <name val="Open Sans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3" fontId="6" numFmtId="0" xfId="0" applyAlignment="1" applyBorder="1" applyFill="1" applyFont="1">
      <alignment horizontal="left" vertical="center"/>
    </xf>
    <xf borderId="1" fillId="3" fontId="5" numFmtId="0" xfId="0" applyAlignment="1" applyBorder="1" applyFont="1">
      <alignment vertical="center"/>
    </xf>
    <xf borderId="1" fillId="3" fontId="7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vertical="center"/>
    </xf>
    <xf borderId="2" fillId="4" fontId="5" numFmtId="0" xfId="0" applyAlignment="1" applyBorder="1" applyFont="1">
      <alignment vertical="center"/>
    </xf>
    <xf borderId="3" fillId="4" fontId="5" numFmtId="0" xfId="0" applyAlignment="1" applyBorder="1" applyFont="1">
      <alignment vertical="center"/>
    </xf>
    <xf borderId="2" fillId="4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1" fillId="4" fontId="5" numFmtId="165" xfId="0" applyAlignment="1" applyBorder="1" applyFont="1" applyNumberFormat="1">
      <alignment horizontal="center" shrinkToFit="0" vertical="center" wrapText="1"/>
    </xf>
    <xf borderId="1" fillId="4" fontId="8" numFmtId="165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1" fillId="0" fontId="5" numFmtId="166" xfId="0" applyAlignment="1" applyBorder="1" applyFont="1" applyNumberFormat="1">
      <alignment vertical="center"/>
    </xf>
    <xf borderId="2" fillId="0" fontId="5" numFmtId="166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2" fillId="5" fontId="5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shrinkToFit="0" vertical="center" wrapText="1"/>
    </xf>
    <xf borderId="1" fillId="4" fontId="5" numFmtId="166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vertical="center"/>
    </xf>
    <xf borderId="1" fillId="7" fontId="5" numFmtId="0" xfId="0" applyAlignment="1" applyBorder="1" applyFill="1" applyFont="1">
      <alignment shrinkToFit="0" vertical="center" wrapText="1"/>
    </xf>
    <xf borderId="1" fillId="7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vertical="center"/>
    </xf>
    <xf borderId="1" fillId="0" fontId="5" numFmtId="0" xfId="0" applyBorder="1" applyFont="1"/>
    <xf borderId="1" fillId="0" fontId="9" numFmtId="0" xfId="0" applyBorder="1" applyFont="1"/>
    <xf borderId="1" fillId="0" fontId="5" numFmtId="0" xfId="0" applyBorder="1" applyFont="1"/>
    <xf borderId="2" fillId="0" fontId="5" numFmtId="0" xfId="0" applyBorder="1" applyFont="1"/>
    <xf borderId="1" fillId="0" fontId="5" numFmtId="0" xfId="0" applyAlignment="1" applyBorder="1" applyFont="1">
      <alignment horizontal="left" readingOrder="0" vertical="center"/>
    </xf>
    <xf borderId="0" fillId="0" fontId="5" numFmtId="0" xfId="0" applyFont="1"/>
    <xf borderId="1" fillId="4" fontId="5" numFmtId="166" xfId="0" applyAlignment="1" applyBorder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1" fillId="3" fontId="1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6" numFmtId="167" xfId="0" applyAlignment="1" applyBorder="1" applyFont="1" applyNumberFormat="1">
      <alignment horizontal="center" vertical="center"/>
    </xf>
    <xf borderId="0" fillId="3" fontId="6" numFmtId="167" xfId="0" applyAlignment="1" applyFont="1" applyNumberFormat="1">
      <alignment horizontal="center" vertical="center"/>
    </xf>
    <xf borderId="1" fillId="3" fontId="5" numFmtId="169" xfId="0" applyAlignment="1" applyBorder="1" applyFont="1" applyNumberForma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5" fillId="3" fontId="6" numFmtId="169" xfId="0" applyAlignment="1" applyBorder="1" applyFont="1" applyNumberFormat="1">
      <alignment horizontal="left" vertical="center"/>
    </xf>
    <xf borderId="5" fillId="3" fontId="5" numFmtId="168" xfId="0" applyAlignment="1" applyBorder="1" applyFont="1" applyNumberFormat="1">
      <alignment horizontal="center" vertical="center"/>
    </xf>
    <xf borderId="5" fillId="3" fontId="6" numFmtId="0" xfId="0" applyAlignment="1" applyBorder="1" applyFont="1">
      <alignment horizontal="center" shrinkToFit="0" vertical="center" wrapText="1"/>
    </xf>
    <xf borderId="5" fillId="0" fontId="12" numFmtId="0" xfId="0" applyBorder="1" applyFont="1"/>
    <xf borderId="6" fillId="4" fontId="10" numFmtId="0" xfId="0" applyAlignment="1" applyBorder="1" applyFont="1">
      <alignment horizontal="center" shrinkToFit="0" vertical="center" wrapText="1"/>
    </xf>
    <xf borderId="7" fillId="4" fontId="13" numFmtId="0" xfId="0" applyAlignment="1" applyBorder="1" applyFont="1">
      <alignment horizontal="left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8" fontId="14" numFmtId="169" xfId="0" applyAlignment="1" applyBorder="1" applyFill="1" applyFont="1" applyNumberFormat="1">
      <alignment horizontal="center" shrinkToFit="0" vertical="center" wrapText="1"/>
    </xf>
    <xf borderId="1" fillId="8" fontId="13" numFmtId="169" xfId="0" applyAlignment="1" applyBorder="1" applyFont="1" applyNumberFormat="1">
      <alignment horizontal="center" shrinkToFit="0" vertical="center" wrapText="1"/>
    </xf>
    <xf borderId="7" fillId="4" fontId="13" numFmtId="169" xfId="0" applyAlignment="1" applyBorder="1" applyFont="1" applyNumberFormat="1">
      <alignment horizontal="center" shrinkToFit="0" vertical="center" wrapText="1"/>
    </xf>
    <xf borderId="2" fillId="4" fontId="13" numFmtId="168" xfId="0" applyAlignment="1" applyBorder="1" applyFont="1" applyNumberFormat="1">
      <alignment horizontal="center" shrinkToFit="0" vertical="center" wrapText="1"/>
    </xf>
    <xf borderId="3" fillId="9" fontId="15" numFmtId="169" xfId="0" applyAlignment="1" applyBorder="1" applyFill="1" applyFont="1" applyNumberFormat="1">
      <alignment horizontal="center" shrinkToFit="0" vertical="center" wrapText="1"/>
    </xf>
    <xf borderId="3" fillId="9" fontId="15" numFmtId="170" xfId="0" applyAlignment="1" applyBorder="1" applyFont="1" applyNumberFormat="1">
      <alignment horizontal="center" shrinkToFit="0" vertical="center" wrapText="1"/>
    </xf>
    <xf borderId="0" fillId="10" fontId="5" numFmtId="0" xfId="0" applyAlignment="1" applyFill="1" applyFont="1">
      <alignment horizontal="center" vertical="center"/>
    </xf>
    <xf borderId="4" fillId="10" fontId="10" numFmtId="0" xfId="0" applyAlignment="1" applyBorder="1" applyFont="1">
      <alignment horizontal="center" vertical="center"/>
    </xf>
    <xf borderId="3" fillId="11" fontId="5" numFmtId="0" xfId="0" applyAlignment="1" applyBorder="1" applyFill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5" numFmtId="167" xfId="0" applyAlignment="1" applyBorder="1" applyFont="1" applyNumberFormat="1">
      <alignment horizontal="center" shrinkToFit="0" vertical="center" wrapText="1"/>
    </xf>
    <xf borderId="1" fillId="4" fontId="5" numFmtId="167" xfId="0" applyAlignment="1" applyBorder="1" applyFont="1" applyNumberFormat="1">
      <alignment horizontal="center" shrinkToFit="0" vertical="center" wrapText="1"/>
    </xf>
    <xf borderId="0" fillId="0" fontId="5" numFmtId="171" xfId="0" applyAlignment="1" applyFont="1" applyNumberFormat="1">
      <alignment horizontal="center" vertical="center"/>
    </xf>
    <xf borderId="1" fillId="8" fontId="5" numFmtId="167" xfId="0" applyAlignment="1" applyBorder="1" applyFont="1" applyNumberFormat="1">
      <alignment horizontal="center" vertical="center"/>
    </xf>
    <xf borderId="7" fillId="4" fontId="5" numFmtId="169" xfId="0" applyAlignment="1" applyBorder="1" applyFont="1" applyNumberFormat="1">
      <alignment horizontal="center" vertical="center"/>
    </xf>
    <xf borderId="2" fillId="4" fontId="16" numFmtId="167" xfId="0" applyAlignment="1" applyBorder="1" applyFont="1" applyNumberFormat="1">
      <alignment horizontal="center" vertical="center"/>
    </xf>
    <xf borderId="1" fillId="12" fontId="5" numFmtId="169" xfId="0" applyAlignment="1" applyBorder="1" applyFill="1" applyFont="1" applyNumberFormat="1">
      <alignment horizontal="center" vertical="center"/>
    </xf>
    <xf borderId="1" fillId="12" fontId="5" numFmtId="168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center" vertical="center"/>
    </xf>
    <xf borderId="0" fillId="10" fontId="11" numFmtId="0" xfId="0" applyAlignment="1" applyFont="1">
      <alignment horizontal="center" vertical="center"/>
    </xf>
    <xf borderId="2" fillId="11" fontId="5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1" fillId="0" fontId="5" numFmtId="167" xfId="0" applyAlignment="1" applyBorder="1" applyFont="1" applyNumberFormat="1">
      <alignment horizontal="center" readingOrder="0" shrinkToFit="0" vertical="center" wrapText="1"/>
    </xf>
    <xf borderId="2" fillId="4" fontId="5" numFmtId="168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horizontal="center" vertical="center"/>
    </xf>
    <xf borderId="1" fillId="0" fontId="5" numFmtId="168" xfId="0" applyAlignment="1" applyBorder="1" applyFont="1" applyNumberFormat="1">
      <alignment horizontal="center" vertical="center"/>
    </xf>
    <xf borderId="1" fillId="0" fontId="5" numFmtId="172" xfId="0" applyAlignment="1" applyBorder="1" applyFont="1" applyNumberForma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3" fillId="11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10" fontId="2" numFmtId="0" xfId="0" applyAlignment="1" applyFont="1">
      <alignment vertical="center"/>
    </xf>
    <xf borderId="3" fillId="11" fontId="17" numFmtId="0" xfId="0" applyAlignment="1" applyBorder="1" applyFont="1">
      <alignment readingOrder="0" shrinkToFit="0" vertical="center" wrapText="1"/>
    </xf>
    <xf borderId="1" fillId="0" fontId="17" numFmtId="167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vertical="center"/>
    </xf>
    <xf borderId="0" fillId="0" fontId="2" numFmtId="171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7" fillId="4" fontId="2" numFmtId="169" xfId="0" applyAlignment="1" applyBorder="1" applyFont="1" applyNumberFormat="1">
      <alignment vertical="center"/>
    </xf>
    <xf borderId="2" fillId="4" fontId="2" numFmtId="168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0" fillId="10" fontId="8" numFmtId="0" xfId="0" applyAlignment="1" applyFont="1">
      <alignment horizontal="left" shrinkToFit="0" vertical="center" wrapText="1"/>
    </xf>
    <xf borderId="4" fillId="10" fontId="13" numFmtId="0" xfId="0" applyAlignment="1" applyBorder="1" applyFont="1">
      <alignment horizontal="left" shrinkToFit="0" vertical="center" wrapText="1"/>
    </xf>
    <xf borderId="1" fillId="0" fontId="17" numFmtId="167" xfId="0" applyAlignment="1" applyBorder="1" applyFont="1" applyNumberFormat="1">
      <alignment horizontal="center" readingOrder="0" shrinkToFit="0" vertical="center" wrapText="1"/>
    </xf>
    <xf borderId="7" fillId="4" fontId="5" numFmtId="167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readingOrder="0" vertical="center"/>
    </xf>
    <xf borderId="0" fillId="12" fontId="8" numFmtId="0" xfId="0" applyAlignment="1" applyFont="1">
      <alignment horizontal="left" shrinkToFit="0" vertical="center" wrapText="1"/>
    </xf>
    <xf borderId="4" fillId="12" fontId="13" numFmtId="0" xfId="0" applyAlignment="1" applyBorder="1" applyFont="1">
      <alignment horizontal="left" shrinkToFit="0" vertical="center" wrapText="1"/>
    </xf>
    <xf borderId="3" fillId="13" fontId="8" numFmtId="0" xfId="0" applyAlignment="1" applyBorder="1" applyFill="1" applyFont="1">
      <alignment horizontal="left" shrinkToFit="0" vertical="center" wrapText="1"/>
    </xf>
    <xf borderId="1" fillId="13" fontId="11" numFmtId="0" xfId="0" applyAlignment="1" applyBorder="1" applyFont="1">
      <alignment horizontal="center" vertical="center"/>
    </xf>
    <xf borderId="1" fillId="13" fontId="5" numFmtId="167" xfId="0" applyAlignment="1" applyBorder="1" applyFont="1" applyNumberFormat="1">
      <alignment horizontal="center" vertical="center"/>
    </xf>
    <xf borderId="1" fillId="13" fontId="5" numFmtId="0" xfId="0" applyAlignment="1" applyBorder="1" applyFont="1">
      <alignment horizontal="center" vertical="center"/>
    </xf>
    <xf borderId="1" fillId="13" fontId="5" numFmtId="167" xfId="0" applyAlignment="1" applyBorder="1" applyFont="1" applyNumberFormat="1">
      <alignment horizontal="center" readingOrder="0" vertical="center"/>
    </xf>
    <xf borderId="3" fillId="8" fontId="5" numFmtId="0" xfId="0" applyAlignment="1" applyBorder="1" applyFont="1">
      <alignment horizontal="left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2" fillId="8" fontId="5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14" fontId="4" numFmtId="0" xfId="0" applyAlignment="1" applyBorder="1" applyFill="1" applyFont="1">
      <alignment horizontal="center" readingOrder="0" vertical="center"/>
    </xf>
    <xf borderId="1" fillId="12" fontId="5" numFmtId="167" xfId="0" applyAlignment="1" applyBorder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3" fillId="8" fontId="5" numFmtId="0" xfId="0" applyAlignment="1" applyBorder="1" applyFont="1">
      <alignment horizontal="left" readingOrder="0" shrinkToFit="0" vertical="center" wrapText="1"/>
    </xf>
    <xf borderId="1" fillId="13" fontId="14" numFmtId="0" xfId="0" applyAlignment="1" applyBorder="1" applyFont="1">
      <alignment horizontal="left" shrinkToFit="0" vertical="center" wrapText="1"/>
    </xf>
    <xf borderId="1" fillId="13" fontId="8" numFmtId="0" xfId="0" applyAlignment="1" applyBorder="1" applyFont="1">
      <alignment horizontal="left" shrinkToFit="0" vertical="center" wrapText="1"/>
    </xf>
    <xf borderId="0" fillId="13" fontId="8" numFmtId="0" xfId="0" applyAlignment="1" applyFont="1">
      <alignment horizontal="left" shrinkToFit="0" vertical="center" wrapText="1"/>
    </xf>
    <xf borderId="4" fillId="10" fontId="10" numFmtId="0" xfId="0" applyAlignment="1" applyBorder="1" applyFont="1">
      <alignment horizontal="center" readingOrder="0" vertical="center"/>
    </xf>
    <xf borderId="3" fillId="8" fontId="8" numFmtId="0" xfId="0" applyAlignment="1" applyBorder="1" applyFont="1">
      <alignment horizontal="left" readingOrder="0" shrinkToFit="0" vertical="center" wrapText="1"/>
    </xf>
    <xf borderId="2" fillId="4" fontId="18" numFmtId="173" xfId="0" applyAlignment="1" applyBorder="1" applyFont="1" applyNumberForma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7" fillId="12" fontId="5" numFmtId="167" xfId="0" applyAlignment="1" applyBorder="1" applyFont="1" applyNumberFormat="1">
      <alignment horizontal="center" vertical="center"/>
    </xf>
    <xf borderId="2" fillId="12" fontId="5" numFmtId="169" xfId="0" applyAlignment="1" applyBorder="1" applyFont="1" applyNumberFormat="1">
      <alignment horizontal="center" vertical="center"/>
    </xf>
    <xf borderId="3" fillId="8" fontId="19" numFmtId="0" xfId="0" applyAlignment="1" applyBorder="1" applyFont="1">
      <alignment horizontal="left" shrinkToFit="0" vertical="center" wrapText="1"/>
    </xf>
    <xf borderId="0" fillId="10" fontId="4" numFmtId="0" xfId="0" applyAlignment="1" applyFont="1">
      <alignment horizontal="center" vertical="center"/>
    </xf>
    <xf borderId="3" fillId="8" fontId="8" numFmtId="0" xfId="0" applyAlignment="1" applyBorder="1" applyFont="1">
      <alignment horizontal="left" shrinkToFit="0" vertical="center" wrapText="1"/>
    </xf>
    <xf borderId="1" fillId="8" fontId="5" numFmtId="169" xfId="0" applyAlignment="1" applyBorder="1" applyFont="1" applyNumberFormat="1">
      <alignment horizontal="center" vertical="center"/>
    </xf>
    <xf borderId="3" fillId="15" fontId="8" numFmtId="0" xfId="0" applyAlignment="1" applyBorder="1" applyFill="1" applyFont="1">
      <alignment horizontal="left" shrinkToFit="0" vertical="center" wrapText="1"/>
    </xf>
    <xf borderId="1" fillId="15" fontId="11" numFmtId="0" xfId="0" applyAlignment="1" applyBorder="1" applyFont="1">
      <alignment horizontal="center" vertical="center"/>
    </xf>
    <xf borderId="1" fillId="15" fontId="5" numFmtId="167" xfId="0" applyAlignment="1" applyBorder="1" applyFont="1" applyNumberFormat="1">
      <alignment horizontal="center" vertical="center"/>
    </xf>
    <xf borderId="2" fillId="15" fontId="5" numFmtId="0" xfId="0" applyAlignment="1" applyBorder="1" applyFont="1">
      <alignment horizontal="center" vertical="center"/>
    </xf>
    <xf borderId="0" fillId="15" fontId="5" numFmtId="167" xfId="0" applyAlignment="1" applyFont="1" applyNumberFormat="1">
      <alignment horizontal="center" vertical="center"/>
    </xf>
    <xf borderId="3" fillId="16" fontId="5" numFmtId="0" xfId="0" applyAlignment="1" applyBorder="1" applyFill="1" applyFont="1">
      <alignment horizontal="left" readingOrder="0" shrinkToFit="0" vertical="center" wrapText="1"/>
    </xf>
    <xf borderId="1" fillId="4" fontId="5" numFmtId="167" xfId="0" applyAlignment="1" applyBorder="1" applyFont="1" applyNumberFormat="1">
      <alignment horizontal="center" readingOrder="0" shrinkToFit="0" vertical="center" wrapText="1"/>
    </xf>
    <xf borderId="3" fillId="7" fontId="5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7" fontId="5" numFmtId="167" xfId="0" applyAlignment="1" applyBorder="1" applyFill="1" applyFont="1" applyNumberFormat="1">
      <alignment horizontal="center" vertical="center"/>
    </xf>
    <xf borderId="0" fillId="0" fontId="5" numFmtId="174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shrinkToFit="0" vertical="center" wrapText="1"/>
    </xf>
    <xf borderId="0" fillId="0" fontId="5" numFmtId="10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0" fillId="0" fontId="11" numFmtId="167" xfId="0" applyAlignment="1" applyFont="1" applyNumberFormat="1">
      <alignment horizontal="center" shrinkToFit="0" vertical="center" wrapText="1"/>
    </xf>
    <xf borderId="0" fillId="18" fontId="8" numFmtId="167" xfId="0" applyAlignment="1" applyFill="1" applyFont="1" applyNumberFormat="1">
      <alignment horizontal="center" shrinkToFit="0" vertical="center" wrapText="1"/>
    </xf>
    <xf borderId="0" fillId="19" fontId="5" numFmtId="167" xfId="0" applyAlignment="1" applyFill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1" fillId="3" fontId="22" numFmtId="0" xfId="0" applyAlignment="1" applyBorder="1" applyFont="1">
      <alignment readingOrder="0" vertical="center"/>
    </xf>
    <xf borderId="1" fillId="3" fontId="23" numFmtId="0" xfId="0" applyAlignment="1" applyBorder="1" applyFont="1">
      <alignment vertical="center"/>
    </xf>
    <xf borderId="1" fillId="4" fontId="8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ont="1">
      <alignment horizontal="left" readingOrder="0" shrinkToFit="0" vertical="center" wrapText="1"/>
    </xf>
    <xf borderId="1" fillId="11" fontId="5" numFmtId="0" xfId="0" applyAlignment="1" applyBorder="1" applyFont="1">
      <alignment horizontal="left" shrinkToFit="0" vertical="center" wrapText="1"/>
    </xf>
    <xf borderId="1" fillId="11" fontId="17" numFmtId="0" xfId="0" applyAlignment="1" applyBorder="1" applyFont="1">
      <alignment readingOrder="0" shrinkToFit="0" vertical="center" wrapText="1"/>
    </xf>
    <xf borderId="1" fillId="13" fontId="8" numFmtId="167" xfId="0" applyAlignment="1" applyBorder="1" applyFont="1" applyNumberFormat="1">
      <alignment horizontal="center" vertical="center"/>
    </xf>
    <xf borderId="1" fillId="13" fontId="8" numFmtId="167" xfId="0" applyAlignment="1" applyBorder="1" applyFont="1" applyNumberFormat="1">
      <alignment horizontal="center" readingOrder="0" vertical="center"/>
    </xf>
    <xf borderId="1" fillId="8" fontId="5" numFmtId="0" xfId="0" applyAlignment="1" applyBorder="1" applyFont="1">
      <alignment horizontal="left" shrinkToFit="0" vertical="center" wrapText="1"/>
    </xf>
    <xf borderId="1" fillId="8" fontId="5" numFmtId="0" xfId="0" applyAlignment="1" applyBorder="1" applyFont="1">
      <alignment horizontal="left" readingOrder="0" shrinkToFit="0" vertical="center" wrapText="1"/>
    </xf>
    <xf borderId="1" fillId="8" fontId="8" numFmtId="0" xfId="0" applyAlignment="1" applyBorder="1" applyFont="1">
      <alignment horizontal="left" readingOrder="0" shrinkToFit="0" vertical="center" wrapText="1"/>
    </xf>
    <xf borderId="1" fillId="8" fontId="19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15" fontId="8" numFmtId="0" xfId="0" applyAlignment="1" applyBorder="1" applyFont="1">
      <alignment horizontal="left" shrinkToFit="0" vertical="center" wrapText="1"/>
    </xf>
    <xf borderId="1" fillId="16" fontId="5" numFmtId="0" xfId="0" applyAlignment="1" applyBorder="1" applyFont="1">
      <alignment horizontal="left" readingOrder="0" shrinkToFit="0" vertical="center" wrapText="1"/>
    </xf>
    <xf borderId="1" fillId="7" fontId="5" numFmtId="0" xfId="0" applyAlignment="1" applyBorder="1" applyFont="1">
      <alignment horizontal="left" readingOrder="0" shrinkToFit="0" vertical="center" wrapText="1"/>
    </xf>
    <xf borderId="1" fillId="0" fontId="17" numFmtId="167" xfId="0" applyAlignment="1" applyBorder="1" applyFont="1" applyNumberFormat="1">
      <alignment horizontal="center" vertical="center"/>
    </xf>
    <xf borderId="1" fillId="18" fontId="24" numFmtId="0" xfId="0" applyAlignment="1" applyBorder="1" applyFont="1">
      <alignment horizontal="center" readingOrder="0" vertical="center"/>
    </xf>
    <xf borderId="1" fillId="18" fontId="17" numFmtId="167" xfId="0" applyAlignment="1" applyBorder="1" applyFont="1" applyNumberFormat="1">
      <alignment horizontal="center" vertical="center"/>
    </xf>
    <xf borderId="0" fillId="0" fontId="25" numFmtId="0" xfId="0" applyFont="1"/>
    <xf borderId="0" fillId="10" fontId="26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3390900" cy="381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171450</xdr:rowOff>
    </xdr:from>
    <xdr:ext cx="11163300" cy="6296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47.88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/>
      <c r="E18" s="1"/>
      <c r="F18" s="2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4"/>
      <c r="E19" s="1"/>
      <c r="F19" s="2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/>
      <c r="E20" s="1"/>
      <c r="F20" s="2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1"/>
      <c r="C21" s="2"/>
      <c r="D21" s="1"/>
      <c r="E21" s="1"/>
      <c r="F21" s="2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1" t="s">
        <v>6</v>
      </c>
      <c r="C22" s="2"/>
      <c r="D22" s="1"/>
      <c r="E22" s="1"/>
      <c r="F22" s="2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7</v>
      </c>
      <c r="B23" s="1"/>
      <c r="C23" s="2"/>
      <c r="D23" s="1"/>
      <c r="E23" s="1"/>
      <c r="F23" s="2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8</v>
      </c>
      <c r="B24" s="4" t="s">
        <v>9</v>
      </c>
      <c r="C24" s="2"/>
      <c r="D24" s="1"/>
      <c r="E24" s="1"/>
      <c r="F24" s="2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10</v>
      </c>
      <c r="B25" s="1">
        <f>2025-1986</f>
        <v>39</v>
      </c>
      <c r="C25" s="2"/>
      <c r="D25" s="1"/>
      <c r="E25" s="1"/>
      <c r="F25" s="2"/>
      <c r="G25" s="3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11</v>
      </c>
      <c r="B26" s="1"/>
      <c r="C26" s="2"/>
      <c r="D26" s="1"/>
      <c r="E26" s="1"/>
      <c r="F26" s="2"/>
      <c r="G26" s="3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12</v>
      </c>
      <c r="B27" s="1"/>
      <c r="C27" s="2"/>
      <c r="D27" s="1"/>
      <c r="E27" s="1"/>
      <c r="F27" s="2"/>
      <c r="G27" s="3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13</v>
      </c>
      <c r="B28" s="1"/>
      <c r="C28" s="2"/>
      <c r="D28" s="1"/>
      <c r="E28" s="1"/>
      <c r="F28" s="2"/>
      <c r="G28" s="3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14</v>
      </c>
      <c r="B29" s="4">
        <v>0.0</v>
      </c>
      <c r="C29" s="2"/>
      <c r="D29" s="1"/>
      <c r="E29" s="1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15</v>
      </c>
      <c r="B30" s="1"/>
      <c r="C30" s="2"/>
      <c r="D30" s="1"/>
      <c r="E30" s="1"/>
      <c r="F30" s="2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16</v>
      </c>
      <c r="B31" s="1"/>
      <c r="C31" s="2"/>
      <c r="D31" s="1"/>
      <c r="E31" s="1"/>
      <c r="F31" s="2"/>
      <c r="G31" s="3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17</v>
      </c>
      <c r="B32" s="1"/>
      <c r="C32" s="2"/>
      <c r="D32" s="1" t="s">
        <v>18</v>
      </c>
      <c r="E32" s="1"/>
      <c r="F32" s="2"/>
      <c r="G32" s="3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19</v>
      </c>
      <c r="B33" s="1" t="s">
        <v>20</v>
      </c>
      <c r="C33" s="2"/>
      <c r="D33" s="1"/>
      <c r="E33" s="1"/>
      <c r="F33" s="2"/>
      <c r="G33" s="3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21</v>
      </c>
      <c r="B34" s="1"/>
      <c r="C34" s="2"/>
      <c r="D34" s="1"/>
      <c r="E34" s="1"/>
      <c r="F34" s="2"/>
      <c r="G34" s="3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22</v>
      </c>
      <c r="B35" s="1"/>
      <c r="C35" s="2"/>
      <c r="D35" s="1"/>
      <c r="E35" s="1"/>
      <c r="F35" s="2"/>
      <c r="G35" s="3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23</v>
      </c>
      <c r="B36" s="4" t="s">
        <v>24</v>
      </c>
      <c r="C36" s="2"/>
      <c r="D36" s="1"/>
      <c r="E36" s="1"/>
      <c r="F36" s="2"/>
      <c r="G36" s="3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25</v>
      </c>
      <c r="B37" s="8" t="s">
        <v>26</v>
      </c>
      <c r="C37" s="2"/>
      <c r="D37" s="1"/>
      <c r="E37" s="1"/>
      <c r="F37" s="2"/>
      <c r="G37" s="3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/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38"/>
    <col customWidth="1" min="2" max="2" width="12.5"/>
    <col customWidth="1" min="3" max="3" width="14.13"/>
    <col customWidth="1" min="4" max="4" width="17.25"/>
    <col customWidth="1" min="5" max="5" width="21.5"/>
    <col customWidth="1" min="6" max="6" width="18.88"/>
    <col customWidth="1" min="7" max="7" width="58.75"/>
    <col customWidth="1" min="8" max="8" width="8.88"/>
    <col customWidth="1" min="9" max="9" width="10.38"/>
    <col customWidth="1" min="10" max="10" width="12.25"/>
    <col customWidth="1" min="11" max="12" width="11.0"/>
  </cols>
  <sheetData>
    <row r="1" ht="23.25" customHeight="1">
      <c r="A1" s="10" t="s">
        <v>18</v>
      </c>
      <c r="B1" s="10"/>
      <c r="C1" s="11"/>
      <c r="D1" s="11"/>
      <c r="E1" s="11"/>
      <c r="F1" s="11"/>
      <c r="G1" s="11"/>
      <c r="H1" s="11"/>
      <c r="I1" s="11"/>
      <c r="J1" s="11"/>
      <c r="K1" s="10"/>
      <c r="L1" s="10"/>
    </row>
    <row r="2" ht="23.25" customHeight="1">
      <c r="A2" s="10"/>
      <c r="B2" s="10"/>
      <c r="C2" s="11"/>
      <c r="D2" s="11"/>
      <c r="E2" s="11"/>
      <c r="F2" s="11"/>
      <c r="G2" s="11"/>
      <c r="H2" s="11"/>
      <c r="I2" s="11"/>
      <c r="J2" s="11"/>
      <c r="K2" s="10"/>
      <c r="L2" s="10"/>
    </row>
    <row r="3" ht="23.25" customHeight="1">
      <c r="A3" s="10"/>
      <c r="B3" s="10"/>
      <c r="C3" s="12" t="s">
        <v>27</v>
      </c>
      <c r="D3" s="13"/>
      <c r="E3" s="13"/>
      <c r="F3" s="13"/>
      <c r="G3" s="14" t="s">
        <v>28</v>
      </c>
      <c r="H3" s="13"/>
      <c r="I3" s="13"/>
      <c r="J3" s="13"/>
      <c r="K3" s="10"/>
      <c r="L3" s="10"/>
    </row>
    <row r="4">
      <c r="A4" s="10"/>
      <c r="B4" s="10"/>
      <c r="C4" s="15"/>
      <c r="D4" s="16"/>
      <c r="E4" s="16"/>
      <c r="F4" s="17"/>
      <c r="G4" s="18" t="s">
        <v>29</v>
      </c>
      <c r="H4" s="19" t="s">
        <v>30</v>
      </c>
      <c r="I4" s="19" t="s">
        <v>31</v>
      </c>
      <c r="J4" s="20" t="s">
        <v>32</v>
      </c>
      <c r="K4" s="10"/>
      <c r="L4" s="10"/>
    </row>
    <row r="5" ht="21.0" customHeight="1">
      <c r="A5" s="10"/>
      <c r="B5" s="10"/>
      <c r="C5" s="15"/>
      <c r="D5" s="21"/>
      <c r="E5" s="21"/>
      <c r="F5" s="22">
        <v>46012.0</v>
      </c>
      <c r="G5" s="23" t="s">
        <v>33</v>
      </c>
      <c r="H5" s="15"/>
      <c r="I5" s="16"/>
      <c r="J5" s="16"/>
      <c r="K5" s="10"/>
      <c r="L5" s="10"/>
    </row>
    <row r="6">
      <c r="A6" s="10"/>
      <c r="B6" s="10"/>
      <c r="C6" s="24" t="s">
        <v>34</v>
      </c>
      <c r="D6" s="25" t="s">
        <v>35</v>
      </c>
      <c r="E6" s="25"/>
      <c r="F6" s="25" t="s">
        <v>36</v>
      </c>
      <c r="G6" s="26" t="s">
        <v>37</v>
      </c>
      <c r="H6" s="27"/>
      <c r="I6" s="28"/>
      <c r="J6" s="28"/>
      <c r="K6" s="10"/>
      <c r="L6" s="10"/>
    </row>
    <row r="7">
      <c r="A7" s="10"/>
      <c r="B7" s="10" t="s">
        <v>38</v>
      </c>
      <c r="C7" s="29"/>
      <c r="D7" s="29"/>
      <c r="E7" s="29"/>
      <c r="F7" s="25" t="s">
        <v>39</v>
      </c>
      <c r="G7" s="30" t="s">
        <v>40</v>
      </c>
      <c r="H7" s="31"/>
      <c r="I7" s="26"/>
      <c r="J7" s="32"/>
      <c r="K7" s="10"/>
      <c r="L7" s="10"/>
    </row>
    <row r="8">
      <c r="A8" s="10"/>
      <c r="B8" s="10"/>
      <c r="C8" s="29"/>
      <c r="D8" s="29"/>
      <c r="E8" s="29"/>
      <c r="F8" s="25" t="s">
        <v>41</v>
      </c>
      <c r="G8" s="33" t="s">
        <v>42</v>
      </c>
      <c r="H8" s="29"/>
      <c r="I8" s="26"/>
      <c r="J8" s="26"/>
      <c r="K8" s="10"/>
      <c r="L8" s="10"/>
    </row>
    <row r="9">
      <c r="A9" s="10"/>
      <c r="B9" s="10"/>
      <c r="C9" s="15"/>
      <c r="D9" s="34"/>
      <c r="E9" s="34"/>
      <c r="F9" s="22">
        <v>46013.0</v>
      </c>
      <c r="G9" s="23" t="s">
        <v>43</v>
      </c>
      <c r="H9" s="15"/>
      <c r="I9" s="16"/>
      <c r="J9" s="16"/>
      <c r="K9" s="10"/>
      <c r="L9" s="10"/>
    </row>
    <row r="10">
      <c r="A10" s="10"/>
      <c r="B10" s="10"/>
      <c r="C10" s="29"/>
      <c r="D10" s="31"/>
      <c r="E10" s="31"/>
      <c r="F10" s="31"/>
      <c r="G10" s="26" t="s">
        <v>44</v>
      </c>
      <c r="H10" s="29"/>
      <c r="I10" s="26"/>
      <c r="J10" s="26"/>
      <c r="K10" s="10"/>
      <c r="L10" s="10"/>
    </row>
    <row r="11">
      <c r="A11" s="10"/>
      <c r="B11" s="10"/>
      <c r="C11" s="35" t="s">
        <v>45</v>
      </c>
      <c r="D11" s="31"/>
      <c r="E11" s="31"/>
      <c r="F11" s="31" t="s">
        <v>46</v>
      </c>
      <c r="G11" s="36" t="s">
        <v>47</v>
      </c>
      <c r="H11" s="25">
        <v>0.5</v>
      </c>
      <c r="I11" s="25">
        <v>1.0</v>
      </c>
      <c r="J11" s="26"/>
      <c r="K11" s="10"/>
      <c r="L11" s="10"/>
    </row>
    <row r="12">
      <c r="A12" s="10"/>
      <c r="B12" s="10"/>
      <c r="C12" s="35" t="s">
        <v>48</v>
      </c>
      <c r="D12" s="31"/>
      <c r="E12" s="25" t="s">
        <v>49</v>
      </c>
      <c r="F12" s="31"/>
      <c r="G12" s="37" t="s">
        <v>50</v>
      </c>
      <c r="H12" s="31"/>
      <c r="I12" s="32"/>
      <c r="J12" s="26"/>
      <c r="K12" s="10"/>
      <c r="L12" s="10"/>
    </row>
    <row r="13">
      <c r="A13" s="10"/>
      <c r="B13" s="10"/>
      <c r="C13" s="35" t="s">
        <v>48</v>
      </c>
      <c r="D13" s="31"/>
      <c r="E13" s="25" t="s">
        <v>1</v>
      </c>
      <c r="F13" s="31"/>
      <c r="G13" s="38" t="s">
        <v>51</v>
      </c>
      <c r="H13" s="31"/>
      <c r="I13" s="32"/>
      <c r="J13" s="26"/>
      <c r="K13" s="10"/>
      <c r="L13" s="10"/>
    </row>
    <row r="14">
      <c r="A14" s="10"/>
      <c r="B14" s="10"/>
      <c r="C14" s="35" t="s">
        <v>48</v>
      </c>
      <c r="D14" s="31"/>
      <c r="E14" s="25" t="s">
        <v>49</v>
      </c>
      <c r="F14" s="31"/>
      <c r="G14" s="37" t="s">
        <v>52</v>
      </c>
      <c r="H14" s="31"/>
      <c r="I14" s="32"/>
      <c r="J14" s="26"/>
      <c r="K14" s="10"/>
      <c r="L14" s="10"/>
    </row>
    <row r="15">
      <c r="A15" s="10"/>
      <c r="B15" s="10"/>
      <c r="C15" s="35"/>
      <c r="D15" s="31"/>
      <c r="E15" s="25" t="s">
        <v>49</v>
      </c>
      <c r="F15" s="31"/>
      <c r="G15" s="39" t="s">
        <v>53</v>
      </c>
      <c r="H15" s="31"/>
      <c r="I15" s="32"/>
      <c r="J15" s="26"/>
      <c r="K15" s="10"/>
      <c r="L15" s="10"/>
    </row>
    <row r="16">
      <c r="A16" s="10"/>
      <c r="B16" s="10"/>
      <c r="C16" s="35" t="s">
        <v>48</v>
      </c>
      <c r="D16" s="31"/>
      <c r="E16" s="25" t="s">
        <v>1</v>
      </c>
      <c r="F16" s="31"/>
      <c r="G16" s="37" t="s">
        <v>54</v>
      </c>
      <c r="H16" s="31"/>
      <c r="I16" s="32"/>
      <c r="J16" s="26"/>
      <c r="K16" s="10"/>
      <c r="L16" s="10"/>
    </row>
    <row r="17">
      <c r="A17" s="10"/>
      <c r="B17" s="10"/>
      <c r="C17" s="35" t="s">
        <v>48</v>
      </c>
      <c r="D17" s="31"/>
      <c r="E17" s="25" t="s">
        <v>55</v>
      </c>
      <c r="F17" s="31"/>
      <c r="G17" s="37" t="s">
        <v>56</v>
      </c>
      <c r="H17" s="31"/>
      <c r="I17" s="32"/>
      <c r="J17" s="26"/>
      <c r="K17" s="10"/>
      <c r="L17" s="10"/>
    </row>
    <row r="18">
      <c r="A18" s="10"/>
      <c r="B18" s="10"/>
      <c r="C18" s="35" t="s">
        <v>48</v>
      </c>
      <c r="D18" s="31"/>
      <c r="E18" s="25" t="s">
        <v>49</v>
      </c>
      <c r="F18" s="31"/>
      <c r="G18" s="37" t="s">
        <v>57</v>
      </c>
      <c r="H18" s="31"/>
      <c r="I18" s="32"/>
      <c r="J18" s="26"/>
      <c r="K18" s="10"/>
      <c r="L18" s="10"/>
    </row>
    <row r="19">
      <c r="A19" s="10"/>
      <c r="B19" s="10"/>
      <c r="C19" s="35" t="s">
        <v>45</v>
      </c>
      <c r="D19" s="31"/>
      <c r="E19" s="31"/>
      <c r="F19" s="25" t="s">
        <v>58</v>
      </c>
      <c r="G19" s="40" t="s">
        <v>59</v>
      </c>
      <c r="H19" s="31"/>
      <c r="I19" s="25">
        <v>1.0</v>
      </c>
      <c r="J19" s="26"/>
      <c r="K19" s="10"/>
      <c r="L19" s="10"/>
    </row>
    <row r="20">
      <c r="A20" s="10"/>
      <c r="B20" s="10"/>
      <c r="C20" s="31"/>
      <c r="D20" s="31"/>
      <c r="E20" s="31"/>
      <c r="F20" s="31"/>
      <c r="G20" s="41" t="s">
        <v>60</v>
      </c>
      <c r="H20" s="29"/>
      <c r="I20" s="26"/>
      <c r="J20" s="26"/>
      <c r="K20" s="10"/>
      <c r="L20" s="10"/>
    </row>
    <row r="21">
      <c r="A21" s="10"/>
      <c r="B21" s="10"/>
      <c r="C21" s="31"/>
      <c r="D21" s="31"/>
      <c r="E21" s="31"/>
      <c r="F21" s="25"/>
      <c r="G21" s="41" t="s">
        <v>61</v>
      </c>
      <c r="H21" s="31"/>
      <c r="I21" s="32"/>
      <c r="J21" s="32"/>
      <c r="K21" s="10"/>
      <c r="L21" s="10"/>
    </row>
    <row r="22">
      <c r="A22" s="10"/>
      <c r="B22" s="10"/>
      <c r="C22" s="25" t="s">
        <v>62</v>
      </c>
      <c r="D22" s="31"/>
      <c r="E22" s="31"/>
      <c r="F22" s="25" t="s">
        <v>63</v>
      </c>
      <c r="G22" s="40" t="s">
        <v>64</v>
      </c>
      <c r="H22" s="31"/>
      <c r="I22" s="32"/>
      <c r="J22" s="42">
        <v>1.0</v>
      </c>
      <c r="K22" s="10"/>
      <c r="L22" s="10"/>
    </row>
    <row r="23">
      <c r="A23" s="10"/>
      <c r="B23" s="10"/>
      <c r="C23" s="35" t="s">
        <v>38</v>
      </c>
      <c r="D23" s="31"/>
      <c r="E23" s="25" t="s">
        <v>49</v>
      </c>
      <c r="F23" s="25" t="s">
        <v>65</v>
      </c>
      <c r="G23" s="43" t="s">
        <v>66</v>
      </c>
      <c r="H23" s="31"/>
      <c r="I23" s="31"/>
      <c r="J23" s="31"/>
      <c r="K23" s="10"/>
      <c r="L23" s="10"/>
    </row>
    <row r="24">
      <c r="A24" s="10"/>
      <c r="B24" s="10"/>
      <c r="C24" s="25" t="s">
        <v>62</v>
      </c>
      <c r="D24" s="31"/>
      <c r="E24" s="31"/>
      <c r="F24" s="25" t="s">
        <v>67</v>
      </c>
      <c r="G24" s="40" t="s">
        <v>68</v>
      </c>
      <c r="H24" s="31"/>
      <c r="I24" s="31"/>
      <c r="J24" s="25">
        <v>1.0</v>
      </c>
      <c r="K24" s="10"/>
      <c r="L24" s="10"/>
    </row>
    <row r="25">
      <c r="A25" s="10"/>
      <c r="B25" s="10"/>
      <c r="C25" s="15"/>
      <c r="D25" s="34"/>
      <c r="E25" s="34"/>
      <c r="F25" s="22">
        <v>46014.0</v>
      </c>
      <c r="G25" s="23" t="s">
        <v>69</v>
      </c>
      <c r="H25" s="15"/>
      <c r="I25" s="16"/>
      <c r="J25" s="16"/>
      <c r="K25" s="10"/>
      <c r="L25" s="10"/>
    </row>
    <row r="26">
      <c r="A26" s="10"/>
      <c r="B26" s="10"/>
      <c r="C26" s="31"/>
      <c r="D26" s="31"/>
      <c r="E26" s="31"/>
      <c r="F26" s="31"/>
      <c r="G26" s="24" t="s">
        <v>60</v>
      </c>
      <c r="H26" s="29"/>
      <c r="I26" s="29"/>
      <c r="J26" s="29"/>
      <c r="K26" s="10"/>
      <c r="L26" s="10"/>
    </row>
    <row r="27">
      <c r="A27" s="10"/>
      <c r="B27" s="44"/>
      <c r="C27" s="29"/>
      <c r="D27" s="31"/>
      <c r="E27" s="25"/>
      <c r="F27" s="25" t="s">
        <v>70</v>
      </c>
      <c r="G27" s="36" t="s">
        <v>47</v>
      </c>
      <c r="H27" s="25">
        <v>1.0</v>
      </c>
      <c r="I27" s="25">
        <v>1.0</v>
      </c>
      <c r="J27" s="45"/>
      <c r="K27" s="10"/>
      <c r="L27" s="10"/>
    </row>
    <row r="28">
      <c r="A28" s="10"/>
      <c r="B28" s="10"/>
      <c r="C28" s="29"/>
      <c r="D28" s="31"/>
      <c r="E28" s="25" t="s">
        <v>71</v>
      </c>
      <c r="F28" s="25" t="s">
        <v>72</v>
      </c>
      <c r="G28" s="38" t="s">
        <v>73</v>
      </c>
      <c r="H28" s="45"/>
      <c r="I28" s="45"/>
      <c r="J28" s="45"/>
      <c r="K28" s="10"/>
      <c r="L28" s="10"/>
    </row>
    <row r="29">
      <c r="A29" s="10"/>
      <c r="B29" s="10"/>
      <c r="C29" s="29"/>
      <c r="D29" s="31"/>
      <c r="E29" s="25" t="s">
        <v>74</v>
      </c>
      <c r="F29" s="25" t="s">
        <v>75</v>
      </c>
      <c r="G29" s="38" t="s">
        <v>76</v>
      </c>
      <c r="H29" s="45"/>
      <c r="I29" s="45"/>
      <c r="J29" s="45"/>
      <c r="K29" s="10"/>
      <c r="L29" s="10"/>
    </row>
    <row r="30">
      <c r="A30" s="10"/>
      <c r="B30" s="10"/>
      <c r="C30" s="29"/>
      <c r="D30" s="31"/>
      <c r="E30" s="25" t="s">
        <v>74</v>
      </c>
      <c r="F30" s="31"/>
      <c r="G30" s="38" t="s">
        <v>77</v>
      </c>
      <c r="H30" s="45"/>
      <c r="I30" s="45"/>
      <c r="J30" s="45"/>
      <c r="K30" s="10"/>
      <c r="L30" s="10"/>
    </row>
    <row r="31">
      <c r="A31" s="10"/>
      <c r="B31" s="10"/>
      <c r="C31" s="29"/>
      <c r="D31" s="31"/>
      <c r="E31" s="25"/>
      <c r="F31" s="25" t="s">
        <v>78</v>
      </c>
      <c r="G31" s="40" t="s">
        <v>79</v>
      </c>
      <c r="H31" s="31"/>
      <c r="I31" s="25">
        <v>1.0</v>
      </c>
      <c r="J31" s="45"/>
      <c r="K31" s="10"/>
      <c r="L31" s="10"/>
    </row>
    <row r="32">
      <c r="A32" s="10"/>
      <c r="B32" s="10"/>
      <c r="C32" s="29"/>
      <c r="D32" s="31"/>
      <c r="E32" s="25" t="s">
        <v>49</v>
      </c>
      <c r="F32" s="25" t="s">
        <v>80</v>
      </c>
      <c r="G32" s="38" t="s">
        <v>81</v>
      </c>
      <c r="H32" s="45"/>
      <c r="I32" s="45"/>
      <c r="J32" s="45"/>
      <c r="K32" s="10"/>
      <c r="L32" s="10"/>
    </row>
    <row r="33">
      <c r="A33" s="10"/>
      <c r="B33" s="10"/>
      <c r="C33" s="29"/>
      <c r="D33" s="31"/>
      <c r="E33" s="25" t="s">
        <v>55</v>
      </c>
      <c r="F33" s="25" t="s">
        <v>82</v>
      </c>
      <c r="G33" s="38" t="s">
        <v>83</v>
      </c>
      <c r="H33" s="31"/>
      <c r="J33" s="45"/>
      <c r="K33" s="10"/>
      <c r="L33" s="10"/>
    </row>
    <row r="34">
      <c r="A34" s="10"/>
      <c r="B34" s="10"/>
      <c r="C34" s="29"/>
      <c r="D34" s="31"/>
      <c r="E34" s="46"/>
      <c r="F34" s="46"/>
      <c r="G34" s="24" t="s">
        <v>61</v>
      </c>
      <c r="I34" s="45"/>
      <c r="J34" s="45"/>
      <c r="K34" s="10"/>
      <c r="L34" s="10"/>
    </row>
    <row r="35">
      <c r="A35" s="10"/>
      <c r="B35" s="44"/>
      <c r="C35" s="29"/>
      <c r="D35" s="31"/>
      <c r="E35" s="25" t="s">
        <v>49</v>
      </c>
      <c r="F35" s="25" t="s">
        <v>63</v>
      </c>
      <c r="G35" s="38" t="s">
        <v>84</v>
      </c>
      <c r="H35" s="45"/>
      <c r="I35" s="45"/>
      <c r="J35" s="45"/>
      <c r="K35" s="10"/>
      <c r="L35" s="10"/>
    </row>
    <row r="36">
      <c r="A36" s="10"/>
      <c r="B36" s="10"/>
      <c r="C36" s="29"/>
      <c r="D36" s="31"/>
      <c r="E36" s="25" t="s">
        <v>85</v>
      </c>
      <c r="F36" s="25" t="s">
        <v>41</v>
      </c>
      <c r="G36" s="38" t="s">
        <v>86</v>
      </c>
      <c r="H36" s="31"/>
      <c r="I36" s="25"/>
      <c r="J36" s="45"/>
      <c r="K36" s="10"/>
      <c r="L36" s="10"/>
    </row>
    <row r="37">
      <c r="A37" s="10"/>
      <c r="B37" s="10"/>
      <c r="C37" s="29"/>
      <c r="D37" s="31"/>
      <c r="E37" s="25"/>
      <c r="F37" s="25"/>
      <c r="G37" s="40" t="s">
        <v>59</v>
      </c>
      <c r="H37" s="31"/>
      <c r="I37" s="25">
        <v>1.0</v>
      </c>
      <c r="J37" s="45"/>
      <c r="K37" s="10"/>
      <c r="L37" s="10"/>
    </row>
    <row r="38">
      <c r="A38" s="10"/>
      <c r="B38" s="10"/>
      <c r="C38" s="29"/>
      <c r="D38" s="31"/>
      <c r="E38" s="25"/>
      <c r="F38" s="25"/>
      <c r="G38" s="24" t="s">
        <v>87</v>
      </c>
      <c r="H38" s="45"/>
      <c r="I38" s="45"/>
      <c r="J38" s="45"/>
      <c r="K38" s="10"/>
      <c r="L38" s="10"/>
    </row>
    <row r="39">
      <c r="A39" s="10"/>
      <c r="B39" s="10"/>
      <c r="C39" s="29"/>
      <c r="D39" s="31"/>
      <c r="E39" s="25"/>
      <c r="F39" s="25" t="s">
        <v>88</v>
      </c>
      <c r="G39" s="40" t="s">
        <v>64</v>
      </c>
      <c r="H39" s="31"/>
      <c r="I39" s="32"/>
      <c r="J39" s="42">
        <v>1.0</v>
      </c>
      <c r="K39" s="10"/>
      <c r="L39" s="10"/>
    </row>
    <row r="40">
      <c r="A40" s="10"/>
      <c r="B40" s="10"/>
      <c r="C40" s="29"/>
      <c r="D40" s="31"/>
      <c r="E40" s="25"/>
      <c r="F40" s="25" t="s">
        <v>67</v>
      </c>
      <c r="G40" s="43" t="s">
        <v>89</v>
      </c>
      <c r="H40" s="31"/>
      <c r="I40" s="31"/>
      <c r="J40" s="31"/>
      <c r="K40" s="10"/>
      <c r="L40" s="10"/>
    </row>
    <row r="41">
      <c r="A41" s="10"/>
      <c r="B41" s="10"/>
      <c r="C41" s="29"/>
      <c r="D41" s="31"/>
      <c r="E41" s="25"/>
      <c r="F41" s="25" t="s">
        <v>90</v>
      </c>
      <c r="G41" s="40" t="s">
        <v>68</v>
      </c>
      <c r="H41" s="31"/>
      <c r="I41" s="31"/>
      <c r="J41" s="25">
        <v>1.0</v>
      </c>
      <c r="K41" s="10"/>
      <c r="L41" s="10"/>
    </row>
    <row r="42">
      <c r="A42" s="10"/>
      <c r="B42" s="10"/>
      <c r="C42" s="15"/>
      <c r="D42" s="34"/>
      <c r="E42" s="34"/>
      <c r="F42" s="22">
        <v>46015.0</v>
      </c>
      <c r="G42" s="23" t="s">
        <v>91</v>
      </c>
      <c r="H42" s="15"/>
      <c r="I42" s="16"/>
      <c r="J42" s="16"/>
      <c r="K42" s="10"/>
      <c r="L42" s="10"/>
    </row>
    <row r="43">
      <c r="A43" s="10"/>
      <c r="B43" s="10"/>
      <c r="C43" s="31"/>
      <c r="D43" s="31"/>
      <c r="E43" s="31"/>
      <c r="F43" s="31"/>
      <c r="G43" s="24" t="s">
        <v>60</v>
      </c>
      <c r="H43" s="29"/>
      <c r="I43" s="29"/>
      <c r="J43" s="29"/>
      <c r="K43" s="10"/>
      <c r="L43" s="10"/>
    </row>
    <row r="44">
      <c r="A44" s="10"/>
      <c r="B44" s="10"/>
      <c r="C44" s="29"/>
      <c r="D44" s="31"/>
      <c r="E44" s="31"/>
      <c r="F44" s="31"/>
      <c r="G44" s="36" t="s">
        <v>47</v>
      </c>
      <c r="H44" s="25">
        <v>0.5</v>
      </c>
      <c r="I44" s="25">
        <v>1.0</v>
      </c>
      <c r="J44" s="26"/>
      <c r="K44" s="10"/>
      <c r="L44" s="10"/>
    </row>
    <row r="45">
      <c r="A45" s="10"/>
      <c r="B45" s="10"/>
      <c r="C45" s="29"/>
      <c r="D45" s="31"/>
      <c r="E45" s="25" t="s">
        <v>55</v>
      </c>
      <c r="F45" s="25" t="s">
        <v>72</v>
      </c>
      <c r="G45" s="38" t="s">
        <v>92</v>
      </c>
      <c r="H45" s="47"/>
      <c r="I45" s="48"/>
      <c r="J45" s="26"/>
      <c r="K45" s="10"/>
      <c r="L45" s="10"/>
    </row>
    <row r="46">
      <c r="A46" s="10"/>
      <c r="B46" s="10"/>
      <c r="C46" s="29"/>
      <c r="D46" s="31"/>
      <c r="E46" s="25" t="s">
        <v>93</v>
      </c>
      <c r="F46" s="31"/>
      <c r="G46" s="38" t="s">
        <v>94</v>
      </c>
      <c r="H46" s="31"/>
      <c r="I46" s="31"/>
      <c r="J46" s="31"/>
      <c r="K46" s="10"/>
      <c r="L46" s="10"/>
    </row>
    <row r="47">
      <c r="A47" s="10"/>
      <c r="B47" s="10"/>
      <c r="C47" s="29"/>
      <c r="D47" s="31"/>
      <c r="E47" s="25" t="s">
        <v>55</v>
      </c>
      <c r="F47" s="31"/>
      <c r="G47" s="38" t="s">
        <v>95</v>
      </c>
      <c r="H47" s="31"/>
      <c r="I47" s="31"/>
      <c r="J47" s="31"/>
      <c r="K47" s="10"/>
      <c r="L47" s="10"/>
    </row>
    <row r="48">
      <c r="A48" s="10"/>
      <c r="B48" s="10"/>
      <c r="C48" s="29"/>
      <c r="D48" s="31"/>
      <c r="E48" s="31"/>
      <c r="F48" s="25" t="s">
        <v>78</v>
      </c>
      <c r="G48" s="40" t="s">
        <v>96</v>
      </c>
      <c r="H48" s="31"/>
      <c r="I48" s="25">
        <v>1.0</v>
      </c>
      <c r="J48" s="31"/>
      <c r="K48" s="10"/>
      <c r="L48" s="10"/>
    </row>
    <row r="49">
      <c r="A49" s="10"/>
      <c r="B49" s="10"/>
      <c r="C49" s="29"/>
      <c r="D49" s="31"/>
      <c r="E49" s="31"/>
      <c r="F49" s="31"/>
      <c r="G49" s="49" t="s">
        <v>97</v>
      </c>
      <c r="H49" s="31"/>
      <c r="I49" s="31"/>
      <c r="J49" s="31"/>
      <c r="K49" s="10"/>
      <c r="L49" s="10"/>
    </row>
    <row r="50">
      <c r="A50" s="10"/>
      <c r="B50" s="10"/>
      <c r="C50" s="29"/>
      <c r="D50" s="31"/>
      <c r="E50" s="31"/>
      <c r="F50" s="31"/>
      <c r="G50" s="40" t="s">
        <v>64</v>
      </c>
      <c r="H50" s="31"/>
      <c r="I50" s="32"/>
      <c r="J50" s="42">
        <v>1.0</v>
      </c>
      <c r="K50" s="10"/>
      <c r="L50" s="10"/>
    </row>
    <row r="51">
      <c r="A51" s="10"/>
      <c r="B51" s="10"/>
      <c r="C51" s="29"/>
      <c r="D51" s="31"/>
      <c r="E51" s="31"/>
      <c r="F51" s="31"/>
      <c r="G51" s="43" t="s">
        <v>98</v>
      </c>
      <c r="H51" s="31"/>
      <c r="I51" s="31"/>
      <c r="J51" s="31"/>
      <c r="K51" s="10"/>
      <c r="L51" s="10"/>
    </row>
    <row r="52">
      <c r="A52" s="10"/>
      <c r="B52" s="44"/>
      <c r="C52" s="29"/>
      <c r="D52" s="31"/>
      <c r="E52" s="31"/>
      <c r="F52" s="31"/>
      <c r="G52" s="40" t="s">
        <v>68</v>
      </c>
      <c r="H52" s="31"/>
      <c r="I52" s="31"/>
      <c r="J52" s="25">
        <v>1.0</v>
      </c>
      <c r="K52" s="10"/>
      <c r="L52" s="10"/>
    </row>
    <row r="53">
      <c r="A53" s="50"/>
      <c r="B53" s="50"/>
      <c r="C53" s="29"/>
      <c r="D53" s="31"/>
      <c r="E53" s="31"/>
      <c r="F53" s="31"/>
      <c r="G53" s="43" t="s">
        <v>99</v>
      </c>
      <c r="H53" s="31"/>
      <c r="I53" s="31"/>
      <c r="J53" s="31"/>
      <c r="K53" s="10"/>
      <c r="L53" s="10"/>
    </row>
    <row r="54">
      <c r="A54" s="10"/>
      <c r="B54" s="10"/>
      <c r="C54" s="15"/>
      <c r="D54" s="34"/>
      <c r="E54" s="34"/>
      <c r="F54" s="22">
        <v>46016.0</v>
      </c>
      <c r="G54" s="23" t="s">
        <v>100</v>
      </c>
      <c r="H54" s="15"/>
      <c r="I54" s="16"/>
      <c r="J54" s="16"/>
      <c r="K54" s="10"/>
      <c r="L54" s="10"/>
    </row>
    <row r="55">
      <c r="A55" s="10"/>
      <c r="B55" s="10"/>
      <c r="C55" s="31"/>
      <c r="D55" s="31"/>
      <c r="E55" s="31"/>
      <c r="F55" s="31"/>
      <c r="G55" s="25" t="s">
        <v>101</v>
      </c>
      <c r="H55" s="31"/>
      <c r="I55" s="31"/>
      <c r="J55" s="31"/>
      <c r="K55" s="10"/>
      <c r="L55" s="10"/>
    </row>
    <row r="56">
      <c r="A56" s="10"/>
      <c r="B56" s="10"/>
      <c r="C56" s="31"/>
      <c r="D56" s="31"/>
      <c r="E56" s="31"/>
      <c r="F56" s="25" t="s">
        <v>72</v>
      </c>
      <c r="G56" s="40" t="s">
        <v>64</v>
      </c>
      <c r="H56" s="31"/>
      <c r="I56" s="32"/>
      <c r="J56" s="42">
        <v>1.0</v>
      </c>
      <c r="K56" s="10"/>
      <c r="L56" s="10"/>
    </row>
    <row r="57">
      <c r="A57" s="10"/>
      <c r="B57" s="10"/>
      <c r="C57" s="31"/>
      <c r="D57" s="31"/>
      <c r="E57" s="31"/>
      <c r="F57" s="25" t="s">
        <v>102</v>
      </c>
      <c r="G57" s="43" t="s">
        <v>103</v>
      </c>
      <c r="H57" s="31"/>
      <c r="I57" s="31"/>
      <c r="J57" s="31"/>
      <c r="K57" s="10"/>
      <c r="L57" s="10"/>
    </row>
    <row r="58">
      <c r="A58" s="10"/>
      <c r="B58" s="10"/>
      <c r="C58" s="31"/>
      <c r="D58" s="31"/>
      <c r="E58" s="31"/>
      <c r="F58" s="25" t="s">
        <v>104</v>
      </c>
      <c r="G58" s="40" t="s">
        <v>68</v>
      </c>
      <c r="H58" s="31"/>
      <c r="I58" s="31"/>
      <c r="J58" s="25">
        <v>1.0</v>
      </c>
      <c r="K58" s="10"/>
      <c r="L58" s="10"/>
    </row>
    <row r="59">
      <c r="A59" s="10"/>
      <c r="B59" s="10"/>
      <c r="C59" s="51"/>
      <c r="D59" s="34"/>
      <c r="E59" s="34"/>
      <c r="F59" s="22">
        <v>46017.0</v>
      </c>
      <c r="G59" s="23" t="s">
        <v>105</v>
      </c>
      <c r="H59" s="15"/>
      <c r="I59" s="16"/>
      <c r="J59" s="16"/>
      <c r="K59" s="10"/>
      <c r="L59" s="10"/>
    </row>
    <row r="60" ht="18.0" customHeight="1">
      <c r="A60" s="10"/>
      <c r="B60" s="10"/>
      <c r="C60" s="27"/>
      <c r="D60" s="29"/>
      <c r="E60" s="29"/>
      <c r="F60" s="25" t="s">
        <v>106</v>
      </c>
      <c r="G60" s="36" t="s">
        <v>107</v>
      </c>
      <c r="H60" s="29"/>
      <c r="I60" s="29"/>
      <c r="J60" s="28"/>
      <c r="K60" s="10"/>
      <c r="L60" s="10"/>
    </row>
    <row r="61" ht="23.25" customHeight="1">
      <c r="A61" s="10"/>
      <c r="B61" s="10"/>
      <c r="C61" s="27"/>
      <c r="D61" s="29"/>
      <c r="E61" s="29"/>
      <c r="F61" s="25" t="s">
        <v>108</v>
      </c>
      <c r="G61" s="24" t="s">
        <v>109</v>
      </c>
      <c r="H61" s="29"/>
      <c r="I61" s="26"/>
      <c r="J61" s="28"/>
      <c r="K61" s="10"/>
      <c r="L61" s="10"/>
    </row>
    <row r="62" ht="23.25" customHeight="1">
      <c r="A62" s="10"/>
      <c r="B62" s="10"/>
      <c r="C62" s="52"/>
      <c r="D62" s="11"/>
      <c r="E62" s="11"/>
      <c r="F62" s="11"/>
      <c r="G62" s="11"/>
      <c r="H62" s="53">
        <f t="shared" ref="H62:J62" si="1">SUM(H5:H61)</f>
        <v>2</v>
      </c>
      <c r="I62" s="53">
        <f t="shared" si="1"/>
        <v>7</v>
      </c>
      <c r="J62" s="53">
        <f t="shared" si="1"/>
        <v>8</v>
      </c>
      <c r="K62" s="10"/>
      <c r="L62" s="10"/>
    </row>
    <row r="63" ht="23.25" customHeight="1">
      <c r="A63" s="10"/>
      <c r="B63" s="10"/>
      <c r="C63" s="52"/>
      <c r="D63" s="11"/>
      <c r="E63" s="11"/>
      <c r="F63" s="11"/>
      <c r="G63" s="54" t="s">
        <v>110</v>
      </c>
      <c r="H63" s="54">
        <v>1.0</v>
      </c>
      <c r="I63" s="54">
        <v>4.0</v>
      </c>
      <c r="J63" s="54">
        <v>0.0</v>
      </c>
      <c r="K63" s="10"/>
      <c r="L63" s="10"/>
    </row>
    <row r="64" ht="23.25" customHeight="1">
      <c r="A64" s="10"/>
      <c r="B64" s="10"/>
      <c r="C64" s="52"/>
      <c r="D64" s="11"/>
      <c r="E64" s="11"/>
      <c r="F64" s="11"/>
      <c r="G64" s="11"/>
      <c r="H64" s="11">
        <f t="shared" ref="H64:J64" si="2">H62-H63</f>
        <v>1</v>
      </c>
      <c r="I64" s="11">
        <f t="shared" si="2"/>
        <v>3</v>
      </c>
      <c r="J64" s="11">
        <f t="shared" si="2"/>
        <v>8</v>
      </c>
      <c r="K64" s="10"/>
      <c r="L64" s="10"/>
    </row>
    <row r="65" ht="23.25" customHeight="1">
      <c r="A65" s="10"/>
      <c r="B65" s="10"/>
      <c r="C65" s="52"/>
      <c r="D65" s="11"/>
      <c r="E65" s="11"/>
      <c r="F65" s="11"/>
      <c r="G65" s="11"/>
      <c r="H65" s="11"/>
      <c r="I65" s="11"/>
      <c r="J65" s="11"/>
      <c r="K65" s="10"/>
      <c r="L65" s="10"/>
    </row>
    <row r="66" ht="23.25" customHeight="1">
      <c r="A66" s="10"/>
      <c r="B66" s="10"/>
      <c r="C66" s="52"/>
      <c r="D66" s="11"/>
      <c r="E66" s="11"/>
      <c r="F66" s="11"/>
      <c r="G66" s="11"/>
      <c r="H66" s="11"/>
      <c r="I66" s="11"/>
      <c r="J66" s="11"/>
      <c r="K66" s="10"/>
      <c r="L66" s="10"/>
    </row>
    <row r="67" ht="23.25" customHeight="1">
      <c r="A67" s="10"/>
      <c r="B67" s="10"/>
      <c r="C67" s="52"/>
      <c r="D67" s="11"/>
      <c r="E67" s="11"/>
      <c r="F67" s="11"/>
      <c r="G67" s="11"/>
      <c r="H67" s="11"/>
      <c r="I67" s="11"/>
      <c r="J67" s="11"/>
      <c r="K67" s="10"/>
      <c r="L67" s="10"/>
    </row>
    <row r="68" ht="23.25" customHeight="1">
      <c r="A68" s="10"/>
      <c r="B68" s="10"/>
      <c r="C68" s="52"/>
      <c r="D68" s="11"/>
      <c r="E68" s="11"/>
      <c r="F68" s="11"/>
      <c r="G68" s="11"/>
      <c r="H68" s="11"/>
      <c r="I68" s="11"/>
      <c r="J68" s="11"/>
      <c r="K68" s="10"/>
      <c r="L6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63"/>
    <col customWidth="1" min="3" max="3" width="9.5"/>
    <col customWidth="1" min="4" max="4" width="10.88"/>
    <col customWidth="1" min="5" max="5" width="36.88"/>
    <col customWidth="1" min="6" max="6" width="16.38"/>
    <col customWidth="1" min="7" max="7" width="8.88"/>
    <col customWidth="1" min="8" max="8" width="11.13"/>
    <col customWidth="1" min="9" max="12" width="10.0"/>
    <col customWidth="1" min="13" max="13" width="1.0"/>
    <col customWidth="1" min="14" max="14" width="9.5"/>
    <col customWidth="1" min="15" max="18" width="8.38"/>
    <col customWidth="1" min="19" max="19" width="0.63"/>
    <col customWidth="1" min="20" max="20" width="8.75"/>
    <col customWidth="1" min="21" max="21" width="7.0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29.0"/>
    <col customWidth="1" min="28" max="28" width="17.63"/>
    <col customWidth="1" min="29" max="29" width="12.88"/>
    <col customWidth="1" min="30" max="30" width="13.5"/>
    <col customWidth="1" min="31" max="31" width="26.38"/>
    <col customWidth="1" min="32" max="32" width="29.0"/>
    <col customWidth="1" min="34" max="34" width="19.63"/>
  </cols>
  <sheetData>
    <row r="1">
      <c r="A1" s="10"/>
      <c r="B1" s="10"/>
      <c r="C1" s="10"/>
      <c r="D1" s="55"/>
      <c r="E1" s="56"/>
      <c r="F1" s="57"/>
      <c r="G1" s="10"/>
      <c r="H1" s="10"/>
      <c r="I1" s="10"/>
      <c r="J1" s="10"/>
      <c r="K1" s="10"/>
      <c r="L1" s="10"/>
      <c r="M1" s="58"/>
      <c r="N1" s="58"/>
      <c r="O1" s="10"/>
      <c r="P1" s="10"/>
      <c r="Q1" s="10"/>
      <c r="R1" s="10"/>
      <c r="S1" s="10"/>
      <c r="T1" s="10"/>
      <c r="U1" s="10"/>
      <c r="V1" s="10"/>
      <c r="W1" s="10"/>
      <c r="X1" s="10"/>
      <c r="Y1" s="59"/>
      <c r="Z1" s="10"/>
      <c r="AA1" s="10"/>
      <c r="AB1" s="59"/>
      <c r="AC1" s="10"/>
      <c r="AD1" s="10"/>
      <c r="AE1" s="10"/>
      <c r="AF1" s="10"/>
      <c r="AG1" s="10"/>
      <c r="AH1" s="10"/>
    </row>
    <row r="2" ht="15.75" customHeight="1">
      <c r="A2" s="10"/>
      <c r="B2" s="10"/>
      <c r="C2" s="10"/>
      <c r="D2" s="55"/>
      <c r="E2" s="56"/>
      <c r="F2" s="57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59"/>
      <c r="Z2" s="10"/>
      <c r="AA2" s="60" t="s">
        <v>111</v>
      </c>
      <c r="AB2" s="59"/>
      <c r="AC2" s="10"/>
      <c r="AD2" s="10"/>
      <c r="AE2" s="10"/>
      <c r="AF2" s="10"/>
      <c r="AG2" s="10"/>
      <c r="AH2" s="10"/>
    </row>
    <row r="3">
      <c r="A3" s="10"/>
      <c r="B3" s="61"/>
      <c r="C3" s="62" t="s">
        <v>112</v>
      </c>
      <c r="D3" s="63"/>
      <c r="E3" s="64"/>
      <c r="F3" s="65"/>
      <c r="G3" s="66"/>
      <c r="H3" s="66"/>
      <c r="I3" s="61"/>
      <c r="J3" s="61"/>
      <c r="K3" s="61"/>
      <c r="L3" s="61"/>
      <c r="M3" s="10"/>
      <c r="N3" s="67"/>
      <c r="O3" s="68">
        <v>3800.0</v>
      </c>
      <c r="P3" s="69"/>
      <c r="Q3" s="69"/>
      <c r="R3" s="69"/>
      <c r="S3" s="10"/>
      <c r="T3" s="62" t="s">
        <v>112</v>
      </c>
      <c r="U3" s="70"/>
      <c r="V3" s="66"/>
      <c r="W3" s="71"/>
      <c r="X3" s="72" t="s">
        <v>113</v>
      </c>
      <c r="Y3" s="73"/>
      <c r="Z3" s="10"/>
      <c r="AA3" s="74" t="s">
        <v>112</v>
      </c>
      <c r="AB3" s="75"/>
      <c r="AC3" s="75"/>
      <c r="AD3" s="75"/>
      <c r="AE3" s="67"/>
      <c r="AF3" s="67"/>
      <c r="AG3" s="67"/>
      <c r="AH3" s="10"/>
    </row>
    <row r="4">
      <c r="A4" s="55"/>
      <c r="B4" s="76" t="s">
        <v>114</v>
      </c>
      <c r="C4" s="76" t="s">
        <v>115</v>
      </c>
      <c r="D4" s="76" t="s">
        <v>116</v>
      </c>
      <c r="E4" s="77" t="s">
        <v>117</v>
      </c>
      <c r="F4" s="78" t="s">
        <v>118</v>
      </c>
      <c r="G4" s="78" t="s">
        <v>119</v>
      </c>
      <c r="H4" s="78" t="s">
        <v>120</v>
      </c>
      <c r="I4" s="79" t="s">
        <v>121</v>
      </c>
      <c r="J4" s="79" t="s">
        <v>93</v>
      </c>
      <c r="K4" s="79" t="s">
        <v>122</v>
      </c>
      <c r="L4" s="79" t="s">
        <v>123</v>
      </c>
      <c r="M4" s="55"/>
      <c r="N4" s="80" t="s">
        <v>124</v>
      </c>
      <c r="O4" s="79" t="s">
        <v>121</v>
      </c>
      <c r="P4" s="79" t="s">
        <v>93</v>
      </c>
      <c r="Q4" s="79" t="s">
        <v>122</v>
      </c>
      <c r="R4" s="79" t="s">
        <v>123</v>
      </c>
      <c r="S4" s="55"/>
      <c r="T4" s="81"/>
      <c r="U4" s="82" t="s">
        <v>125</v>
      </c>
      <c r="V4" s="83" t="s">
        <v>126</v>
      </c>
      <c r="W4" s="55"/>
      <c r="X4" s="84" t="s">
        <v>127</v>
      </c>
      <c r="Y4" s="85" t="s">
        <v>128</v>
      </c>
      <c r="Z4" s="55"/>
      <c r="AA4" s="86" t="s">
        <v>129</v>
      </c>
      <c r="AB4" s="87" t="s">
        <v>130</v>
      </c>
      <c r="AC4" s="87" t="s">
        <v>131</v>
      </c>
      <c r="AD4" s="87" t="s">
        <v>132</v>
      </c>
      <c r="AE4" s="87" t="s">
        <v>133</v>
      </c>
      <c r="AF4" s="87" t="s">
        <v>134</v>
      </c>
      <c r="AG4" s="87" t="s">
        <v>135</v>
      </c>
      <c r="AH4" s="55"/>
    </row>
    <row r="5">
      <c r="A5" s="10"/>
      <c r="B5" s="88"/>
      <c r="C5" s="88"/>
      <c r="D5" s="89"/>
      <c r="E5" s="90" t="s">
        <v>136</v>
      </c>
      <c r="F5" s="91" t="s">
        <v>137</v>
      </c>
      <c r="G5" s="92">
        <v>3500.0</v>
      </c>
      <c r="H5" s="25">
        <v>4.0</v>
      </c>
      <c r="I5" s="92">
        <f t="shared" ref="I5:I13" si="1">G5*H5</f>
        <v>14000</v>
      </c>
      <c r="J5" s="92">
        <f>G5*H5</f>
        <v>14000</v>
      </c>
      <c r="K5" s="92">
        <f>G5*H5</f>
        <v>14000</v>
      </c>
      <c r="L5" s="92">
        <f>G5*H5</f>
        <v>14000</v>
      </c>
      <c r="M5" s="58"/>
      <c r="N5" s="92">
        <f t="shared" ref="N5:N7" si="2">I5/0.6</f>
        <v>23333.33333</v>
      </c>
      <c r="O5" s="93">
        <f>N5/$O$3</f>
        <v>6.140350877</v>
      </c>
      <c r="P5" s="93">
        <f>N5/$O$3</f>
        <v>6.140350877</v>
      </c>
      <c r="Q5" s="93">
        <f>N5/$O$3</f>
        <v>6.140350877</v>
      </c>
      <c r="R5" s="93">
        <f>N5/$O$3</f>
        <v>6.140350877</v>
      </c>
      <c r="S5" s="94"/>
      <c r="T5" s="95"/>
      <c r="U5" s="95"/>
      <c r="V5" s="95"/>
      <c r="W5" s="71"/>
      <c r="X5" s="96"/>
      <c r="Y5" s="97"/>
      <c r="Z5" s="10"/>
      <c r="AA5" s="98"/>
      <c r="AB5" s="99"/>
      <c r="AC5" s="100"/>
      <c r="AD5" s="100"/>
      <c r="AE5" s="100"/>
      <c r="AF5" s="100"/>
      <c r="AG5" s="100"/>
      <c r="AH5" s="10"/>
    </row>
    <row r="6">
      <c r="A6" s="10"/>
      <c r="B6" s="88"/>
      <c r="C6" s="101"/>
      <c r="D6" s="89"/>
      <c r="E6" s="102" t="s">
        <v>138</v>
      </c>
      <c r="F6" s="103" t="s">
        <v>139</v>
      </c>
      <c r="G6" s="104">
        <v>6000.0</v>
      </c>
      <c r="H6" s="25">
        <v>1.0</v>
      </c>
      <c r="I6" s="92">
        <f t="shared" si="1"/>
        <v>6000</v>
      </c>
      <c r="J6" s="92"/>
      <c r="K6" s="92"/>
      <c r="L6" s="92"/>
      <c r="M6" s="58"/>
      <c r="N6" s="92">
        <f t="shared" si="2"/>
        <v>10000</v>
      </c>
      <c r="O6" s="93">
        <f t="shared" ref="O6:O7" si="3">N6/3913</f>
        <v>2.555583951</v>
      </c>
      <c r="P6" s="93"/>
      <c r="Q6" s="93"/>
      <c r="R6" s="93"/>
      <c r="S6" s="94"/>
      <c r="T6" s="95"/>
      <c r="U6" s="95"/>
      <c r="V6" s="95"/>
      <c r="W6" s="71"/>
      <c r="X6" s="96"/>
      <c r="Y6" s="105"/>
      <c r="Z6" s="10"/>
      <c r="AA6" s="106"/>
      <c r="AB6" s="107"/>
      <c r="AC6" s="108"/>
      <c r="AD6" s="109"/>
      <c r="AE6" s="31"/>
      <c r="AF6" s="31"/>
      <c r="AG6" s="31"/>
      <c r="AH6" s="10"/>
    </row>
    <row r="7">
      <c r="A7" s="10"/>
      <c r="B7" s="88"/>
      <c r="C7" s="88"/>
      <c r="D7" s="89"/>
      <c r="E7" s="102" t="s">
        <v>140</v>
      </c>
      <c r="F7" s="103" t="s">
        <v>139</v>
      </c>
      <c r="G7" s="104">
        <v>12000.0</v>
      </c>
      <c r="H7" s="25">
        <v>1.0</v>
      </c>
      <c r="I7" s="92">
        <f t="shared" si="1"/>
        <v>12000</v>
      </c>
      <c r="J7" s="92"/>
      <c r="K7" s="92"/>
      <c r="L7" s="92"/>
      <c r="M7" s="58"/>
      <c r="N7" s="92">
        <f t="shared" si="2"/>
        <v>20000</v>
      </c>
      <c r="O7" s="93">
        <f t="shared" si="3"/>
        <v>5.111167902</v>
      </c>
      <c r="P7" s="93"/>
      <c r="Q7" s="93"/>
      <c r="R7" s="93"/>
      <c r="S7" s="94"/>
      <c r="T7" s="95"/>
      <c r="U7" s="95"/>
      <c r="V7" s="95"/>
      <c r="W7" s="71"/>
      <c r="X7" s="96"/>
      <c r="Y7" s="105"/>
      <c r="Z7" s="10"/>
      <c r="AA7" s="106"/>
      <c r="AB7" s="107"/>
      <c r="AC7" s="31"/>
      <c r="AD7" s="31"/>
      <c r="AE7" s="31"/>
      <c r="AF7" s="31"/>
      <c r="AG7" s="31"/>
      <c r="AH7" s="10"/>
    </row>
    <row r="8">
      <c r="A8" s="10"/>
      <c r="B8" s="88"/>
      <c r="C8" s="88"/>
      <c r="D8" s="89"/>
      <c r="E8" s="90" t="s">
        <v>141</v>
      </c>
      <c r="F8" s="91" t="s">
        <v>142</v>
      </c>
      <c r="G8" s="104">
        <v>250000.0</v>
      </c>
      <c r="H8" s="31">
        <v>2.0</v>
      </c>
      <c r="I8" s="92">
        <f t="shared" si="1"/>
        <v>500000</v>
      </c>
      <c r="J8" s="92"/>
      <c r="K8" s="92"/>
      <c r="L8" s="92"/>
      <c r="M8" s="58"/>
      <c r="N8" s="92">
        <f t="shared" ref="N8:N9" si="4">I8/0.9</f>
        <v>555555.5556</v>
      </c>
      <c r="O8" s="93">
        <f t="shared" ref="O8:O13" si="5">N8/$H$73</f>
        <v>146.1988304</v>
      </c>
      <c r="P8" s="93"/>
      <c r="Q8" s="93"/>
      <c r="R8" s="93"/>
      <c r="S8" s="94"/>
      <c r="T8" s="95"/>
      <c r="U8" s="95"/>
      <c r="V8" s="95"/>
      <c r="W8" s="71"/>
      <c r="X8" s="96"/>
      <c r="Y8" s="105"/>
      <c r="Z8" s="10"/>
      <c r="AA8" s="106"/>
      <c r="AB8" s="107"/>
      <c r="AC8" s="31"/>
      <c r="AD8" s="31"/>
      <c r="AE8" s="31"/>
      <c r="AF8" s="31"/>
      <c r="AG8" s="31"/>
      <c r="AH8" s="10"/>
    </row>
    <row r="9">
      <c r="A9" s="10"/>
      <c r="B9" s="88"/>
      <c r="C9" s="88"/>
      <c r="D9" s="89"/>
      <c r="E9" s="90" t="s">
        <v>143</v>
      </c>
      <c r="F9" s="91" t="s">
        <v>142</v>
      </c>
      <c r="G9" s="104">
        <v>25000.0</v>
      </c>
      <c r="H9" s="25">
        <v>1.0</v>
      </c>
      <c r="I9" s="92">
        <f t="shared" si="1"/>
        <v>25000</v>
      </c>
      <c r="J9" s="92"/>
      <c r="K9" s="92"/>
      <c r="L9" s="92"/>
      <c r="M9" s="58"/>
      <c r="N9" s="92">
        <f t="shared" si="4"/>
        <v>27777.77778</v>
      </c>
      <c r="O9" s="93">
        <f t="shared" si="5"/>
        <v>7.30994152</v>
      </c>
      <c r="P9" s="93"/>
      <c r="Q9" s="93"/>
      <c r="R9" s="93"/>
      <c r="S9" s="94"/>
      <c r="T9" s="95"/>
      <c r="U9" s="95"/>
      <c r="V9" s="95"/>
      <c r="W9" s="71"/>
      <c r="X9" s="96"/>
      <c r="Y9" s="105"/>
      <c r="Z9" s="10"/>
      <c r="AA9" s="106"/>
      <c r="AB9" s="107"/>
      <c r="AC9" s="31"/>
      <c r="AD9" s="31"/>
      <c r="AE9" s="31"/>
      <c r="AF9" s="31"/>
      <c r="AG9" s="31"/>
      <c r="AH9" s="10"/>
    </row>
    <row r="10">
      <c r="A10" s="10"/>
      <c r="B10" s="88"/>
      <c r="C10" s="88"/>
      <c r="D10" s="89"/>
      <c r="E10" s="110" t="s">
        <v>144</v>
      </c>
      <c r="F10" s="91" t="s">
        <v>145</v>
      </c>
      <c r="G10" s="92">
        <v>71500.0</v>
      </c>
      <c r="H10" s="31">
        <v>1.0</v>
      </c>
      <c r="I10" s="92">
        <f t="shared" si="1"/>
        <v>71500</v>
      </c>
      <c r="J10" s="92">
        <f t="shared" ref="J10:J12" si="6">G10*H10</f>
        <v>71500</v>
      </c>
      <c r="K10" s="92">
        <f t="shared" ref="K10:K12" si="7">G10*H10</f>
        <v>71500</v>
      </c>
      <c r="L10" s="92">
        <f t="shared" ref="L10:L12" si="8">G10*H10</f>
        <v>71500</v>
      </c>
      <c r="M10" s="58"/>
      <c r="N10" s="92">
        <f t="shared" ref="N10:N11" si="9">I10/0.85</f>
        <v>84117.64706</v>
      </c>
      <c r="O10" s="93">
        <f t="shared" si="5"/>
        <v>22.13622291</v>
      </c>
      <c r="P10" s="93">
        <f t="shared" ref="P10:P12" si="10">N10/$O$3</f>
        <v>22.13622291</v>
      </c>
      <c r="Q10" s="93">
        <f t="shared" ref="Q10:Q12" si="11">N10/$O$3</f>
        <v>22.13622291</v>
      </c>
      <c r="R10" s="93">
        <f t="shared" ref="R10:R12" si="12">N10/$O$3</f>
        <v>22.13622291</v>
      </c>
      <c r="S10" s="94"/>
      <c r="T10" s="95"/>
      <c r="U10" s="95"/>
      <c r="V10" s="95"/>
      <c r="W10" s="71"/>
      <c r="X10" s="96"/>
      <c r="Y10" s="105"/>
      <c r="Z10" s="10"/>
      <c r="AA10" s="106"/>
      <c r="AB10" s="107"/>
      <c r="AC10" s="31"/>
      <c r="AD10" s="31"/>
      <c r="AE10" s="31"/>
      <c r="AF10" s="31"/>
      <c r="AG10" s="31"/>
      <c r="AH10" s="10"/>
    </row>
    <row r="11" ht="20.25" customHeight="1">
      <c r="A11" s="111"/>
      <c r="B11" s="112"/>
      <c r="C11" s="112"/>
      <c r="D11" s="89"/>
      <c r="E11" s="113" t="s">
        <v>146</v>
      </c>
      <c r="F11" s="91" t="s">
        <v>145</v>
      </c>
      <c r="G11" s="114">
        <v>140000.0</v>
      </c>
      <c r="H11" s="115">
        <v>1.0</v>
      </c>
      <c r="I11" s="92">
        <f t="shared" si="1"/>
        <v>140000</v>
      </c>
      <c r="J11" s="92">
        <f t="shared" si="6"/>
        <v>140000</v>
      </c>
      <c r="K11" s="92">
        <f t="shared" si="7"/>
        <v>140000</v>
      </c>
      <c r="L11" s="92">
        <f t="shared" si="8"/>
        <v>140000</v>
      </c>
      <c r="M11" s="58"/>
      <c r="N11" s="92">
        <f t="shared" si="9"/>
        <v>164705.8824</v>
      </c>
      <c r="O11" s="93">
        <f t="shared" si="5"/>
        <v>43.34365325</v>
      </c>
      <c r="P11" s="93">
        <f t="shared" si="10"/>
        <v>43.34365325</v>
      </c>
      <c r="Q11" s="93">
        <f t="shared" si="11"/>
        <v>43.34365325</v>
      </c>
      <c r="R11" s="93">
        <f t="shared" si="12"/>
        <v>43.34365325</v>
      </c>
      <c r="S11" s="116"/>
      <c r="T11" s="95"/>
      <c r="U11" s="95"/>
      <c r="V11" s="95"/>
      <c r="W11" s="117"/>
      <c r="X11" s="118"/>
      <c r="Y11" s="119"/>
      <c r="Z11" s="111"/>
      <c r="AA11" s="120"/>
      <c r="AB11" s="121"/>
      <c r="AC11" s="122"/>
      <c r="AD11" s="122"/>
      <c r="AE11" s="122"/>
      <c r="AF11" s="122"/>
      <c r="AG11" s="122"/>
      <c r="AH11" s="111"/>
    </row>
    <row r="12" ht="12.75" customHeight="1">
      <c r="A12" s="10"/>
      <c r="B12" s="123"/>
      <c r="C12" s="123"/>
      <c r="D12" s="124"/>
      <c r="E12" s="113" t="s">
        <v>89</v>
      </c>
      <c r="F12" s="91" t="s">
        <v>145</v>
      </c>
      <c r="G12" s="125">
        <v>130000.0</v>
      </c>
      <c r="H12" s="115">
        <v>1.0</v>
      </c>
      <c r="I12" s="92">
        <f t="shared" si="1"/>
        <v>130000</v>
      </c>
      <c r="J12" s="92">
        <f t="shared" si="6"/>
        <v>130000</v>
      </c>
      <c r="K12" s="92">
        <f t="shared" si="7"/>
        <v>130000</v>
      </c>
      <c r="L12" s="92">
        <f t="shared" si="8"/>
        <v>130000</v>
      </c>
      <c r="M12" s="58"/>
      <c r="N12" s="92">
        <f>I12/0.9</f>
        <v>144444.4444</v>
      </c>
      <c r="O12" s="93">
        <f t="shared" si="5"/>
        <v>38.01169591</v>
      </c>
      <c r="P12" s="93">
        <f t="shared" si="10"/>
        <v>38.01169591</v>
      </c>
      <c r="Q12" s="93">
        <f t="shared" si="11"/>
        <v>38.01169591</v>
      </c>
      <c r="R12" s="93">
        <f t="shared" si="12"/>
        <v>38.01169591</v>
      </c>
      <c r="S12" s="94"/>
      <c r="T12" s="95"/>
      <c r="U12" s="95"/>
      <c r="V12" s="95"/>
      <c r="W12" s="71"/>
      <c r="X12" s="126"/>
      <c r="Y12" s="97"/>
      <c r="Z12" s="10"/>
      <c r="AA12" s="107"/>
      <c r="AC12" s="108"/>
      <c r="AD12" s="109"/>
      <c r="AE12" s="31"/>
      <c r="AF12" s="31"/>
      <c r="AG12" s="31"/>
      <c r="AH12" s="10"/>
    </row>
    <row r="13" ht="28.5" customHeight="1">
      <c r="A13" s="10"/>
      <c r="B13" s="123"/>
      <c r="C13" s="123"/>
      <c r="D13" s="124"/>
      <c r="E13" s="113" t="s">
        <v>147</v>
      </c>
      <c r="F13" s="91" t="s">
        <v>32</v>
      </c>
      <c r="G13" s="125">
        <v>20000.0</v>
      </c>
      <c r="H13" s="127">
        <v>8.0</v>
      </c>
      <c r="I13" s="92">
        <f t="shared" si="1"/>
        <v>160000</v>
      </c>
      <c r="J13" s="92"/>
      <c r="K13" s="92"/>
      <c r="L13" s="92"/>
      <c r="M13" s="58"/>
      <c r="N13" s="92">
        <f>I13/0.8</f>
        <v>200000</v>
      </c>
      <c r="O13" s="93">
        <f t="shared" si="5"/>
        <v>52.63157895</v>
      </c>
      <c r="P13" s="93"/>
      <c r="Q13" s="93"/>
      <c r="R13" s="93"/>
      <c r="S13" s="94"/>
      <c r="T13" s="95"/>
      <c r="U13" s="95"/>
      <c r="V13" s="95"/>
      <c r="W13" s="71"/>
      <c r="X13" s="126"/>
      <c r="Y13" s="97"/>
      <c r="Z13" s="10"/>
      <c r="AA13" s="107"/>
      <c r="AC13" s="108"/>
      <c r="AD13" s="109"/>
      <c r="AE13" s="31"/>
      <c r="AF13" s="31"/>
      <c r="AG13" s="31"/>
      <c r="AH13" s="10"/>
    </row>
    <row r="14" ht="12.75" customHeight="1">
      <c r="A14" s="10"/>
      <c r="B14" s="128"/>
      <c r="C14" s="128"/>
      <c r="D14" s="129"/>
      <c r="E14" s="130" t="s">
        <v>148</v>
      </c>
      <c r="F14" s="131"/>
      <c r="G14" s="132"/>
      <c r="H14" s="133"/>
      <c r="I14" s="134">
        <v>1350000.0</v>
      </c>
      <c r="J14" s="134">
        <v>1300000.0</v>
      </c>
      <c r="K14" s="134">
        <v>1100000.0</v>
      </c>
      <c r="L14" s="134">
        <v>1100000.0</v>
      </c>
      <c r="M14" s="58"/>
      <c r="N14" s="132"/>
      <c r="O14" s="132">
        <v>485.0</v>
      </c>
      <c r="P14" s="134">
        <v>470.0</v>
      </c>
      <c r="Q14" s="134">
        <v>430.0</v>
      </c>
      <c r="R14" s="134">
        <v>430.0</v>
      </c>
      <c r="S14" s="94"/>
      <c r="T14" s="95"/>
      <c r="U14" s="95"/>
      <c r="V14" s="95"/>
      <c r="W14" s="71"/>
      <c r="X14" s="126"/>
      <c r="Y14" s="97"/>
      <c r="Z14" s="10"/>
      <c r="AA14" s="107"/>
      <c r="AC14" s="108"/>
      <c r="AD14" s="109"/>
      <c r="AE14" s="31"/>
      <c r="AF14" s="31"/>
      <c r="AG14" s="31"/>
      <c r="AH14" s="10"/>
    </row>
    <row r="15">
      <c r="A15" s="10"/>
      <c r="B15" s="88"/>
      <c r="C15" s="101"/>
      <c r="D15" s="89"/>
      <c r="E15" s="135" t="s">
        <v>149</v>
      </c>
      <c r="F15" s="136" t="s">
        <v>150</v>
      </c>
      <c r="G15" s="95"/>
      <c r="H15" s="137"/>
      <c r="I15" s="138"/>
      <c r="J15" s="139" t="s">
        <v>151</v>
      </c>
      <c r="K15" s="139" t="s">
        <v>151</v>
      </c>
      <c r="L15" s="139" t="s">
        <v>151</v>
      </c>
      <c r="M15" s="58"/>
      <c r="N15" s="95"/>
      <c r="O15" s="95"/>
      <c r="P15" s="139" t="s">
        <v>151</v>
      </c>
      <c r="Q15" s="139" t="s">
        <v>151</v>
      </c>
      <c r="R15" s="139" t="s">
        <v>151</v>
      </c>
      <c r="S15" s="94"/>
      <c r="T15" s="140"/>
      <c r="U15" s="140"/>
      <c r="V15" s="140"/>
      <c r="W15" s="71"/>
      <c r="X15" s="140"/>
      <c r="Y15" s="140"/>
      <c r="Z15" s="10"/>
      <c r="AA15" s="140"/>
      <c r="AB15" s="140"/>
      <c r="AC15" s="140"/>
      <c r="AD15" s="140"/>
      <c r="AE15" s="140"/>
      <c r="AF15" s="140"/>
      <c r="AG15" s="140"/>
    </row>
    <row r="16">
      <c r="A16" s="10"/>
      <c r="B16" s="141"/>
      <c r="C16" s="101"/>
      <c r="D16" s="89"/>
      <c r="E16" s="142" t="s">
        <v>152</v>
      </c>
      <c r="F16" s="136" t="s">
        <v>150</v>
      </c>
      <c r="G16" s="95"/>
      <c r="H16" s="137"/>
      <c r="I16" s="139" t="s">
        <v>151</v>
      </c>
      <c r="J16" s="95"/>
      <c r="K16" s="139" t="s">
        <v>151</v>
      </c>
      <c r="L16" s="139" t="s">
        <v>151</v>
      </c>
      <c r="M16" s="58"/>
      <c r="N16" s="95"/>
      <c r="O16" s="139" t="s">
        <v>151</v>
      </c>
      <c r="P16" s="95"/>
      <c r="Q16" s="139" t="s">
        <v>151</v>
      </c>
      <c r="R16" s="139" t="s">
        <v>151</v>
      </c>
      <c r="S16" s="94"/>
      <c r="T16" s="140"/>
      <c r="U16" s="140"/>
      <c r="V16" s="140"/>
      <c r="W16" s="71"/>
      <c r="X16" s="140"/>
      <c r="Y16" s="140"/>
      <c r="Z16" s="10"/>
      <c r="AA16" s="140"/>
      <c r="AB16" s="140"/>
      <c r="AC16" s="140"/>
      <c r="AD16" s="140"/>
      <c r="AE16" s="140"/>
      <c r="AF16" s="140"/>
      <c r="AG16" s="140"/>
      <c r="AH16" s="10"/>
    </row>
    <row r="17">
      <c r="A17" s="10"/>
      <c r="B17" s="141"/>
      <c r="C17" s="101"/>
      <c r="D17" s="89"/>
      <c r="E17" s="135" t="s">
        <v>153</v>
      </c>
      <c r="F17" s="136" t="s">
        <v>150</v>
      </c>
      <c r="G17" s="95"/>
      <c r="H17" s="137"/>
      <c r="I17" s="95"/>
      <c r="J17" s="95"/>
      <c r="K17" s="95"/>
      <c r="L17" s="95"/>
      <c r="M17" s="58"/>
      <c r="N17" s="95"/>
      <c r="O17" s="95"/>
      <c r="P17" s="95"/>
      <c r="Q17" s="95"/>
      <c r="R17" s="95"/>
      <c r="S17" s="94"/>
      <c r="T17" s="140"/>
      <c r="U17" s="140"/>
      <c r="V17" s="140"/>
      <c r="W17" s="71"/>
      <c r="X17" s="140"/>
      <c r="Y17" s="140"/>
      <c r="Z17" s="10"/>
      <c r="AA17" s="140"/>
      <c r="AB17" s="140"/>
      <c r="AC17" s="140"/>
      <c r="AD17" s="140"/>
      <c r="AE17" s="140"/>
      <c r="AF17" s="140"/>
      <c r="AG17" s="140"/>
      <c r="AH17" s="10"/>
    </row>
    <row r="18">
      <c r="A18" s="10"/>
      <c r="B18" s="88"/>
      <c r="C18" s="101"/>
      <c r="D18" s="89"/>
      <c r="E18" s="135" t="s">
        <v>154</v>
      </c>
      <c r="F18" s="136" t="s">
        <v>150</v>
      </c>
      <c r="G18" s="95"/>
      <c r="H18" s="137"/>
      <c r="I18" s="95"/>
      <c r="J18" s="95"/>
      <c r="K18" s="95"/>
      <c r="L18" s="95"/>
      <c r="M18" s="58"/>
      <c r="N18" s="95"/>
      <c r="O18" s="95"/>
      <c r="P18" s="95"/>
      <c r="Q18" s="95"/>
      <c r="R18" s="95"/>
      <c r="S18" s="94"/>
      <c r="T18" s="140"/>
      <c r="U18" s="140"/>
      <c r="V18" s="140"/>
      <c r="W18" s="71"/>
      <c r="X18" s="140"/>
      <c r="Y18" s="140"/>
      <c r="Z18" s="10"/>
      <c r="AA18" s="140"/>
      <c r="AB18" s="140"/>
      <c r="AC18" s="140"/>
      <c r="AD18" s="140"/>
      <c r="AE18" s="140"/>
      <c r="AF18" s="140"/>
      <c r="AG18" s="140"/>
      <c r="AH18" s="10"/>
    </row>
    <row r="19">
      <c r="A19" s="10"/>
      <c r="B19" s="88"/>
      <c r="C19" s="101"/>
      <c r="D19" s="89"/>
      <c r="E19" s="135" t="s">
        <v>155</v>
      </c>
      <c r="F19" s="136" t="s">
        <v>150</v>
      </c>
      <c r="G19" s="95"/>
      <c r="H19" s="137"/>
      <c r="I19" s="95"/>
      <c r="J19" s="95"/>
      <c r="K19" s="95"/>
      <c r="L19" s="95"/>
      <c r="M19" s="58"/>
      <c r="N19" s="95"/>
      <c r="O19" s="95"/>
      <c r="P19" s="95"/>
      <c r="Q19" s="95"/>
      <c r="R19" s="95"/>
      <c r="S19" s="94"/>
      <c r="T19" s="140"/>
      <c r="U19" s="140"/>
      <c r="V19" s="140"/>
      <c r="W19" s="71"/>
      <c r="X19" s="140"/>
      <c r="Y19" s="140"/>
      <c r="Z19" s="10"/>
      <c r="AA19" s="140"/>
      <c r="AB19" s="140"/>
      <c r="AC19" s="140"/>
      <c r="AD19" s="140"/>
      <c r="AE19" s="140"/>
      <c r="AF19" s="140"/>
      <c r="AG19" s="140"/>
      <c r="AH19" s="10"/>
    </row>
    <row r="20">
      <c r="A20" s="10"/>
      <c r="B20" s="128"/>
      <c r="C20" s="128"/>
      <c r="D20" s="129"/>
      <c r="E20" s="130" t="s">
        <v>156</v>
      </c>
      <c r="F20" s="143"/>
      <c r="G20" s="144"/>
      <c r="H20" s="144"/>
      <c r="I20" s="144"/>
      <c r="J20" s="144"/>
      <c r="K20" s="144"/>
      <c r="L20" s="144"/>
      <c r="M20" s="58"/>
      <c r="N20" s="144"/>
      <c r="O20" s="144"/>
      <c r="P20" s="144"/>
      <c r="Q20" s="144"/>
      <c r="R20" s="144"/>
      <c r="S20" s="94"/>
      <c r="T20" s="140"/>
      <c r="U20" s="140"/>
      <c r="V20" s="140"/>
      <c r="W20" s="71"/>
      <c r="X20" s="140"/>
      <c r="Y20" s="140"/>
      <c r="Z20" s="10"/>
      <c r="AA20" s="140"/>
      <c r="AB20" s="140"/>
      <c r="AC20" s="140"/>
      <c r="AD20" s="140"/>
      <c r="AE20" s="140"/>
      <c r="AF20" s="140"/>
      <c r="AG20" s="140"/>
      <c r="AH20" s="10"/>
    </row>
    <row r="21">
      <c r="A21" s="10"/>
      <c r="B21" s="141"/>
      <c r="C21" s="101"/>
      <c r="D21" s="89"/>
      <c r="E21" s="135" t="s">
        <v>157</v>
      </c>
      <c r="F21" s="136" t="s">
        <v>150</v>
      </c>
      <c r="G21" s="95"/>
      <c r="H21" s="137"/>
      <c r="I21" s="95"/>
      <c r="J21" s="95"/>
      <c r="K21" s="95"/>
      <c r="L21" s="95"/>
      <c r="M21" s="58"/>
      <c r="N21" s="95"/>
      <c r="O21" s="95"/>
      <c r="P21" s="95"/>
      <c r="Q21" s="95"/>
      <c r="R21" s="95"/>
      <c r="S21" s="94"/>
      <c r="T21" s="98"/>
      <c r="U21" s="98"/>
      <c r="V21" s="98"/>
      <c r="W21" s="71"/>
      <c r="X21" s="140"/>
      <c r="Y21" s="140"/>
      <c r="Z21" s="10"/>
      <c r="AA21" s="140"/>
      <c r="AB21" s="140"/>
      <c r="AC21" s="140"/>
      <c r="AD21" s="140"/>
      <c r="AE21" s="140"/>
      <c r="AF21" s="140"/>
      <c r="AG21" s="140"/>
      <c r="AH21" s="10"/>
    </row>
    <row r="22">
      <c r="A22" s="10"/>
      <c r="B22" s="141"/>
      <c r="C22" s="101"/>
      <c r="D22" s="89"/>
      <c r="E22" s="135" t="s">
        <v>158</v>
      </c>
      <c r="F22" s="136" t="s">
        <v>150</v>
      </c>
      <c r="G22" s="95"/>
      <c r="H22" s="137"/>
      <c r="I22" s="95"/>
      <c r="J22" s="95"/>
      <c r="K22" s="95"/>
      <c r="L22" s="95"/>
      <c r="M22" s="58"/>
      <c r="N22" s="95"/>
      <c r="O22" s="95"/>
      <c r="P22" s="95"/>
      <c r="Q22" s="95"/>
      <c r="R22" s="95"/>
      <c r="S22" s="94"/>
      <c r="T22" s="98"/>
      <c r="U22" s="98"/>
      <c r="V22" s="98"/>
      <c r="W22" s="71"/>
      <c r="X22" s="140"/>
      <c r="Y22" s="140"/>
      <c r="Z22" s="10"/>
      <c r="AA22" s="140"/>
      <c r="AB22" s="140"/>
      <c r="AC22" s="140"/>
      <c r="AD22" s="140"/>
      <c r="AE22" s="140"/>
      <c r="AF22" s="140"/>
      <c r="AG22" s="140"/>
      <c r="AH22" s="10"/>
    </row>
    <row r="23">
      <c r="A23" s="10"/>
      <c r="B23" s="141"/>
      <c r="C23" s="101"/>
      <c r="D23" s="89"/>
      <c r="E23" s="135" t="s">
        <v>159</v>
      </c>
      <c r="F23" s="136" t="s">
        <v>150</v>
      </c>
      <c r="G23" s="95"/>
      <c r="H23" s="137"/>
      <c r="I23" s="95"/>
      <c r="J23" s="95"/>
      <c r="K23" s="95"/>
      <c r="L23" s="95"/>
      <c r="M23" s="58"/>
      <c r="N23" s="95"/>
      <c r="O23" s="95"/>
      <c r="P23" s="95"/>
      <c r="Q23" s="95"/>
      <c r="R23" s="95"/>
      <c r="S23" s="94"/>
      <c r="T23" s="98"/>
      <c r="U23" s="98"/>
      <c r="V23" s="98"/>
      <c r="W23" s="71"/>
      <c r="X23" s="140"/>
      <c r="Y23" s="140"/>
      <c r="Z23" s="10"/>
      <c r="AA23" s="140"/>
      <c r="AB23" s="140"/>
      <c r="AC23" s="140"/>
      <c r="AD23" s="140"/>
      <c r="AE23" s="140"/>
      <c r="AF23" s="140"/>
      <c r="AG23" s="140"/>
      <c r="AH23" s="10"/>
    </row>
    <row r="24">
      <c r="A24" s="10"/>
      <c r="B24" s="141"/>
      <c r="C24" s="101"/>
      <c r="D24" s="89"/>
      <c r="E24" s="135" t="s">
        <v>160</v>
      </c>
      <c r="F24" s="136" t="s">
        <v>150</v>
      </c>
      <c r="G24" s="95"/>
      <c r="H24" s="137"/>
      <c r="I24" s="95"/>
      <c r="J24" s="95"/>
      <c r="K24" s="95"/>
      <c r="L24" s="95"/>
      <c r="M24" s="58"/>
      <c r="N24" s="95"/>
      <c r="O24" s="95"/>
      <c r="P24" s="95"/>
      <c r="Q24" s="95"/>
      <c r="R24" s="95"/>
      <c r="S24" s="94"/>
      <c r="T24" s="98"/>
      <c r="U24" s="98"/>
      <c r="V24" s="98"/>
      <c r="W24" s="71"/>
      <c r="X24" s="140"/>
      <c r="Y24" s="140"/>
      <c r="Z24" s="10"/>
      <c r="AA24" s="140"/>
      <c r="AB24" s="140"/>
      <c r="AC24" s="140"/>
      <c r="AD24" s="140"/>
      <c r="AE24" s="140"/>
      <c r="AF24" s="140"/>
      <c r="AG24" s="140"/>
      <c r="AH24" s="10"/>
    </row>
    <row r="25">
      <c r="A25" s="10"/>
      <c r="B25" s="128"/>
      <c r="C25" s="128"/>
      <c r="D25" s="129"/>
      <c r="E25" s="130" t="s">
        <v>161</v>
      </c>
      <c r="F25" s="143"/>
      <c r="G25" s="144"/>
      <c r="H25" s="144"/>
      <c r="I25" s="145"/>
      <c r="J25" s="145"/>
      <c r="K25" s="145"/>
      <c r="L25" s="145"/>
      <c r="M25" s="58"/>
      <c r="N25" s="144"/>
      <c r="O25" s="144"/>
      <c r="P25" s="144"/>
      <c r="Q25" s="144"/>
      <c r="R25" s="144"/>
      <c r="S25" s="94"/>
      <c r="T25" s="98"/>
      <c r="U25" s="98"/>
      <c r="V25" s="98"/>
      <c r="W25" s="71"/>
      <c r="X25" s="140"/>
      <c r="Y25" s="140"/>
      <c r="Z25" s="10"/>
      <c r="AA25" s="140"/>
      <c r="AB25" s="140"/>
      <c r="AC25" s="140"/>
      <c r="AD25" s="140"/>
      <c r="AE25" s="140"/>
      <c r="AF25" s="140"/>
      <c r="AG25" s="140"/>
      <c r="AH25" s="10"/>
    </row>
    <row r="26">
      <c r="A26" s="10"/>
      <c r="B26" s="141"/>
      <c r="C26" s="101"/>
      <c r="D26" s="89"/>
      <c r="E26" s="135" t="s">
        <v>162</v>
      </c>
      <c r="F26" s="136" t="s">
        <v>150</v>
      </c>
      <c r="G26" s="95"/>
      <c r="H26" s="137"/>
      <c r="I26" s="95"/>
      <c r="J26" s="95"/>
      <c r="K26" s="95"/>
      <c r="L26" s="95"/>
      <c r="M26" s="58"/>
      <c r="N26" s="95"/>
      <c r="O26" s="95"/>
      <c r="P26" s="95"/>
      <c r="Q26" s="95"/>
      <c r="R26" s="95"/>
      <c r="S26" s="94"/>
      <c r="T26" s="98"/>
      <c r="U26" s="98"/>
      <c r="V26" s="98"/>
      <c r="W26" s="71"/>
      <c r="X26" s="140"/>
      <c r="Y26" s="140"/>
      <c r="Z26" s="10"/>
      <c r="AA26" s="140"/>
      <c r="AB26" s="140"/>
      <c r="AC26" s="140"/>
      <c r="AD26" s="140"/>
      <c r="AE26" s="140"/>
      <c r="AF26" s="140"/>
      <c r="AG26" s="140"/>
      <c r="AH26" s="10"/>
    </row>
    <row r="27">
      <c r="A27" s="10"/>
      <c r="B27" s="141"/>
      <c r="C27" s="101"/>
      <c r="D27" s="89"/>
      <c r="E27" s="135" t="s">
        <v>163</v>
      </c>
      <c r="F27" s="136" t="s">
        <v>150</v>
      </c>
      <c r="G27" s="95"/>
      <c r="H27" s="137"/>
      <c r="I27" s="95"/>
      <c r="J27" s="95"/>
      <c r="K27" s="95"/>
      <c r="L27" s="95"/>
      <c r="M27" s="58"/>
      <c r="N27" s="95"/>
      <c r="O27" s="95"/>
      <c r="P27" s="95"/>
      <c r="Q27" s="95"/>
      <c r="R27" s="95"/>
      <c r="S27" s="94"/>
      <c r="T27" s="98"/>
      <c r="U27" s="98"/>
      <c r="V27" s="98"/>
      <c r="W27" s="71"/>
      <c r="X27" s="140"/>
      <c r="Y27" s="140"/>
      <c r="Z27" s="10"/>
      <c r="AA27" s="140"/>
      <c r="AB27" s="140"/>
      <c r="AC27" s="140"/>
      <c r="AD27" s="140"/>
      <c r="AE27" s="140"/>
      <c r="AF27" s="140"/>
      <c r="AG27" s="140"/>
      <c r="AH27" s="10"/>
    </row>
    <row r="28">
      <c r="A28" s="10"/>
      <c r="B28" s="88"/>
      <c r="C28" s="101"/>
      <c r="D28" s="146"/>
      <c r="E28" s="135" t="s">
        <v>164</v>
      </c>
      <c r="F28" s="136" t="s">
        <v>150</v>
      </c>
      <c r="G28" s="95"/>
      <c r="H28" s="137"/>
      <c r="I28" s="95"/>
      <c r="J28" s="95"/>
      <c r="K28" s="139" t="s">
        <v>151</v>
      </c>
      <c r="L28" s="139" t="s">
        <v>151</v>
      </c>
      <c r="M28" s="58"/>
      <c r="N28" s="95"/>
      <c r="O28" s="95"/>
      <c r="P28" s="95"/>
      <c r="Q28" s="139" t="s">
        <v>151</v>
      </c>
      <c r="R28" s="139" t="s">
        <v>151</v>
      </c>
      <c r="S28" s="94"/>
      <c r="T28" s="98"/>
      <c r="U28" s="98"/>
      <c r="V28" s="98"/>
      <c r="W28" s="71"/>
      <c r="X28" s="140"/>
      <c r="Y28" s="140"/>
      <c r="Z28" s="10"/>
      <c r="AA28" s="140"/>
      <c r="AB28" s="140"/>
      <c r="AC28" s="140"/>
      <c r="AD28" s="140"/>
      <c r="AE28" s="140"/>
      <c r="AF28" s="140"/>
      <c r="AG28" s="140"/>
      <c r="AH28" s="10"/>
    </row>
    <row r="29">
      <c r="A29" s="10"/>
      <c r="B29" s="88"/>
      <c r="C29" s="101"/>
      <c r="D29" s="146"/>
      <c r="E29" s="135" t="s">
        <v>165</v>
      </c>
      <c r="F29" s="136" t="s">
        <v>150</v>
      </c>
      <c r="G29" s="95"/>
      <c r="H29" s="137"/>
      <c r="I29" s="95"/>
      <c r="J29" s="95"/>
      <c r="K29" s="139" t="s">
        <v>151</v>
      </c>
      <c r="L29" s="139" t="s">
        <v>151</v>
      </c>
      <c r="M29" s="58"/>
      <c r="N29" s="95"/>
      <c r="O29" s="95"/>
      <c r="P29" s="95"/>
      <c r="Q29" s="139" t="s">
        <v>151</v>
      </c>
      <c r="R29" s="139" t="s">
        <v>151</v>
      </c>
      <c r="S29" s="94"/>
      <c r="T29" s="98"/>
      <c r="U29" s="98"/>
      <c r="V29" s="98"/>
      <c r="W29" s="71"/>
      <c r="X29" s="140"/>
      <c r="Y29" s="140"/>
      <c r="Z29" s="10"/>
      <c r="AA29" s="140"/>
      <c r="AB29" s="140"/>
      <c r="AC29" s="140"/>
      <c r="AD29" s="140"/>
      <c r="AE29" s="140"/>
      <c r="AF29" s="140"/>
      <c r="AG29" s="140"/>
      <c r="AH29" s="10"/>
    </row>
    <row r="30">
      <c r="A30" s="10"/>
      <c r="B30" s="128"/>
      <c r="C30" s="128"/>
      <c r="D30" s="129"/>
      <c r="E30" s="130" t="s">
        <v>166</v>
      </c>
      <c r="F30" s="143"/>
      <c r="G30" s="144"/>
      <c r="H30" s="144"/>
      <c r="I30" s="145"/>
      <c r="J30" s="145"/>
      <c r="K30" s="145"/>
      <c r="L30" s="145"/>
      <c r="M30" s="58"/>
      <c r="N30" s="144"/>
      <c r="O30" s="144"/>
      <c r="P30" s="144"/>
      <c r="Q30" s="144"/>
      <c r="R30" s="144"/>
      <c r="S30" s="94"/>
      <c r="T30" s="98"/>
      <c r="U30" s="98"/>
      <c r="V30" s="98"/>
      <c r="W30" s="71"/>
      <c r="X30" s="140"/>
      <c r="Y30" s="140"/>
      <c r="Z30" s="10"/>
      <c r="AA30" s="140"/>
      <c r="AB30" s="140"/>
      <c r="AC30" s="140"/>
      <c r="AD30" s="140"/>
      <c r="AE30" s="140"/>
      <c r="AF30" s="140"/>
      <c r="AG30" s="140"/>
      <c r="AH30" s="10"/>
    </row>
    <row r="31">
      <c r="A31" s="10"/>
      <c r="B31" s="141"/>
      <c r="C31" s="101"/>
      <c r="D31" s="89"/>
      <c r="E31" s="135" t="s">
        <v>167</v>
      </c>
      <c r="F31" s="136" t="s">
        <v>150</v>
      </c>
      <c r="G31" s="95"/>
      <c r="H31" s="137"/>
      <c r="I31" s="95"/>
      <c r="J31" s="95"/>
      <c r="K31" s="95"/>
      <c r="L31" s="95"/>
      <c r="M31" s="58"/>
      <c r="N31" s="95"/>
      <c r="O31" s="95"/>
      <c r="P31" s="95"/>
      <c r="Q31" s="95"/>
      <c r="R31" s="95"/>
      <c r="S31" s="94"/>
      <c r="T31" s="98"/>
      <c r="U31" s="98"/>
      <c r="V31" s="98"/>
      <c r="W31" s="71"/>
      <c r="X31" s="140"/>
      <c r="Y31" s="140"/>
      <c r="Z31" s="10"/>
      <c r="AA31" s="140"/>
      <c r="AB31" s="140"/>
      <c r="AC31" s="140"/>
      <c r="AD31" s="140"/>
      <c r="AE31" s="140"/>
      <c r="AF31" s="140"/>
      <c r="AG31" s="140"/>
      <c r="AH31" s="10"/>
    </row>
    <row r="32">
      <c r="A32" s="10"/>
      <c r="B32" s="141"/>
      <c r="C32" s="101"/>
      <c r="D32" s="89"/>
      <c r="E32" s="135" t="s">
        <v>168</v>
      </c>
      <c r="F32" s="136" t="s">
        <v>150</v>
      </c>
      <c r="G32" s="95"/>
      <c r="H32" s="137"/>
      <c r="I32" s="95"/>
      <c r="J32" s="95"/>
      <c r="K32" s="95"/>
      <c r="L32" s="95"/>
      <c r="M32" s="58"/>
      <c r="N32" s="95"/>
      <c r="O32" s="95"/>
      <c r="P32" s="95"/>
      <c r="Q32" s="95"/>
      <c r="R32" s="95"/>
      <c r="S32" s="94"/>
      <c r="T32" s="98"/>
      <c r="U32" s="98"/>
      <c r="V32" s="98"/>
      <c r="W32" s="71"/>
      <c r="X32" s="140"/>
      <c r="Y32" s="140"/>
      <c r="Z32" s="10"/>
      <c r="AA32" s="140"/>
      <c r="AB32" s="140"/>
      <c r="AC32" s="140"/>
      <c r="AD32" s="140"/>
      <c r="AE32" s="140"/>
      <c r="AF32" s="140"/>
      <c r="AG32" s="140"/>
      <c r="AH32" s="10"/>
    </row>
    <row r="33">
      <c r="A33" s="10"/>
      <c r="B33" s="141"/>
      <c r="C33" s="101"/>
      <c r="D33" s="146"/>
      <c r="E33" s="135" t="s">
        <v>169</v>
      </c>
      <c r="F33" s="136" t="s">
        <v>150</v>
      </c>
      <c r="G33" s="95"/>
      <c r="H33" s="137"/>
      <c r="I33" s="95"/>
      <c r="J33" s="95"/>
      <c r="K33" s="139" t="s">
        <v>151</v>
      </c>
      <c r="L33" s="139" t="s">
        <v>151</v>
      </c>
      <c r="M33" s="58"/>
      <c r="N33" s="95"/>
      <c r="O33" s="95"/>
      <c r="P33" s="95"/>
      <c r="Q33" s="139" t="s">
        <v>151</v>
      </c>
      <c r="R33" s="139" t="s">
        <v>151</v>
      </c>
      <c r="S33" s="94"/>
      <c r="T33" s="98"/>
      <c r="U33" s="98"/>
      <c r="V33" s="98"/>
      <c r="W33" s="71"/>
      <c r="X33" s="140"/>
      <c r="Y33" s="140"/>
      <c r="Z33" s="10"/>
      <c r="AA33" s="140"/>
      <c r="AB33" s="140"/>
      <c r="AC33" s="140"/>
      <c r="AD33" s="140"/>
      <c r="AE33" s="140"/>
      <c r="AF33" s="140"/>
      <c r="AG33" s="140"/>
      <c r="AH33" s="10"/>
    </row>
    <row r="34">
      <c r="A34" s="10"/>
      <c r="B34" s="128"/>
      <c r="C34" s="128"/>
      <c r="D34" s="129"/>
      <c r="E34" s="130" t="s">
        <v>170</v>
      </c>
      <c r="F34" s="143"/>
      <c r="G34" s="144"/>
      <c r="H34" s="144"/>
      <c r="I34" s="144"/>
      <c r="J34" s="144"/>
      <c r="K34" s="144"/>
      <c r="L34" s="144"/>
      <c r="M34" s="58"/>
      <c r="N34" s="144"/>
      <c r="O34" s="144"/>
      <c r="P34" s="144"/>
      <c r="Q34" s="144"/>
      <c r="R34" s="144"/>
      <c r="S34" s="94"/>
      <c r="T34" s="98"/>
      <c r="U34" s="98"/>
      <c r="V34" s="98"/>
      <c r="W34" s="71"/>
      <c r="X34" s="140"/>
      <c r="Y34" s="140"/>
      <c r="Z34" s="10"/>
      <c r="AA34" s="140"/>
      <c r="AB34" s="140"/>
      <c r="AC34" s="140"/>
      <c r="AD34" s="140"/>
      <c r="AE34" s="140"/>
      <c r="AF34" s="140"/>
      <c r="AG34" s="140"/>
      <c r="AH34" s="10"/>
    </row>
    <row r="35">
      <c r="A35" s="10"/>
      <c r="B35" s="141"/>
      <c r="C35" s="101"/>
      <c r="D35" s="89"/>
      <c r="E35" s="135" t="s">
        <v>171</v>
      </c>
      <c r="F35" s="136" t="s">
        <v>150</v>
      </c>
      <c r="G35" s="95"/>
      <c r="H35" s="137"/>
      <c r="I35" s="95"/>
      <c r="J35" s="95"/>
      <c r="K35" s="95"/>
      <c r="L35" s="95"/>
      <c r="M35" s="58"/>
      <c r="N35" s="95"/>
      <c r="O35" s="95"/>
      <c r="P35" s="95"/>
      <c r="Q35" s="95"/>
      <c r="R35" s="95"/>
      <c r="S35" s="94"/>
      <c r="T35" s="98"/>
      <c r="U35" s="98"/>
      <c r="V35" s="98"/>
      <c r="W35" s="71"/>
      <c r="X35" s="140"/>
      <c r="Y35" s="140"/>
      <c r="Z35" s="10"/>
      <c r="AA35" s="140"/>
      <c r="AB35" s="140"/>
      <c r="AC35" s="140"/>
      <c r="AD35" s="140"/>
      <c r="AE35" s="140"/>
      <c r="AF35" s="140"/>
      <c r="AG35" s="140"/>
      <c r="AH35" s="10"/>
    </row>
    <row r="36">
      <c r="A36" s="10"/>
      <c r="B36" s="88"/>
      <c r="C36" s="101"/>
      <c r="D36" s="89"/>
      <c r="E36" s="135" t="s">
        <v>172</v>
      </c>
      <c r="F36" s="136" t="s">
        <v>150</v>
      </c>
      <c r="G36" s="95"/>
      <c r="H36" s="137"/>
      <c r="I36" s="95"/>
      <c r="J36" s="95"/>
      <c r="K36" s="95"/>
      <c r="L36" s="95"/>
      <c r="M36" s="58"/>
      <c r="N36" s="95"/>
      <c r="O36" s="95"/>
      <c r="P36" s="95"/>
      <c r="Q36" s="95"/>
      <c r="R36" s="95"/>
      <c r="S36" s="94"/>
      <c r="T36" s="98"/>
      <c r="U36" s="98"/>
      <c r="V36" s="98"/>
      <c r="W36" s="71"/>
      <c r="X36" s="140"/>
      <c r="Y36" s="140"/>
      <c r="Z36" s="10"/>
      <c r="AA36" s="140"/>
      <c r="AB36" s="140"/>
      <c r="AC36" s="140"/>
      <c r="AD36" s="140"/>
      <c r="AE36" s="140"/>
      <c r="AF36" s="140"/>
      <c r="AG36" s="140"/>
      <c r="AH36" s="10"/>
    </row>
    <row r="37">
      <c r="A37" s="10"/>
      <c r="B37" s="88"/>
      <c r="C37" s="101"/>
      <c r="D37" s="89"/>
      <c r="E37" s="135" t="s">
        <v>173</v>
      </c>
      <c r="F37" s="136" t="s">
        <v>150</v>
      </c>
      <c r="G37" s="95"/>
      <c r="H37" s="137"/>
      <c r="I37" s="95"/>
      <c r="J37" s="95"/>
      <c r="K37" s="95"/>
      <c r="L37" s="95"/>
      <c r="M37" s="58"/>
      <c r="N37" s="95"/>
      <c r="O37" s="95"/>
      <c r="P37" s="95"/>
      <c r="Q37" s="95"/>
      <c r="R37" s="95"/>
      <c r="S37" s="94"/>
      <c r="T37" s="98"/>
      <c r="U37" s="98"/>
      <c r="V37" s="98"/>
      <c r="W37" s="71"/>
      <c r="X37" s="140"/>
      <c r="Y37" s="140"/>
      <c r="Z37" s="10"/>
      <c r="AA37" s="140"/>
      <c r="AB37" s="140"/>
      <c r="AC37" s="140"/>
      <c r="AD37" s="140"/>
      <c r="AE37" s="140"/>
      <c r="AF37" s="140"/>
      <c r="AG37" s="140"/>
      <c r="AH37" s="10"/>
    </row>
    <row r="38">
      <c r="A38" s="10"/>
      <c r="B38" s="141"/>
      <c r="C38" s="101"/>
      <c r="D38" s="89"/>
      <c r="E38" s="135" t="s">
        <v>174</v>
      </c>
      <c r="F38" s="136" t="s">
        <v>150</v>
      </c>
      <c r="G38" s="95"/>
      <c r="H38" s="137"/>
      <c r="I38" s="95"/>
      <c r="J38" s="95"/>
      <c r="K38" s="95"/>
      <c r="L38" s="95"/>
      <c r="M38" s="58"/>
      <c r="N38" s="95"/>
      <c r="O38" s="95"/>
      <c r="P38" s="95"/>
      <c r="Q38" s="95"/>
      <c r="R38" s="95"/>
      <c r="S38" s="94"/>
      <c r="T38" s="98"/>
      <c r="U38" s="98"/>
      <c r="V38" s="98"/>
      <c r="W38" s="71"/>
      <c r="X38" s="140"/>
      <c r="Y38" s="140"/>
      <c r="Z38" s="10"/>
      <c r="AA38" s="140"/>
      <c r="AB38" s="140"/>
      <c r="AC38" s="140"/>
      <c r="AD38" s="140"/>
      <c r="AE38" s="140"/>
      <c r="AF38" s="140"/>
      <c r="AG38" s="140"/>
      <c r="AH38" s="10"/>
    </row>
    <row r="39">
      <c r="A39" s="10"/>
      <c r="B39" s="128"/>
      <c r="C39" s="128"/>
      <c r="D39" s="129"/>
      <c r="E39" s="130" t="s">
        <v>175</v>
      </c>
      <c r="F39" s="143"/>
      <c r="G39" s="144"/>
      <c r="H39" s="144"/>
      <c r="I39" s="144"/>
      <c r="J39" s="144"/>
      <c r="K39" s="144"/>
      <c r="L39" s="144"/>
      <c r="M39" s="58"/>
      <c r="N39" s="144"/>
      <c r="O39" s="144"/>
      <c r="P39" s="144"/>
      <c r="Q39" s="144"/>
      <c r="R39" s="144"/>
      <c r="S39" s="94"/>
      <c r="T39" s="98"/>
      <c r="U39" s="98"/>
      <c r="V39" s="98"/>
      <c r="W39" s="71"/>
      <c r="X39" s="140"/>
      <c r="Y39" s="140"/>
      <c r="Z39" s="10"/>
      <c r="AA39" s="140"/>
      <c r="AB39" s="140"/>
      <c r="AC39" s="140"/>
      <c r="AD39" s="140"/>
      <c r="AE39" s="140"/>
      <c r="AF39" s="140"/>
      <c r="AG39" s="140"/>
      <c r="AH39" s="10"/>
    </row>
    <row r="40">
      <c r="A40" s="10"/>
      <c r="B40" s="88"/>
      <c r="C40" s="101"/>
      <c r="D40" s="89"/>
      <c r="E40" s="135" t="s">
        <v>176</v>
      </c>
      <c r="F40" s="136" t="s">
        <v>150</v>
      </c>
      <c r="G40" s="95"/>
      <c r="H40" s="137"/>
      <c r="I40" s="95"/>
      <c r="J40" s="95"/>
      <c r="K40" s="95"/>
      <c r="L40" s="95"/>
      <c r="M40" s="58"/>
      <c r="N40" s="95"/>
      <c r="O40" s="95"/>
      <c r="P40" s="95"/>
      <c r="Q40" s="95"/>
      <c r="R40" s="95"/>
      <c r="S40" s="94"/>
      <c r="T40" s="98"/>
      <c r="U40" s="98"/>
      <c r="V40" s="98"/>
      <c r="W40" s="71"/>
      <c r="X40" s="140"/>
      <c r="Y40" s="140"/>
      <c r="Z40" s="10"/>
      <c r="AA40" s="140"/>
      <c r="AB40" s="140"/>
      <c r="AC40" s="140"/>
      <c r="AD40" s="140"/>
      <c r="AE40" s="140"/>
      <c r="AF40" s="140"/>
      <c r="AG40" s="140"/>
      <c r="AH40" s="10"/>
    </row>
    <row r="41">
      <c r="A41" s="10"/>
      <c r="B41" s="88"/>
      <c r="C41" s="101"/>
      <c r="D41" s="89"/>
      <c r="E41" s="135" t="s">
        <v>177</v>
      </c>
      <c r="F41" s="136" t="s">
        <v>150</v>
      </c>
      <c r="G41" s="95"/>
      <c r="H41" s="137"/>
      <c r="I41" s="95"/>
      <c r="J41" s="95"/>
      <c r="K41" s="95"/>
      <c r="L41" s="95"/>
      <c r="M41" s="58"/>
      <c r="N41" s="95"/>
      <c r="O41" s="95"/>
      <c r="P41" s="95"/>
      <c r="Q41" s="95"/>
      <c r="R41" s="95"/>
      <c r="S41" s="94"/>
      <c r="T41" s="98"/>
      <c r="U41" s="98"/>
      <c r="V41" s="98"/>
      <c r="W41" s="71"/>
      <c r="X41" s="140"/>
      <c r="Y41" s="140"/>
      <c r="Z41" s="10"/>
      <c r="AA41" s="140"/>
      <c r="AB41" s="140"/>
      <c r="AC41" s="140"/>
      <c r="AD41" s="140"/>
      <c r="AE41" s="140"/>
      <c r="AF41" s="140"/>
      <c r="AG41" s="140"/>
      <c r="AH41" s="10"/>
    </row>
    <row r="42">
      <c r="A42" s="10"/>
      <c r="B42" s="128"/>
      <c r="C42" s="128"/>
      <c r="D42" s="129"/>
      <c r="E42" s="130" t="s">
        <v>178</v>
      </c>
      <c r="F42" s="143"/>
      <c r="G42" s="144"/>
      <c r="H42" s="144"/>
      <c r="I42" s="144"/>
      <c r="J42" s="144"/>
      <c r="K42" s="144"/>
      <c r="L42" s="144"/>
      <c r="M42" s="58"/>
      <c r="N42" s="144"/>
      <c r="O42" s="144"/>
      <c r="P42" s="144"/>
      <c r="Q42" s="144"/>
      <c r="R42" s="144"/>
      <c r="S42" s="94"/>
      <c r="T42" s="98"/>
      <c r="U42" s="98"/>
      <c r="V42" s="98"/>
      <c r="W42" s="71"/>
      <c r="X42" s="140"/>
      <c r="Y42" s="140"/>
      <c r="Z42" s="10"/>
      <c r="AA42" s="140"/>
      <c r="AB42" s="140"/>
      <c r="AC42" s="140"/>
      <c r="AD42" s="140"/>
      <c r="AE42" s="140"/>
      <c r="AF42" s="140"/>
      <c r="AG42" s="140"/>
      <c r="AH42" s="10"/>
    </row>
    <row r="43">
      <c r="A43" s="10"/>
      <c r="B43" s="141"/>
      <c r="C43" s="101"/>
      <c r="D43" s="146"/>
      <c r="E43" s="135" t="s">
        <v>179</v>
      </c>
      <c r="F43" s="136" t="s">
        <v>150</v>
      </c>
      <c r="G43" s="95"/>
      <c r="H43" s="137"/>
      <c r="I43" s="95"/>
      <c r="J43" s="95"/>
      <c r="K43" s="139" t="s">
        <v>151</v>
      </c>
      <c r="L43" s="139" t="s">
        <v>151</v>
      </c>
      <c r="M43" s="58"/>
      <c r="N43" s="95"/>
      <c r="O43" s="95"/>
      <c r="P43" s="95"/>
      <c r="Q43" s="139" t="s">
        <v>151</v>
      </c>
      <c r="R43" s="139" t="s">
        <v>151</v>
      </c>
      <c r="S43" s="94"/>
      <c r="T43" s="98"/>
      <c r="U43" s="98"/>
      <c r="V43" s="98"/>
      <c r="W43" s="71"/>
      <c r="X43" s="140"/>
      <c r="Y43" s="140"/>
      <c r="Z43" s="10"/>
      <c r="AA43" s="140"/>
      <c r="AB43" s="140"/>
      <c r="AC43" s="140"/>
      <c r="AD43" s="140"/>
      <c r="AE43" s="140"/>
      <c r="AF43" s="140"/>
      <c r="AG43" s="140"/>
      <c r="AH43" s="10"/>
    </row>
    <row r="44">
      <c r="A44" s="10"/>
      <c r="B44" s="141"/>
      <c r="C44" s="101"/>
      <c r="D44" s="146"/>
      <c r="E44" s="135" t="s">
        <v>180</v>
      </c>
      <c r="F44" s="136" t="s">
        <v>150</v>
      </c>
      <c r="G44" s="95"/>
      <c r="H44" s="137"/>
      <c r="I44" s="95"/>
      <c r="J44" s="95"/>
      <c r="K44" s="139" t="s">
        <v>151</v>
      </c>
      <c r="L44" s="139" t="s">
        <v>151</v>
      </c>
      <c r="M44" s="58"/>
      <c r="N44" s="95"/>
      <c r="O44" s="95"/>
      <c r="P44" s="95"/>
      <c r="Q44" s="139" t="s">
        <v>151</v>
      </c>
      <c r="R44" s="139" t="s">
        <v>151</v>
      </c>
      <c r="S44" s="94"/>
      <c r="T44" s="98"/>
      <c r="U44" s="98"/>
      <c r="V44" s="98"/>
      <c r="W44" s="71"/>
      <c r="X44" s="140"/>
      <c r="Y44" s="140"/>
      <c r="Z44" s="10"/>
      <c r="AA44" s="140"/>
      <c r="AB44" s="140"/>
      <c r="AC44" s="140"/>
      <c r="AD44" s="140"/>
      <c r="AE44" s="140"/>
      <c r="AF44" s="140"/>
      <c r="AG44" s="140"/>
      <c r="AH44" s="10"/>
    </row>
    <row r="45">
      <c r="A45" s="10"/>
      <c r="B45" s="128"/>
      <c r="C45" s="128"/>
      <c r="D45" s="129"/>
      <c r="E45" s="130" t="s">
        <v>181</v>
      </c>
      <c r="F45" s="143"/>
      <c r="G45" s="144"/>
      <c r="H45" s="144"/>
      <c r="I45" s="145"/>
      <c r="J45" s="145"/>
      <c r="K45" s="145"/>
      <c r="L45" s="145"/>
      <c r="M45" s="58"/>
      <c r="N45" s="144"/>
      <c r="O45" s="144"/>
      <c r="P45" s="144"/>
      <c r="Q45" s="144"/>
      <c r="R45" s="144"/>
      <c r="S45" s="94"/>
      <c r="T45" s="98"/>
      <c r="U45" s="98"/>
      <c r="V45" s="98"/>
      <c r="W45" s="71"/>
      <c r="X45" s="140"/>
      <c r="Y45" s="140"/>
      <c r="Z45" s="10"/>
      <c r="AA45" s="140"/>
      <c r="AB45" s="140"/>
      <c r="AC45" s="140"/>
      <c r="AD45" s="140"/>
      <c r="AE45" s="140"/>
      <c r="AF45" s="140"/>
      <c r="AG45" s="140"/>
      <c r="AH45" s="10"/>
    </row>
    <row r="46">
      <c r="A46" s="10"/>
      <c r="B46" s="101"/>
      <c r="C46" s="101"/>
      <c r="D46" s="146"/>
      <c r="E46" s="135" t="s">
        <v>56</v>
      </c>
      <c r="F46" s="136" t="s">
        <v>150</v>
      </c>
      <c r="G46" s="95"/>
      <c r="H46" s="137"/>
      <c r="I46" s="95"/>
      <c r="J46" s="95"/>
      <c r="K46" s="139" t="s">
        <v>151</v>
      </c>
      <c r="L46" s="139" t="s">
        <v>151</v>
      </c>
      <c r="M46" s="58"/>
      <c r="N46" s="95"/>
      <c r="O46" s="95"/>
      <c r="P46" s="95"/>
      <c r="Q46" s="139" t="s">
        <v>151</v>
      </c>
      <c r="R46" s="139" t="s">
        <v>151</v>
      </c>
      <c r="S46" s="94"/>
      <c r="T46" s="140"/>
      <c r="U46" s="98"/>
      <c r="V46" s="98"/>
      <c r="W46" s="71"/>
      <c r="X46" s="140"/>
      <c r="Y46" s="140"/>
      <c r="Z46" s="10"/>
      <c r="AA46" s="140"/>
      <c r="AB46" s="140"/>
      <c r="AC46" s="140"/>
      <c r="AD46" s="140"/>
      <c r="AE46" s="140"/>
      <c r="AF46" s="140"/>
      <c r="AG46" s="140"/>
      <c r="AH46" s="10"/>
    </row>
    <row r="47">
      <c r="A47" s="10"/>
      <c r="B47" s="101"/>
      <c r="C47" s="101"/>
      <c r="D47" s="89"/>
      <c r="E47" s="135" t="s">
        <v>50</v>
      </c>
      <c r="F47" s="136" t="s">
        <v>150</v>
      </c>
      <c r="G47" s="95"/>
      <c r="H47" s="137"/>
      <c r="I47" s="95"/>
      <c r="J47" s="95"/>
      <c r="K47" s="95"/>
      <c r="L47" s="95"/>
      <c r="M47" s="58"/>
      <c r="N47" s="95"/>
      <c r="O47" s="95"/>
      <c r="P47" s="95"/>
      <c r="Q47" s="95"/>
      <c r="R47" s="95"/>
      <c r="S47" s="94"/>
      <c r="T47" s="98"/>
      <c r="U47" s="98"/>
      <c r="V47" s="98"/>
      <c r="W47" s="71"/>
      <c r="X47" s="140"/>
      <c r="Y47" s="140"/>
      <c r="Z47" s="10"/>
      <c r="AA47" s="140"/>
      <c r="AB47" s="140"/>
      <c r="AC47" s="140"/>
      <c r="AD47" s="140"/>
      <c r="AE47" s="140"/>
      <c r="AF47" s="140"/>
      <c r="AG47" s="140"/>
      <c r="AH47" s="10"/>
    </row>
    <row r="48">
      <c r="A48" s="10"/>
      <c r="B48" s="101"/>
      <c r="C48" s="101"/>
      <c r="D48" s="89"/>
      <c r="E48" s="142" t="s">
        <v>51</v>
      </c>
      <c r="F48" s="136" t="s">
        <v>150</v>
      </c>
      <c r="G48" s="95"/>
      <c r="H48" s="137"/>
      <c r="I48" s="95"/>
      <c r="J48" s="139" t="s">
        <v>151</v>
      </c>
      <c r="K48" s="139" t="s">
        <v>151</v>
      </c>
      <c r="L48" s="139" t="s">
        <v>151</v>
      </c>
      <c r="M48" s="58"/>
      <c r="N48" s="95"/>
      <c r="O48" s="95"/>
      <c r="P48" s="139" t="s">
        <v>151</v>
      </c>
      <c r="Q48" s="139" t="s">
        <v>151</v>
      </c>
      <c r="R48" s="139" t="s">
        <v>151</v>
      </c>
      <c r="S48" s="94"/>
      <c r="T48" s="140"/>
      <c r="U48" s="98"/>
      <c r="V48" s="98"/>
      <c r="W48" s="71"/>
      <c r="X48" s="140"/>
      <c r="Y48" s="140"/>
      <c r="Z48" s="10"/>
      <c r="AA48" s="140"/>
      <c r="AB48" s="140"/>
      <c r="AC48" s="140"/>
      <c r="AD48" s="140"/>
      <c r="AE48" s="140"/>
      <c r="AF48" s="140"/>
      <c r="AG48" s="140"/>
      <c r="AH48" s="10"/>
    </row>
    <row r="49">
      <c r="A49" s="10"/>
      <c r="B49" s="101"/>
      <c r="C49" s="101"/>
      <c r="D49" s="89"/>
      <c r="E49" s="135" t="s">
        <v>57</v>
      </c>
      <c r="F49" s="136" t="s">
        <v>150</v>
      </c>
      <c r="G49" s="95"/>
      <c r="H49" s="137"/>
      <c r="I49" s="95"/>
      <c r="J49" s="95"/>
      <c r="K49" s="95"/>
      <c r="L49" s="95"/>
      <c r="M49" s="58"/>
      <c r="N49" s="95"/>
      <c r="O49" s="95"/>
      <c r="P49" s="95"/>
      <c r="Q49" s="95"/>
      <c r="R49" s="95"/>
      <c r="S49" s="94"/>
      <c r="T49" s="140"/>
      <c r="U49" s="98"/>
      <c r="V49" s="98"/>
      <c r="W49" s="71"/>
      <c r="X49" s="140"/>
      <c r="Y49" s="140"/>
      <c r="Z49" s="10"/>
      <c r="AA49" s="140"/>
      <c r="AB49" s="140"/>
      <c r="AC49" s="140"/>
      <c r="AD49" s="140"/>
      <c r="AE49" s="140"/>
      <c r="AF49" s="140"/>
      <c r="AG49" s="140"/>
      <c r="AH49" s="10"/>
    </row>
    <row r="50">
      <c r="A50" s="10"/>
      <c r="B50" s="88"/>
      <c r="C50" s="101"/>
      <c r="D50" s="89"/>
      <c r="E50" s="147" t="s">
        <v>182</v>
      </c>
      <c r="F50" s="136"/>
      <c r="G50" s="95"/>
      <c r="H50" s="137"/>
      <c r="I50" s="95"/>
      <c r="J50" s="95"/>
      <c r="K50" s="139" t="s">
        <v>151</v>
      </c>
      <c r="L50" s="139" t="s">
        <v>151</v>
      </c>
      <c r="M50" s="58"/>
      <c r="N50" s="95"/>
      <c r="O50" s="95"/>
      <c r="P50" s="95"/>
      <c r="Q50" s="139" t="s">
        <v>151</v>
      </c>
      <c r="R50" s="139" t="s">
        <v>151</v>
      </c>
      <c r="S50" s="94"/>
      <c r="T50" s="95"/>
      <c r="U50" s="95"/>
      <c r="V50" s="95"/>
      <c r="W50" s="71"/>
      <c r="X50" s="96"/>
      <c r="Y50" s="148"/>
      <c r="Z50" s="10"/>
      <c r="AA50" s="106"/>
      <c r="AB50" s="149"/>
      <c r="AC50" s="108"/>
      <c r="AD50" s="109"/>
      <c r="AE50" s="31"/>
      <c r="AF50" s="31"/>
      <c r="AG50" s="31"/>
      <c r="AH50" s="10"/>
    </row>
    <row r="51">
      <c r="A51" s="10"/>
      <c r="B51" s="101"/>
      <c r="C51" s="141"/>
      <c r="D51" s="89"/>
      <c r="E51" s="147" t="s">
        <v>183</v>
      </c>
      <c r="F51" s="136"/>
      <c r="G51" s="95"/>
      <c r="H51" s="137"/>
      <c r="I51" s="139" t="s">
        <v>151</v>
      </c>
      <c r="J51" s="139" t="s">
        <v>151</v>
      </c>
      <c r="K51" s="95"/>
      <c r="L51" s="139" t="s">
        <v>151</v>
      </c>
      <c r="M51" s="58"/>
      <c r="N51" s="95"/>
      <c r="O51" s="139" t="s">
        <v>151</v>
      </c>
      <c r="P51" s="139" t="s">
        <v>151</v>
      </c>
      <c r="Q51" s="95"/>
      <c r="R51" s="139" t="s">
        <v>151</v>
      </c>
      <c r="S51" s="94"/>
      <c r="T51" s="140"/>
      <c r="U51" s="98"/>
      <c r="V51" s="98"/>
      <c r="W51" s="71"/>
      <c r="X51" s="150"/>
      <c r="Y51" s="151"/>
      <c r="Z51" s="10"/>
      <c r="AA51" s="140"/>
      <c r="AB51" s="140"/>
      <c r="AC51" s="140"/>
      <c r="AD51" s="140"/>
      <c r="AE51" s="140"/>
      <c r="AF51" s="140"/>
      <c r="AG51" s="140"/>
      <c r="AH51" s="10"/>
    </row>
    <row r="52">
      <c r="A52" s="10"/>
      <c r="B52" s="101"/>
      <c r="C52" s="141"/>
      <c r="D52" s="89"/>
      <c r="E52" s="147" t="s">
        <v>184</v>
      </c>
      <c r="F52" s="136"/>
      <c r="G52" s="95"/>
      <c r="H52" s="137"/>
      <c r="I52" s="139" t="s">
        <v>151</v>
      </c>
      <c r="J52" s="139" t="s">
        <v>151</v>
      </c>
      <c r="K52" s="139" t="s">
        <v>151</v>
      </c>
      <c r="L52" s="95"/>
      <c r="M52" s="58"/>
      <c r="N52" s="95"/>
      <c r="O52" s="139" t="s">
        <v>151</v>
      </c>
      <c r="P52" s="139" t="s">
        <v>151</v>
      </c>
      <c r="Q52" s="139" t="s">
        <v>151</v>
      </c>
      <c r="R52" s="95"/>
      <c r="S52" s="94"/>
      <c r="T52" s="140"/>
      <c r="U52" s="98"/>
      <c r="V52" s="98"/>
      <c r="W52" s="71"/>
      <c r="X52" s="150"/>
      <c r="Y52" s="151"/>
      <c r="Z52" s="10"/>
      <c r="AA52" s="140"/>
      <c r="AB52" s="140"/>
      <c r="AC52" s="140"/>
      <c r="AD52" s="140"/>
      <c r="AE52" s="140"/>
      <c r="AF52" s="140"/>
      <c r="AG52" s="140"/>
      <c r="AH52" s="10"/>
    </row>
    <row r="53">
      <c r="A53" s="10"/>
      <c r="B53" s="101"/>
      <c r="C53" s="141"/>
      <c r="D53" s="89"/>
      <c r="E53" s="152" t="s">
        <v>185</v>
      </c>
      <c r="F53" s="136" t="s">
        <v>137</v>
      </c>
      <c r="G53" s="95"/>
      <c r="H53" s="137"/>
      <c r="I53" s="95"/>
      <c r="J53" s="95"/>
      <c r="K53" s="95"/>
      <c r="L53" s="95"/>
      <c r="M53" s="58"/>
      <c r="N53" s="95"/>
      <c r="O53" s="95"/>
      <c r="P53" s="95"/>
      <c r="Q53" s="95"/>
      <c r="R53" s="95"/>
      <c r="S53" s="94"/>
      <c r="T53" s="140"/>
      <c r="U53" s="98"/>
      <c r="V53" s="98"/>
      <c r="W53" s="71"/>
      <c r="X53" s="140"/>
      <c r="Y53" s="98"/>
      <c r="Z53" s="10"/>
      <c r="AA53" s="140"/>
      <c r="AB53" s="140"/>
      <c r="AC53" s="140"/>
      <c r="AD53" s="140"/>
      <c r="AE53" s="140"/>
      <c r="AF53" s="140"/>
      <c r="AG53" s="140"/>
      <c r="AH53" s="10"/>
    </row>
    <row r="54">
      <c r="A54" s="10"/>
      <c r="B54" s="88"/>
      <c r="C54" s="153"/>
      <c r="D54" s="89"/>
      <c r="E54" s="154" t="s">
        <v>186</v>
      </c>
      <c r="F54" s="136"/>
      <c r="G54" s="95"/>
      <c r="H54" s="137"/>
      <c r="I54" s="95"/>
      <c r="J54" s="95"/>
      <c r="K54" s="95"/>
      <c r="L54" s="95"/>
      <c r="M54" s="58"/>
      <c r="N54" s="95"/>
      <c r="O54" s="95"/>
      <c r="P54" s="95"/>
      <c r="Q54" s="95"/>
      <c r="R54" s="95"/>
      <c r="S54" s="94"/>
      <c r="T54" s="155"/>
      <c r="U54" s="155"/>
      <c r="V54" s="155"/>
      <c r="W54" s="71"/>
      <c r="X54" s="96"/>
      <c r="Y54" s="105"/>
      <c r="Z54" s="10"/>
      <c r="AA54" s="106"/>
      <c r="AB54" s="107"/>
      <c r="AC54" s="31"/>
      <c r="AD54" s="31"/>
      <c r="AE54" s="31"/>
      <c r="AF54" s="31"/>
      <c r="AG54" s="31"/>
      <c r="AH54" s="10"/>
    </row>
    <row r="55">
      <c r="A55" s="10"/>
      <c r="B55" s="88"/>
      <c r="C55" s="153"/>
      <c r="D55" s="89"/>
      <c r="E55" s="154" t="s">
        <v>187</v>
      </c>
      <c r="F55" s="136"/>
      <c r="G55" s="95"/>
      <c r="H55" s="137"/>
      <c r="I55" s="95"/>
      <c r="J55" s="95"/>
      <c r="K55" s="95"/>
      <c r="L55" s="95"/>
      <c r="M55" s="58"/>
      <c r="N55" s="95"/>
      <c r="O55" s="95"/>
      <c r="P55" s="95"/>
      <c r="Q55" s="95"/>
      <c r="R55" s="95"/>
      <c r="S55" s="94"/>
      <c r="T55" s="155"/>
      <c r="U55" s="155"/>
      <c r="V55" s="155"/>
      <c r="W55" s="71"/>
      <c r="X55" s="96"/>
      <c r="Y55" s="105"/>
      <c r="Z55" s="10"/>
      <c r="AA55" s="106"/>
      <c r="AB55" s="107"/>
      <c r="AC55" s="31"/>
      <c r="AD55" s="31"/>
      <c r="AE55" s="31"/>
      <c r="AF55" s="31"/>
      <c r="AG55" s="31"/>
      <c r="AH55" s="10"/>
    </row>
    <row r="56">
      <c r="A56" s="10"/>
      <c r="B56" s="123"/>
      <c r="C56" s="123"/>
      <c r="D56" s="124"/>
      <c r="E56" s="156"/>
      <c r="F56" s="157"/>
      <c r="G56" s="158"/>
      <c r="H56" s="159"/>
      <c r="I56" s="160"/>
      <c r="J56" s="160"/>
      <c r="K56" s="160"/>
      <c r="L56" s="160"/>
      <c r="M56" s="58"/>
      <c r="N56" s="158"/>
      <c r="O56" s="158"/>
      <c r="P56" s="158"/>
      <c r="Q56" s="158"/>
      <c r="R56" s="158"/>
      <c r="S56" s="94"/>
      <c r="T56" s="158"/>
      <c r="U56" s="158"/>
      <c r="V56" s="158"/>
      <c r="W56" s="71"/>
      <c r="X56" s="96"/>
      <c r="Y56" s="105"/>
      <c r="Z56" s="10"/>
      <c r="AA56" s="106"/>
      <c r="AB56" s="107"/>
      <c r="AC56" s="31"/>
      <c r="AD56" s="31"/>
      <c r="AE56" s="31"/>
      <c r="AF56" s="31"/>
      <c r="AG56" s="31"/>
      <c r="AH56" s="10"/>
    </row>
    <row r="57">
      <c r="A57" s="10"/>
      <c r="B57" s="101"/>
      <c r="C57" s="101"/>
      <c r="D57" s="89"/>
      <c r="E57" s="161" t="s">
        <v>188</v>
      </c>
      <c r="F57" s="91" t="s">
        <v>189</v>
      </c>
      <c r="G57" s="104">
        <v>150000.0</v>
      </c>
      <c r="H57" s="42">
        <v>1.0</v>
      </c>
      <c r="I57" s="92"/>
      <c r="J57" s="92">
        <f t="shared" ref="J57:J60" si="13">G57*H57</f>
        <v>150000</v>
      </c>
      <c r="K57" s="92">
        <f t="shared" ref="K57:K59" si="14">G57*H57</f>
        <v>150000</v>
      </c>
      <c r="L57" s="92"/>
      <c r="M57" s="58"/>
      <c r="N57" s="104">
        <v>151000.0</v>
      </c>
      <c r="O57" s="93"/>
      <c r="P57" s="93">
        <f t="shared" ref="P57:P60" si="15">N57/$O$3</f>
        <v>39.73684211</v>
      </c>
      <c r="Q57" s="162"/>
      <c r="R57" s="93"/>
      <c r="S57" s="94"/>
      <c r="T57" s="95"/>
      <c r="U57" s="95"/>
      <c r="V57" s="95"/>
      <c r="W57" s="71"/>
      <c r="X57" s="96"/>
      <c r="Y57" s="105"/>
      <c r="Z57" s="10"/>
      <c r="AA57" s="106"/>
      <c r="AB57" s="107"/>
      <c r="AC57" s="31"/>
      <c r="AD57" s="31"/>
      <c r="AE57" s="31"/>
      <c r="AF57" s="31"/>
      <c r="AG57" s="31"/>
      <c r="AH57" s="10"/>
    </row>
    <row r="58" ht="24.0" customHeight="1">
      <c r="A58" s="10"/>
      <c r="B58" s="101"/>
      <c r="C58" s="101"/>
      <c r="D58" s="89"/>
      <c r="E58" s="163" t="s">
        <v>81</v>
      </c>
      <c r="F58" s="91" t="s">
        <v>190</v>
      </c>
      <c r="G58" s="104">
        <v>50000.0</v>
      </c>
      <c r="H58" s="32">
        <v>1.0</v>
      </c>
      <c r="I58" s="92">
        <f t="shared" ref="I58:I59" si="16">G58*H58</f>
        <v>50000</v>
      </c>
      <c r="J58" s="92">
        <f t="shared" si="13"/>
        <v>50000</v>
      </c>
      <c r="K58" s="92">
        <f t="shared" si="14"/>
        <v>50000</v>
      </c>
      <c r="L58" s="92">
        <f t="shared" ref="L58:L60" si="17">G58*H58</f>
        <v>50000</v>
      </c>
      <c r="M58" s="58"/>
      <c r="N58" s="92">
        <f>I58/0.75</f>
        <v>66666.66667</v>
      </c>
      <c r="O58" s="93">
        <f t="shared" ref="O58:O59" si="18">N58/$O$3</f>
        <v>17.54385965</v>
      </c>
      <c r="P58" s="93">
        <f t="shared" si="15"/>
        <v>17.54385965</v>
      </c>
      <c r="Q58" s="95"/>
      <c r="R58" s="95"/>
      <c r="S58" s="94"/>
      <c r="T58" s="95"/>
      <c r="U58" s="95"/>
      <c r="V58" s="95"/>
      <c r="W58" s="71"/>
      <c r="X58" s="96"/>
      <c r="Y58" s="105"/>
      <c r="Z58" s="10"/>
      <c r="AA58" s="106"/>
      <c r="AB58" s="107"/>
      <c r="AC58" s="31"/>
      <c r="AD58" s="31"/>
      <c r="AE58" s="31"/>
      <c r="AF58" s="31"/>
      <c r="AG58" s="31"/>
      <c r="AH58" s="10"/>
    </row>
    <row r="59">
      <c r="A59" s="10"/>
      <c r="B59" s="101"/>
      <c r="C59" s="101"/>
      <c r="D59" s="89"/>
      <c r="E59" s="161" t="s">
        <v>191</v>
      </c>
      <c r="F59" s="91" t="s">
        <v>192</v>
      </c>
      <c r="G59" s="104">
        <v>0.0</v>
      </c>
      <c r="H59" s="32">
        <v>1.0</v>
      </c>
      <c r="I59" s="92">
        <f t="shared" si="16"/>
        <v>0</v>
      </c>
      <c r="J59" s="92">
        <f t="shared" si="13"/>
        <v>0</v>
      </c>
      <c r="K59" s="92">
        <f t="shared" si="14"/>
        <v>0</v>
      </c>
      <c r="L59" s="92">
        <f t="shared" si="17"/>
        <v>0</v>
      </c>
      <c r="M59" s="58"/>
      <c r="N59" s="92">
        <f>I59/0.9</f>
        <v>0</v>
      </c>
      <c r="O59" s="93">
        <f t="shared" si="18"/>
        <v>0</v>
      </c>
      <c r="P59" s="93">
        <f t="shared" si="15"/>
        <v>0</v>
      </c>
      <c r="Q59" s="93">
        <f>N59/$O$3</f>
        <v>0</v>
      </c>
      <c r="R59" s="93">
        <f t="shared" ref="R59:R60" si="19">N59/$O$3</f>
        <v>0</v>
      </c>
      <c r="S59" s="94"/>
      <c r="T59" s="95"/>
      <c r="U59" s="95"/>
      <c r="V59" s="95"/>
      <c r="W59" s="71"/>
      <c r="X59" s="96"/>
      <c r="Y59" s="105"/>
      <c r="Z59" s="10"/>
      <c r="AA59" s="106"/>
      <c r="AB59" s="107"/>
      <c r="AC59" s="31"/>
      <c r="AD59" s="31"/>
      <c r="AE59" s="31"/>
      <c r="AF59" s="31"/>
      <c r="AG59" s="31"/>
      <c r="AH59" s="10"/>
    </row>
    <row r="60">
      <c r="A60" s="10"/>
      <c r="B60" s="101"/>
      <c r="C60" s="101"/>
      <c r="D60" s="89"/>
      <c r="E60" s="161" t="s">
        <v>193</v>
      </c>
      <c r="F60" s="164" t="s">
        <v>194</v>
      </c>
      <c r="G60" s="104">
        <v>270000.0</v>
      </c>
      <c r="H60" s="32">
        <v>1.0</v>
      </c>
      <c r="I60" s="92"/>
      <c r="J60" s="92">
        <f t="shared" si="13"/>
        <v>270000</v>
      </c>
      <c r="K60" s="92"/>
      <c r="L60" s="92">
        <f t="shared" si="17"/>
        <v>270000</v>
      </c>
      <c r="M60" s="58"/>
      <c r="N60" s="92">
        <f>J60/0.9</f>
        <v>300000</v>
      </c>
      <c r="O60" s="139" t="s">
        <v>151</v>
      </c>
      <c r="P60" s="93">
        <f t="shared" si="15"/>
        <v>78.94736842</v>
      </c>
      <c r="Q60" s="139" t="s">
        <v>151</v>
      </c>
      <c r="R60" s="93">
        <f t="shared" si="19"/>
        <v>78.94736842</v>
      </c>
      <c r="S60" s="94"/>
      <c r="T60" s="95"/>
      <c r="U60" s="95"/>
      <c r="V60" s="95"/>
      <c r="W60" s="71"/>
      <c r="X60" s="96"/>
      <c r="Y60" s="105"/>
      <c r="Z60" s="10"/>
      <c r="AA60" s="106"/>
      <c r="AB60" s="107"/>
      <c r="AC60" s="31"/>
      <c r="AD60" s="31"/>
      <c r="AE60" s="31"/>
      <c r="AF60" s="31"/>
      <c r="AG60" s="31"/>
      <c r="AH60" s="10"/>
    </row>
    <row r="61">
      <c r="A61" s="10"/>
      <c r="B61" s="88"/>
      <c r="C61" s="153"/>
      <c r="D61" s="89"/>
      <c r="E61" s="161" t="s">
        <v>195</v>
      </c>
      <c r="F61" s="164" t="s">
        <v>194</v>
      </c>
      <c r="G61" s="104">
        <v>270000.0</v>
      </c>
      <c r="H61" s="32">
        <v>1.0</v>
      </c>
      <c r="I61" s="92">
        <f t="shared" ref="I61:I63" si="20">G61*H61</f>
        <v>270000</v>
      </c>
      <c r="J61" s="92"/>
      <c r="K61" s="92">
        <f t="shared" ref="K61:K62" si="21">G61*H61</f>
        <v>270000</v>
      </c>
      <c r="L61" s="92"/>
      <c r="M61" s="58"/>
      <c r="N61" s="92">
        <f>I61/0.9</f>
        <v>300000</v>
      </c>
      <c r="O61" s="93">
        <f t="shared" ref="O61:O63" si="22">N61/$O$3</f>
        <v>78.94736842</v>
      </c>
      <c r="P61" s="139" t="s">
        <v>151</v>
      </c>
      <c r="Q61" s="93">
        <f t="shared" ref="Q61:Q62" si="23">N61/$O$3</f>
        <v>78.94736842</v>
      </c>
      <c r="R61" s="139" t="s">
        <v>151</v>
      </c>
      <c r="S61" s="94"/>
      <c r="T61" s="155"/>
      <c r="U61" s="155"/>
      <c r="V61" s="155"/>
      <c r="W61" s="71"/>
      <c r="X61" s="96"/>
      <c r="Y61" s="105"/>
      <c r="Z61" s="10"/>
      <c r="AA61" s="106"/>
      <c r="AB61" s="107"/>
      <c r="AC61" s="31"/>
      <c r="AD61" s="31"/>
      <c r="AE61" s="31"/>
      <c r="AF61" s="31"/>
      <c r="AG61" s="31"/>
      <c r="AH61" s="10"/>
    </row>
    <row r="62">
      <c r="A62" s="10"/>
      <c r="B62" s="88"/>
      <c r="C62" s="153"/>
      <c r="D62" s="89"/>
      <c r="E62" s="163" t="s">
        <v>196</v>
      </c>
      <c r="F62" s="164" t="s">
        <v>194</v>
      </c>
      <c r="G62" s="104">
        <v>370000.0</v>
      </c>
      <c r="H62" s="32">
        <v>1.0</v>
      </c>
      <c r="I62" s="92">
        <f t="shared" si="20"/>
        <v>370000</v>
      </c>
      <c r="J62" s="92"/>
      <c r="K62" s="92">
        <f t="shared" si="21"/>
        <v>370000</v>
      </c>
      <c r="L62" s="92"/>
      <c r="M62" s="58"/>
      <c r="N62" s="92">
        <f t="shared" ref="N62:N63" si="24">I62/0.85</f>
        <v>435294.1176</v>
      </c>
      <c r="O62" s="93">
        <f t="shared" si="22"/>
        <v>114.5510836</v>
      </c>
      <c r="P62" s="139" t="s">
        <v>151</v>
      </c>
      <c r="Q62" s="93">
        <f t="shared" si="23"/>
        <v>114.5510836</v>
      </c>
      <c r="R62" s="139" t="s">
        <v>151</v>
      </c>
      <c r="S62" s="94"/>
      <c r="T62" s="155"/>
      <c r="U62" s="155"/>
      <c r="V62" s="155"/>
      <c r="W62" s="71"/>
      <c r="X62" s="96"/>
      <c r="Y62" s="105"/>
      <c r="Z62" s="10"/>
      <c r="AA62" s="106"/>
      <c r="AB62" s="107"/>
      <c r="AC62" s="31"/>
      <c r="AD62" s="31"/>
      <c r="AE62" s="31"/>
      <c r="AF62" s="31"/>
      <c r="AG62" s="31"/>
      <c r="AH62" s="10"/>
    </row>
    <row r="63">
      <c r="A63" s="10"/>
      <c r="B63" s="88"/>
      <c r="C63" s="153"/>
      <c r="D63" s="89"/>
      <c r="E63" s="163" t="s">
        <v>92</v>
      </c>
      <c r="F63" s="165" t="s">
        <v>197</v>
      </c>
      <c r="G63" s="104">
        <v>120000.0</v>
      </c>
      <c r="H63" s="32">
        <v>1.0</v>
      </c>
      <c r="I63" s="92">
        <f t="shared" si="20"/>
        <v>120000</v>
      </c>
      <c r="J63" s="92"/>
      <c r="K63" s="92"/>
      <c r="L63" s="92"/>
      <c r="M63" s="58"/>
      <c r="N63" s="92">
        <f t="shared" si="24"/>
        <v>141176.4706</v>
      </c>
      <c r="O63" s="93">
        <f t="shared" si="22"/>
        <v>37.15170279</v>
      </c>
      <c r="P63" s="139" t="s">
        <v>151</v>
      </c>
      <c r="Q63" s="139" t="s">
        <v>151</v>
      </c>
      <c r="R63" s="139" t="s">
        <v>151</v>
      </c>
      <c r="S63" s="94"/>
      <c r="T63" s="155"/>
      <c r="U63" s="155"/>
      <c r="V63" s="155"/>
      <c r="W63" s="71"/>
      <c r="X63" s="96"/>
      <c r="Y63" s="105"/>
      <c r="Z63" s="10"/>
      <c r="AA63" s="106"/>
      <c r="AB63" s="107"/>
      <c r="AC63" s="31"/>
      <c r="AD63" s="31"/>
      <c r="AE63" s="31"/>
      <c r="AF63" s="31"/>
      <c r="AG63" s="31"/>
      <c r="AH63" s="10"/>
    </row>
    <row r="64">
      <c r="A64" s="10"/>
      <c r="B64" s="88"/>
      <c r="C64" s="153"/>
      <c r="D64" s="89"/>
      <c r="E64" s="163" t="s">
        <v>94</v>
      </c>
      <c r="F64" s="165" t="s">
        <v>197</v>
      </c>
      <c r="G64" s="104">
        <v>120000.0</v>
      </c>
      <c r="H64" s="32">
        <v>1.0</v>
      </c>
      <c r="I64" s="92"/>
      <c r="J64" s="92">
        <f t="shared" ref="J64:J66" si="25">G64*H64</f>
        <v>120000</v>
      </c>
      <c r="K64" s="92"/>
      <c r="L64" s="92"/>
      <c r="M64" s="58"/>
      <c r="N64" s="92">
        <f t="shared" ref="N64:N65" si="26">J64/0.85</f>
        <v>141176.4706</v>
      </c>
      <c r="O64" s="139" t="s">
        <v>151</v>
      </c>
      <c r="P64" s="93">
        <f t="shared" ref="P64:P66" si="27">N64/$O$3</f>
        <v>37.15170279</v>
      </c>
      <c r="Q64" s="139" t="s">
        <v>151</v>
      </c>
      <c r="R64" s="139" t="s">
        <v>151</v>
      </c>
      <c r="S64" s="94"/>
      <c r="T64" s="155"/>
      <c r="U64" s="155"/>
      <c r="V64" s="155"/>
      <c r="W64" s="71"/>
      <c r="X64" s="96"/>
      <c r="Y64" s="105"/>
      <c r="Z64" s="10"/>
      <c r="AA64" s="106"/>
      <c r="AB64" s="107"/>
      <c r="AC64" s="31"/>
      <c r="AD64" s="31"/>
      <c r="AE64" s="31"/>
      <c r="AF64" s="31"/>
      <c r="AG64" s="31"/>
      <c r="AH64" s="10"/>
    </row>
    <row r="65">
      <c r="A65" s="10"/>
      <c r="B65" s="88"/>
      <c r="C65" s="153"/>
      <c r="D65" s="89"/>
      <c r="E65" s="163" t="s">
        <v>92</v>
      </c>
      <c r="F65" s="165" t="s">
        <v>197</v>
      </c>
      <c r="G65" s="104">
        <v>120000.0</v>
      </c>
      <c r="H65" s="32">
        <v>1.0</v>
      </c>
      <c r="I65" s="92"/>
      <c r="J65" s="92">
        <f t="shared" si="25"/>
        <v>120000</v>
      </c>
      <c r="K65" s="92"/>
      <c r="L65" s="92"/>
      <c r="M65" s="58"/>
      <c r="N65" s="92">
        <f t="shared" si="26"/>
        <v>141176.4706</v>
      </c>
      <c r="O65" s="139" t="s">
        <v>151</v>
      </c>
      <c r="P65" s="93">
        <f t="shared" si="27"/>
        <v>37.15170279</v>
      </c>
      <c r="Q65" s="139" t="s">
        <v>151</v>
      </c>
      <c r="R65" s="139" t="s">
        <v>151</v>
      </c>
      <c r="S65" s="94"/>
      <c r="T65" s="155"/>
      <c r="U65" s="155"/>
      <c r="V65" s="155"/>
      <c r="W65" s="71"/>
      <c r="X65" s="96"/>
      <c r="Y65" s="105"/>
      <c r="Z65" s="10"/>
      <c r="AA65" s="106"/>
      <c r="AB65" s="107"/>
      <c r="AC65" s="31"/>
      <c r="AD65" s="31"/>
      <c r="AE65" s="31"/>
      <c r="AF65" s="31"/>
      <c r="AG65" s="31"/>
      <c r="AH65" s="10"/>
    </row>
    <row r="66">
      <c r="A66" s="10"/>
      <c r="B66" s="88"/>
      <c r="C66" s="153"/>
      <c r="D66" s="89"/>
      <c r="E66" s="161" t="s">
        <v>95</v>
      </c>
      <c r="F66" s="165" t="s">
        <v>197</v>
      </c>
      <c r="G66" s="104">
        <v>150000.0</v>
      </c>
      <c r="H66" s="32">
        <v>1.0</v>
      </c>
      <c r="I66" s="92">
        <f t="shared" ref="I66:I67" si="28">G66*H66</f>
        <v>150000</v>
      </c>
      <c r="J66" s="92">
        <f t="shared" si="25"/>
        <v>150000</v>
      </c>
      <c r="K66" s="92"/>
      <c r="L66" s="92"/>
      <c r="M66" s="58"/>
      <c r="N66" s="92">
        <f>J66/0.7</f>
        <v>214285.7143</v>
      </c>
      <c r="O66" s="93">
        <f>N66/$O$3</f>
        <v>56.39097744</v>
      </c>
      <c r="P66" s="93">
        <f t="shared" si="27"/>
        <v>56.39097744</v>
      </c>
      <c r="Q66" s="139" t="s">
        <v>151</v>
      </c>
      <c r="R66" s="139" t="s">
        <v>151</v>
      </c>
      <c r="S66" s="94"/>
      <c r="T66" s="155"/>
      <c r="U66" s="155"/>
      <c r="V66" s="155"/>
      <c r="W66" s="71"/>
      <c r="X66" s="96"/>
      <c r="Y66" s="105"/>
      <c r="Z66" s="10"/>
      <c r="AA66" s="106"/>
      <c r="AB66" s="107"/>
      <c r="AC66" s="31"/>
      <c r="AD66" s="31"/>
      <c r="AE66" s="31"/>
      <c r="AF66" s="31"/>
      <c r="AG66" s="31"/>
      <c r="AH66" s="10"/>
    </row>
    <row r="67">
      <c r="A67" s="10"/>
      <c r="B67" s="88"/>
      <c r="C67" s="153"/>
      <c r="D67" s="89"/>
      <c r="E67" s="166" t="s">
        <v>198</v>
      </c>
      <c r="F67" s="167"/>
      <c r="G67" s="92">
        <v>40000.0</v>
      </c>
      <c r="H67" s="42">
        <v>3.0</v>
      </c>
      <c r="I67" s="92">
        <f t="shared" si="28"/>
        <v>120000</v>
      </c>
      <c r="J67" s="92"/>
      <c r="K67" s="92"/>
      <c r="L67" s="92"/>
      <c r="M67" s="58"/>
      <c r="N67" s="92">
        <f t="shared" ref="N67:N68" si="29">I67/0.9</f>
        <v>133333.3333</v>
      </c>
      <c r="O67" s="93">
        <f>N67/$H$73</f>
        <v>35.0877193</v>
      </c>
      <c r="P67" s="93"/>
      <c r="Q67" s="93"/>
      <c r="R67" s="93"/>
      <c r="S67" s="94"/>
      <c r="T67" s="155"/>
      <c r="U67" s="155"/>
      <c r="V67" s="155"/>
      <c r="W67" s="71"/>
      <c r="X67" s="96"/>
      <c r="Y67" s="105"/>
      <c r="Z67" s="10"/>
      <c r="AA67" s="106"/>
      <c r="AB67" s="107"/>
      <c r="AC67" s="31"/>
      <c r="AD67" s="31"/>
      <c r="AE67" s="31"/>
      <c r="AF67" s="31"/>
      <c r="AG67" s="31"/>
      <c r="AH67" s="10"/>
    </row>
    <row r="68">
      <c r="A68" s="10"/>
      <c r="B68" s="88"/>
      <c r="C68" s="88"/>
      <c r="D68" s="89"/>
      <c r="E68" s="166" t="s">
        <v>199</v>
      </c>
      <c r="F68" s="167"/>
      <c r="G68" s="104">
        <v>180000.0</v>
      </c>
      <c r="H68" s="168">
        <v>1.0</v>
      </c>
      <c r="I68" s="92">
        <f>G68*H68/2</f>
        <v>90000</v>
      </c>
      <c r="J68" s="92">
        <f>G68*H68/2</f>
        <v>90000</v>
      </c>
      <c r="K68" s="92"/>
      <c r="L68" s="92"/>
      <c r="M68" s="58"/>
      <c r="N68" s="92">
        <f t="shared" si="29"/>
        <v>100000</v>
      </c>
      <c r="O68" s="93">
        <f>N68/$O$3</f>
        <v>26.31578947</v>
      </c>
      <c r="P68" s="93">
        <f>N68/$O$3</f>
        <v>26.31578947</v>
      </c>
      <c r="Q68" s="93"/>
      <c r="R68" s="93"/>
      <c r="S68" s="94"/>
      <c r="T68" s="155"/>
      <c r="U68" s="155"/>
      <c r="V68" s="155"/>
      <c r="W68" s="71"/>
      <c r="X68" s="96"/>
      <c r="Y68" s="105"/>
      <c r="Z68" s="10"/>
      <c r="AA68" s="106"/>
      <c r="AB68" s="107"/>
      <c r="AC68" s="31"/>
      <c r="AD68" s="31"/>
      <c r="AE68" s="31"/>
      <c r="AF68" s="31"/>
      <c r="AG68" s="31"/>
      <c r="AH68" s="10"/>
    </row>
    <row r="69">
      <c r="A69" s="10"/>
      <c r="B69" s="88"/>
      <c r="C69" s="88"/>
      <c r="D69" s="89"/>
      <c r="E69" s="169" t="s">
        <v>200</v>
      </c>
      <c r="F69" s="167"/>
      <c r="G69" s="92">
        <v>20000.0</v>
      </c>
      <c r="H69" s="170">
        <v>1.0</v>
      </c>
      <c r="I69" s="92">
        <f>G69*H69</f>
        <v>20000</v>
      </c>
      <c r="J69" s="92">
        <f>G69*H69</f>
        <v>20000</v>
      </c>
      <c r="K69" s="92">
        <f>G69*H69</f>
        <v>20000</v>
      </c>
      <c r="L69" s="92">
        <f>G69*H69</f>
        <v>20000</v>
      </c>
      <c r="M69" s="58"/>
      <c r="N69" s="171"/>
      <c r="O69" s="171"/>
      <c r="P69" s="171"/>
      <c r="Q69" s="171"/>
      <c r="R69" s="171"/>
      <c r="S69" s="94"/>
      <c r="T69" s="155"/>
      <c r="U69" s="155"/>
      <c r="V69" s="155"/>
      <c r="W69" s="71"/>
      <c r="X69" s="96"/>
      <c r="Y69" s="105"/>
      <c r="Z69" s="10"/>
      <c r="AA69" s="106"/>
      <c r="AB69" s="107"/>
      <c r="AC69" s="31"/>
      <c r="AD69" s="31"/>
      <c r="AE69" s="31"/>
      <c r="AF69" s="31"/>
      <c r="AG69" s="31"/>
      <c r="AH69" s="10"/>
    </row>
    <row r="70">
      <c r="A70" s="10"/>
      <c r="B70" s="10"/>
      <c r="C70" s="10"/>
      <c r="D70" s="55"/>
      <c r="E70" s="56"/>
      <c r="F70" s="57"/>
      <c r="G70" s="172"/>
      <c r="H70" s="173" t="s">
        <v>201</v>
      </c>
      <c r="I70" s="173">
        <f t="shared" ref="I70:L70" si="30">SUM(I5:I69)</f>
        <v>3598500</v>
      </c>
      <c r="J70" s="173">
        <f t="shared" si="30"/>
        <v>2625500</v>
      </c>
      <c r="K70" s="173">
        <f t="shared" si="30"/>
        <v>2315500</v>
      </c>
      <c r="L70" s="173">
        <f t="shared" si="30"/>
        <v>1795500</v>
      </c>
      <c r="M70" s="58"/>
      <c r="N70" s="58"/>
      <c r="O70" s="58"/>
      <c r="P70" s="58"/>
      <c r="Q70" s="58"/>
      <c r="R70" s="58"/>
      <c r="S70" s="10"/>
      <c r="T70" s="58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55"/>
      <c r="E71" s="56"/>
      <c r="F71" s="57"/>
      <c r="G71" s="58"/>
      <c r="H71" s="174">
        <v>0.15</v>
      </c>
      <c r="I71" s="173">
        <f>I70/0.8065</f>
        <v>4461872.288</v>
      </c>
      <c r="J71" s="173">
        <f>J70/0.792</f>
        <v>3315025.253</v>
      </c>
      <c r="K71" s="173">
        <f>K70/0.831</f>
        <v>2786401.925</v>
      </c>
      <c r="L71" s="173">
        <f>L70/0.764</f>
        <v>2350130.89</v>
      </c>
      <c r="M71" s="58"/>
      <c r="N71" s="58"/>
      <c r="O71" s="173">
        <f t="shared" ref="O71:R71" si="31">SUM(O5:O70)</f>
        <v>1174.427526</v>
      </c>
      <c r="P71" s="173">
        <f t="shared" si="31"/>
        <v>872.8701656</v>
      </c>
      <c r="Q71" s="173">
        <f t="shared" si="31"/>
        <v>733.130375</v>
      </c>
      <c r="R71" s="173">
        <f t="shared" si="31"/>
        <v>618.5792914</v>
      </c>
      <c r="S71" s="10"/>
      <c r="T71" s="58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55"/>
      <c r="E72" s="56"/>
      <c r="F72" s="175"/>
      <c r="G72" s="173" t="s">
        <v>202</v>
      </c>
      <c r="H72" s="176" t="s">
        <v>203</v>
      </c>
      <c r="I72" s="173">
        <f t="shared" ref="I72:L72" si="32">I71*4/1000</f>
        <v>17847.48915</v>
      </c>
      <c r="J72" s="173">
        <f t="shared" si="32"/>
        <v>13260.10101</v>
      </c>
      <c r="K72" s="173">
        <f t="shared" si="32"/>
        <v>11145.6077</v>
      </c>
      <c r="L72" s="173">
        <f t="shared" si="32"/>
        <v>9400.52356</v>
      </c>
      <c r="M72" s="58"/>
      <c r="N72" s="58"/>
      <c r="O72" s="173">
        <f t="shared" ref="O72:R72" si="33">I72/$H$73</f>
        <v>4.696707671</v>
      </c>
      <c r="P72" s="173">
        <f t="shared" si="33"/>
        <v>3.489500266</v>
      </c>
      <c r="Q72" s="173">
        <f t="shared" si="33"/>
        <v>2.933054658</v>
      </c>
      <c r="R72" s="173">
        <f t="shared" si="33"/>
        <v>2.47382199</v>
      </c>
      <c r="S72" s="10"/>
      <c r="T72" s="58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55"/>
      <c r="E73" s="56"/>
      <c r="F73" s="57"/>
      <c r="G73" s="173" t="s">
        <v>204</v>
      </c>
      <c r="H73" s="173">
        <v>3800.0</v>
      </c>
      <c r="I73" s="177">
        <f t="shared" ref="I73:L73" si="34">SUM(I71:I72)</f>
        <v>4479719.777</v>
      </c>
      <c r="J73" s="177">
        <f t="shared" si="34"/>
        <v>3328285.354</v>
      </c>
      <c r="K73" s="177">
        <f t="shared" si="34"/>
        <v>2797547.533</v>
      </c>
      <c r="L73" s="177">
        <f t="shared" si="34"/>
        <v>2359531.414</v>
      </c>
      <c r="M73" s="58"/>
      <c r="N73" s="58"/>
      <c r="O73" s="111"/>
      <c r="P73" s="111"/>
      <c r="Q73" s="111"/>
      <c r="R73" s="111"/>
      <c r="S73" s="10"/>
      <c r="T73" s="58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t="27.0" customHeight="1">
      <c r="A74" s="10"/>
      <c r="B74" s="10"/>
      <c r="C74" s="10"/>
      <c r="D74" s="55"/>
      <c r="E74" s="56"/>
      <c r="F74" s="57"/>
      <c r="G74" s="58"/>
      <c r="H74" s="10"/>
      <c r="I74" s="178">
        <f t="shared" ref="I74:L74" si="35">I73/$H$73</f>
        <v>1178.873625</v>
      </c>
      <c r="J74" s="178">
        <f t="shared" si="35"/>
        <v>875.8645667</v>
      </c>
      <c r="K74" s="178">
        <f t="shared" si="35"/>
        <v>736.1967192</v>
      </c>
      <c r="L74" s="178">
        <f t="shared" si="35"/>
        <v>620.9293194</v>
      </c>
      <c r="M74" s="58"/>
      <c r="N74" s="58"/>
      <c r="O74" s="177">
        <f t="shared" ref="O74:R74" si="36">SUM(O71:O72)</f>
        <v>1179.124234</v>
      </c>
      <c r="P74" s="177">
        <f t="shared" si="36"/>
        <v>876.3596659</v>
      </c>
      <c r="Q74" s="177">
        <f t="shared" si="36"/>
        <v>736.0634296</v>
      </c>
      <c r="R74" s="177">
        <f t="shared" si="36"/>
        <v>621.0531134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ht="27.0" customHeight="1">
      <c r="A75" s="10"/>
      <c r="B75" s="10"/>
      <c r="C75" s="10"/>
      <c r="D75" s="55"/>
      <c r="E75" s="56"/>
      <c r="F75" s="57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ht="27.0" customHeight="1">
      <c r="A76" s="10"/>
      <c r="B76" s="10"/>
      <c r="C76" s="10"/>
      <c r="D76" s="55"/>
      <c r="E76" s="10"/>
      <c r="F76" s="57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ht="27.0" customHeight="1">
      <c r="A77" s="10"/>
      <c r="B77" s="10"/>
      <c r="C77" s="10"/>
      <c r="D77" s="55"/>
      <c r="E77" s="10"/>
      <c r="F77" s="57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55"/>
      <c r="E78" s="10"/>
      <c r="F78" s="57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ht="15.75" customHeight="1">
      <c r="A79" s="10"/>
      <c r="B79" s="10"/>
      <c r="C79" s="10"/>
      <c r="D79" s="55"/>
      <c r="E79" s="56"/>
      <c r="F79" s="57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t="15.75" customHeight="1">
      <c r="A80" s="10"/>
      <c r="B80" s="10"/>
      <c r="C80" s="10"/>
      <c r="D80" s="55"/>
      <c r="E80" s="56"/>
      <c r="F80" s="57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</sheetData>
  <mergeCells count="1">
    <mergeCell ref="AA3:AD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38"/>
  </cols>
  <sheetData>
    <row r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31.5" customHeight="1">
      <c r="A2" s="179"/>
      <c r="B2" s="180" t="s">
        <v>205</v>
      </c>
      <c r="C2" s="181"/>
      <c r="D2" s="181"/>
      <c r="E2" s="181"/>
      <c r="F2" s="181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ht="26.25" customHeight="1">
      <c r="A3" s="179"/>
      <c r="B3" s="182" t="str">
        <f>COSTEO!E4</f>
        <v>Concepto</v>
      </c>
      <c r="C3" s="182" t="str">
        <f>COSTEO!O4</f>
        <v>Suvienne </v>
      </c>
      <c r="D3" s="182" t="str">
        <f>COSTEO!P4</f>
        <v>Esposo</v>
      </c>
      <c r="E3" s="182" t="str">
        <f>COSTEO!Q4</f>
        <v>Niño 12 años</v>
      </c>
      <c r="F3" s="182" t="str">
        <f>COSTEO!R4</f>
        <v>Niño 15 años</v>
      </c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>
      <c r="A4" s="179"/>
      <c r="B4" s="183" t="str">
        <f>COSTEO!E5</f>
        <v>Póliza de asistencia médica al viajero - producto visitor  por 04 días adicionales</v>
      </c>
      <c r="C4" s="93">
        <f>COSTEO!O5</f>
        <v>6.140350877</v>
      </c>
      <c r="D4" s="93">
        <f>COSTEO!P5</f>
        <v>6.140350877</v>
      </c>
      <c r="E4" s="93">
        <f>COSTEO!Q5</f>
        <v>6.140350877</v>
      </c>
      <c r="F4" s="93">
        <f>COSTEO!R5</f>
        <v>6.140350877</v>
      </c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>
      <c r="A5" s="179"/>
      <c r="B5" s="183" t="str">
        <f>COSTEO!E6</f>
        <v>Sim card física</v>
      </c>
      <c r="C5" s="93">
        <f>COSTEO!O6</f>
        <v>2.555583951</v>
      </c>
      <c r="D5" s="93" t="str">
        <f>COSTEO!P6</f>
        <v/>
      </c>
      <c r="E5" s="93" t="str">
        <f>COSTEO!Q6</f>
        <v/>
      </c>
      <c r="F5" s="93" t="str">
        <f>COSTEO!R6</f>
        <v/>
      </c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>
      <c r="A6" s="179"/>
      <c r="B6" s="183" t="str">
        <f>COSTEO!E7</f>
        <v>Datos 10 Gigas</v>
      </c>
      <c r="C6" s="93">
        <f>COSTEO!O7</f>
        <v>5.111167902</v>
      </c>
      <c r="D6" s="93"/>
      <c r="E6" s="93"/>
      <c r="F6" s="93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>
      <c r="A7" s="179"/>
      <c r="B7" s="183" t="str">
        <f>COSTEO!E8</f>
        <v>Traslado  aeropuerto - hotel - aeropuerto en MINIVAN</v>
      </c>
      <c r="C7" s="93">
        <f>COSTEO!O8</f>
        <v>146.1988304</v>
      </c>
      <c r="D7" s="93" t="str">
        <f>COSTEO!P8</f>
        <v/>
      </c>
      <c r="E7" s="93" t="str">
        <f>COSTEO!Q8</f>
        <v/>
      </c>
      <c r="F7" s="93" t="str">
        <f>COSTEO!R8</f>
        <v/>
      </c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>
      <c r="A8" s="179"/>
      <c r="B8" s="183" t="str">
        <f>COSTEO!E9</f>
        <v>Recargo por trayecto a la madrugada de regreso</v>
      </c>
      <c r="C8" s="93">
        <f>COSTEO!O9</f>
        <v>7.30994152</v>
      </c>
      <c r="D8" s="93" t="str">
        <f>COSTEO!P9</f>
        <v/>
      </c>
      <c r="E8" s="93" t="str">
        <f>COSTEO!Q9</f>
        <v/>
      </c>
      <c r="F8" s="93" t="str">
        <f>COSTEO!R9</f>
        <v/>
      </c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>
      <c r="A9" s="179"/>
      <c r="B9" s="184" t="str">
        <f>COSTEO!E10</f>
        <v>CITY TOUR compartido grupal</v>
      </c>
      <c r="C9" s="93">
        <f>COSTEO!O10</f>
        <v>22.13622291</v>
      </c>
      <c r="D9" s="93">
        <f>COSTEO!P10</f>
        <v>22.13622291</v>
      </c>
      <c r="E9" s="93">
        <f>COSTEO!Q10</f>
        <v>22.13622291</v>
      </c>
      <c r="F9" s="93">
        <f>COSTEO!R10</f>
        <v>22.13622291</v>
      </c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>
      <c r="A10" s="179"/>
      <c r="B10" s="185" t="str">
        <f>COSTEO!E11</f>
        <v>GUATAPÉ tour grupal</v>
      </c>
      <c r="C10" s="93">
        <f>COSTEO!O11</f>
        <v>43.34365325</v>
      </c>
      <c r="D10" s="93">
        <f>COSTEO!P11</f>
        <v>43.34365325</v>
      </c>
      <c r="E10" s="93">
        <f>COSTEO!Q11</f>
        <v>43.34365325</v>
      </c>
      <c r="F10" s="93">
        <f>COSTEO!R11</f>
        <v>43.34365325</v>
      </c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>
      <c r="A11" s="179"/>
      <c r="B11" s="185" t="str">
        <f>COSTEO!E12</f>
        <v>TOUR DE LUCES por Medellín</v>
      </c>
      <c r="C11" s="93">
        <f>COSTEO!O12</f>
        <v>38.01169591</v>
      </c>
      <c r="D11" s="93">
        <f>COSTEO!P12</f>
        <v>38.01169591</v>
      </c>
      <c r="E11" s="93">
        <f>COSTEO!Q12</f>
        <v>38.01169591</v>
      </c>
      <c r="F11" s="93">
        <f>COSTEO!R12</f>
        <v>38.01169591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79"/>
      <c r="B12" s="185" t="str">
        <f>COSTEO!E13</f>
        <v>08 traslados en Uber Hotel - punto de encuentro - hotel</v>
      </c>
      <c r="C12" s="93">
        <f>COSTEO!O13</f>
        <v>52.63157895</v>
      </c>
      <c r="D12" s="93" t="str">
        <f>COSTEO!P13</f>
        <v/>
      </c>
      <c r="E12" s="93" t="str">
        <f>COSTEO!Q13</f>
        <v/>
      </c>
      <c r="F12" s="93" t="str">
        <f>COSTEO!R13</f>
        <v/>
      </c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179"/>
      <c r="B13" s="144" t="str">
        <f>COSTEO!E14</f>
        <v>PAQUETE DE CHEQUEO MÉDICO</v>
      </c>
      <c r="C13" s="186">
        <f>COSTEO!O14</f>
        <v>485</v>
      </c>
      <c r="D13" s="187">
        <f>COSTEO!P14</f>
        <v>470</v>
      </c>
      <c r="E13" s="187">
        <f>COSTEO!Q14</f>
        <v>430</v>
      </c>
      <c r="F13" s="187">
        <f>COSTEO!R14</f>
        <v>430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>
      <c r="A14" s="179"/>
      <c r="B14" s="188" t="str">
        <f>COSTEO!E15</f>
        <v>Citología  cervical</v>
      </c>
      <c r="C14" s="95" t="str">
        <f>COSTEO!O15</f>
        <v/>
      </c>
      <c r="D14" s="139" t="str">
        <f>COSTEO!P15</f>
        <v>No</v>
      </c>
      <c r="E14" s="139" t="str">
        <f>COSTEO!Q15</f>
        <v>No</v>
      </c>
      <c r="F14" s="139" t="str">
        <f>COSTEO!R15</f>
        <v>No</v>
      </c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>
      <c r="A15" s="179"/>
      <c r="B15" s="188" t="str">
        <f>COSTEO!E16</f>
        <v>Antígeno de próstata</v>
      </c>
      <c r="C15" s="139" t="str">
        <f>COSTEO!O16</f>
        <v>No</v>
      </c>
      <c r="D15" s="95" t="str">
        <f>COSTEO!P16</f>
        <v/>
      </c>
      <c r="E15" s="139" t="str">
        <f>COSTEO!Q16</f>
        <v>No</v>
      </c>
      <c r="F15" s="139" t="str">
        <f>COSTEO!R16</f>
        <v>No</v>
      </c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>
      <c r="A16" s="179"/>
      <c r="B16" s="188" t="str">
        <f>COSTEO!E17</f>
        <v>Coprológico</v>
      </c>
      <c r="C16" s="95" t="str">
        <f>COSTEO!O17</f>
        <v/>
      </c>
      <c r="D16" s="95" t="str">
        <f>COSTEO!P17</f>
        <v/>
      </c>
      <c r="E16" s="95" t="str">
        <f>COSTEO!Q17</f>
        <v/>
      </c>
      <c r="F16" s="95" t="str">
        <f>COSTEO!R17</f>
        <v/>
      </c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>
      <c r="A17" s="179"/>
      <c r="B17" s="188" t="str">
        <f>COSTEO!E18</f>
        <v>Vitamina D25</v>
      </c>
      <c r="C17" s="95" t="str">
        <f>COSTEO!O18</f>
        <v/>
      </c>
      <c r="D17" s="95" t="str">
        <f>COSTEO!P18</f>
        <v/>
      </c>
      <c r="E17" s="95" t="str">
        <f>COSTEO!Q18</f>
        <v/>
      </c>
      <c r="F17" s="95" t="str">
        <f>COSTEO!R18</f>
        <v/>
      </c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>
      <c r="A18" s="179"/>
      <c r="B18" s="188" t="str">
        <f>COSTEO!E19</f>
        <v>Vitamina B12</v>
      </c>
      <c r="C18" s="95" t="str">
        <f>COSTEO!O19</f>
        <v/>
      </c>
      <c r="D18" s="95" t="str">
        <f>COSTEO!P19</f>
        <v/>
      </c>
      <c r="E18" s="95" t="str">
        <f>COSTEO!Q19</f>
        <v/>
      </c>
      <c r="F18" s="95" t="str">
        <f>COSTEO!R19</f>
        <v/>
      </c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>
      <c r="A19" s="179"/>
      <c r="B19" s="144" t="str">
        <f>COSTEO!E20</f>
        <v>Perfil lipídico</v>
      </c>
      <c r="C19" s="144" t="str">
        <f>COSTEO!O20</f>
        <v/>
      </c>
      <c r="D19" s="144" t="str">
        <f>COSTEO!P20</f>
        <v/>
      </c>
      <c r="E19" s="144" t="str">
        <f>COSTEO!Q20</f>
        <v/>
      </c>
      <c r="F19" s="144" t="str">
        <f>COSTEO!R20</f>
        <v/>
      </c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>
      <c r="A20" s="179"/>
      <c r="B20" s="188" t="str">
        <f>COSTEO!E21</f>
        <v>Colesterol HDL</v>
      </c>
      <c r="C20" s="95" t="str">
        <f>COSTEO!O21</f>
        <v/>
      </c>
      <c r="D20" s="95" t="str">
        <f>COSTEO!P21</f>
        <v/>
      </c>
      <c r="E20" s="95" t="str">
        <f>COSTEO!Q21</f>
        <v/>
      </c>
      <c r="F20" s="95" t="str">
        <f>COSTEO!R21</f>
        <v/>
      </c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>
      <c r="A21" s="179"/>
      <c r="B21" s="188" t="str">
        <f>COSTEO!E22</f>
        <v>Colesterol LDL</v>
      </c>
      <c r="C21" s="95" t="str">
        <f>COSTEO!O22</f>
        <v/>
      </c>
      <c r="D21" s="95" t="str">
        <f>COSTEO!P22</f>
        <v/>
      </c>
      <c r="E21" s="95" t="str">
        <f>COSTEO!Q22</f>
        <v/>
      </c>
      <c r="F21" s="95" t="str">
        <f>COSTEO!R22</f>
        <v/>
      </c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>
      <c r="A22" s="179"/>
      <c r="B22" s="188" t="str">
        <f>COSTEO!E23</f>
        <v>Colesterol total</v>
      </c>
      <c r="C22" s="95" t="str">
        <f>COSTEO!O23</f>
        <v/>
      </c>
      <c r="D22" s="95" t="str">
        <f>COSTEO!P23</f>
        <v/>
      </c>
      <c r="E22" s="95" t="str">
        <f>COSTEO!Q23</f>
        <v/>
      </c>
      <c r="F22" s="95" t="str">
        <f>COSTEO!R23</f>
        <v/>
      </c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>
      <c r="A23" s="179"/>
      <c r="B23" s="188" t="str">
        <f>COSTEO!E24</f>
        <v>Triglicéridos</v>
      </c>
      <c r="C23" s="95" t="str">
        <f>COSTEO!O24</f>
        <v/>
      </c>
      <c r="D23" s="95" t="str">
        <f>COSTEO!P24</f>
        <v/>
      </c>
      <c r="E23" s="95" t="str">
        <f>COSTEO!Q24</f>
        <v/>
      </c>
      <c r="F23" s="95" t="str">
        <f>COSTEO!R24</f>
        <v/>
      </c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>
      <c r="A24" s="179"/>
      <c r="B24" s="144" t="str">
        <f>COSTEO!E25</f>
        <v>Perfil Hepático</v>
      </c>
      <c r="C24" s="144" t="str">
        <f>COSTEO!O25</f>
        <v/>
      </c>
      <c r="D24" s="144" t="str">
        <f>COSTEO!P25</f>
        <v/>
      </c>
      <c r="E24" s="144" t="str">
        <f>COSTEO!Q25</f>
        <v/>
      </c>
      <c r="F24" s="144" t="str">
        <f>COSTEO!R25</f>
        <v/>
      </c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>
      <c r="A25" s="179"/>
      <c r="B25" s="188" t="str">
        <f>COSTEO!E26</f>
        <v>ALT- Alanina transferasa</v>
      </c>
      <c r="C25" s="95" t="str">
        <f>COSTEO!O26</f>
        <v/>
      </c>
      <c r="D25" s="95" t="str">
        <f>COSTEO!P26</f>
        <v/>
      </c>
      <c r="E25" s="95" t="str">
        <f>COSTEO!Q26</f>
        <v/>
      </c>
      <c r="F25" s="95" t="str">
        <f>COSTEO!R26</f>
        <v/>
      </c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>
      <c r="A26" s="179"/>
      <c r="B26" s="188" t="str">
        <f>COSTEO!E27</f>
        <v>AST - aspartato transferasa</v>
      </c>
      <c r="C26" s="95" t="str">
        <f>COSTEO!O27</f>
        <v/>
      </c>
      <c r="D26" s="95" t="str">
        <f>COSTEO!P27</f>
        <v/>
      </c>
      <c r="E26" s="95" t="str">
        <f>COSTEO!Q27</f>
        <v/>
      </c>
      <c r="F26" s="95" t="str">
        <f>COSTEO!R27</f>
        <v/>
      </c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>
      <c r="A27" s="179"/>
      <c r="B27" s="188" t="str">
        <f>COSTEO!E28</f>
        <v>Bilirrubina total y directa</v>
      </c>
      <c r="C27" s="95" t="str">
        <f>COSTEO!O28</f>
        <v/>
      </c>
      <c r="D27" s="95" t="str">
        <f>COSTEO!P28</f>
        <v/>
      </c>
      <c r="E27" s="139" t="str">
        <f>COSTEO!Q28</f>
        <v>No</v>
      </c>
      <c r="F27" s="139" t="str">
        <f>COSTEO!R28</f>
        <v>No</v>
      </c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>
      <c r="A28" s="179"/>
      <c r="B28" s="188" t="str">
        <f>COSTEO!E29</f>
        <v>Gama Glutamil transferasa</v>
      </c>
      <c r="C28" s="95" t="str">
        <f>COSTEO!O29</f>
        <v/>
      </c>
      <c r="D28" s="95" t="str">
        <f>COSTEO!P29</f>
        <v/>
      </c>
      <c r="E28" s="139" t="str">
        <f>COSTEO!Q29</f>
        <v>No</v>
      </c>
      <c r="F28" s="139" t="str">
        <f>COSTEO!R29</f>
        <v>No</v>
      </c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>
      <c r="A29" s="179"/>
      <c r="B29" s="144" t="str">
        <f>COSTEO!E30</f>
        <v>Perfil Renal</v>
      </c>
      <c r="C29" s="144" t="str">
        <f>COSTEO!O30</f>
        <v/>
      </c>
      <c r="D29" s="144" t="str">
        <f>COSTEO!P30</f>
        <v/>
      </c>
      <c r="E29" s="144" t="str">
        <f>COSTEO!Q30</f>
        <v/>
      </c>
      <c r="F29" s="144" t="str">
        <f>COSTEO!R30</f>
        <v/>
      </c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79"/>
      <c r="B30" s="188" t="str">
        <f>COSTEO!E31</f>
        <v>Creatinina</v>
      </c>
      <c r="C30" s="95" t="str">
        <f>COSTEO!O31</f>
        <v/>
      </c>
      <c r="D30" s="95" t="str">
        <f>COSTEO!P31</f>
        <v/>
      </c>
      <c r="E30" s="95" t="str">
        <f>COSTEO!Q31</f>
        <v/>
      </c>
      <c r="F30" s="95" t="str">
        <f>COSTEO!R31</f>
        <v/>
      </c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>
      <c r="A31" s="179"/>
      <c r="B31" s="188" t="str">
        <f>COSTEO!E32</f>
        <v>Uroanálisis</v>
      </c>
      <c r="C31" s="95" t="str">
        <f>COSTEO!O32</f>
        <v/>
      </c>
      <c r="D31" s="95" t="str">
        <f>COSTEO!P32</f>
        <v/>
      </c>
      <c r="E31" s="95" t="str">
        <f>COSTEO!Q32</f>
        <v/>
      </c>
      <c r="F31" s="95" t="str">
        <f>COSTEO!R32</f>
        <v/>
      </c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>
      <c r="A32" s="179"/>
      <c r="B32" s="188" t="str">
        <f>COSTEO!E33</f>
        <v>Nitrógeno Ureico en Sangre  (BUN)</v>
      </c>
      <c r="C32" s="95" t="str">
        <f>COSTEO!O33</f>
        <v/>
      </c>
      <c r="D32" s="95" t="str">
        <f>COSTEO!P33</f>
        <v/>
      </c>
      <c r="E32" s="139" t="str">
        <f>COSTEO!Q33</f>
        <v>No</v>
      </c>
      <c r="F32" s="139" t="str">
        <f>COSTEO!R33</f>
        <v>No</v>
      </c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>
      <c r="A33" s="179"/>
      <c r="B33" s="144" t="str">
        <f>COSTEO!E34</f>
        <v>Sangre</v>
      </c>
      <c r="C33" s="144" t="str">
        <f>COSTEO!O34</f>
        <v/>
      </c>
      <c r="D33" s="144" t="str">
        <f>COSTEO!P34</f>
        <v/>
      </c>
      <c r="E33" s="144" t="str">
        <f>COSTEO!Q34</f>
        <v/>
      </c>
      <c r="F33" s="144" t="str">
        <f>COSTEO!R34</f>
        <v/>
      </c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79"/>
      <c r="B34" s="188" t="str">
        <f>COSTEO!E35</f>
        <v>Hemograma completo</v>
      </c>
      <c r="C34" s="95" t="str">
        <f>COSTEO!O35</f>
        <v/>
      </c>
      <c r="D34" s="95" t="str">
        <f>COSTEO!P35</f>
        <v/>
      </c>
      <c r="E34" s="95" t="str">
        <f>COSTEO!Q35</f>
        <v/>
      </c>
      <c r="F34" s="95" t="str">
        <f>COSTEO!R35</f>
        <v/>
      </c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>
      <c r="A35" s="179"/>
      <c r="B35" s="188" t="str">
        <f>COSTEO!E36</f>
        <v>Hemoglobina glicosilada</v>
      </c>
      <c r="C35" s="95" t="str">
        <f>COSTEO!O36</f>
        <v/>
      </c>
      <c r="D35" s="95" t="str">
        <f>COSTEO!P36</f>
        <v/>
      </c>
      <c r="E35" s="95" t="str">
        <f>COSTEO!Q36</f>
        <v/>
      </c>
      <c r="F35" s="95" t="str">
        <f>COSTEO!R36</f>
        <v/>
      </c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>
      <c r="A36" s="179"/>
      <c r="B36" s="188" t="str">
        <f>COSTEO!E37</f>
        <v>Ferritina</v>
      </c>
      <c r="C36" s="95" t="str">
        <f>COSTEO!O37</f>
        <v/>
      </c>
      <c r="D36" s="95" t="str">
        <f>COSTEO!P37</f>
        <v/>
      </c>
      <c r="E36" s="95" t="str">
        <f>COSTEO!Q37</f>
        <v/>
      </c>
      <c r="F36" s="95" t="str">
        <f>COSTEO!R37</f>
        <v/>
      </c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>
      <c r="A37" s="179"/>
      <c r="B37" s="188" t="str">
        <f>COSTEO!E38</f>
        <v>Glucosa sérica</v>
      </c>
      <c r="C37" s="95" t="str">
        <f>COSTEO!O38</f>
        <v/>
      </c>
      <c r="D37" s="95" t="str">
        <f>COSTEO!P38</f>
        <v/>
      </c>
      <c r="E37" s="95" t="str">
        <f>COSTEO!Q38</f>
        <v/>
      </c>
      <c r="F37" s="95" t="str">
        <f>COSTEO!R38</f>
        <v/>
      </c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>
      <c r="A38" s="179"/>
      <c r="B38" s="144" t="str">
        <f>COSTEO!E39</f>
        <v>Perfil Tiroideo</v>
      </c>
      <c r="C38" s="144" t="str">
        <f>COSTEO!O39</f>
        <v/>
      </c>
      <c r="D38" s="144" t="str">
        <f>COSTEO!P39</f>
        <v/>
      </c>
      <c r="E38" s="144" t="str">
        <f>COSTEO!Q39</f>
        <v/>
      </c>
      <c r="F38" s="144" t="str">
        <f>COSTEO!R39</f>
        <v/>
      </c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>
      <c r="A39" s="179"/>
      <c r="B39" s="188" t="str">
        <f>COSTEO!E40</f>
        <v>T4 total</v>
      </c>
      <c r="C39" s="95" t="str">
        <f>COSTEO!O40</f>
        <v/>
      </c>
      <c r="D39" s="95" t="str">
        <f>COSTEO!P40</f>
        <v/>
      </c>
      <c r="E39" s="95" t="str">
        <f>COSTEO!Q40</f>
        <v/>
      </c>
      <c r="F39" s="95" t="str">
        <f>COSTEO!R40</f>
        <v/>
      </c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>
      <c r="A40" s="179"/>
      <c r="B40" s="188" t="str">
        <f>COSTEO!E41</f>
        <v>TSH</v>
      </c>
      <c r="C40" s="95" t="str">
        <f>COSTEO!O41</f>
        <v/>
      </c>
      <c r="D40" s="95" t="str">
        <f>COSTEO!P41</f>
        <v/>
      </c>
      <c r="E40" s="95" t="str">
        <f>COSTEO!Q41</f>
        <v/>
      </c>
      <c r="F40" s="95" t="str">
        <f>COSTEO!R41</f>
        <v/>
      </c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>
      <c r="A41" s="179"/>
      <c r="B41" s="144" t="str">
        <f>COSTEO!E42</f>
        <v>Enfermedades de transmisión sexual</v>
      </c>
      <c r="C41" s="144" t="str">
        <f>COSTEO!O42</f>
        <v/>
      </c>
      <c r="D41" s="144" t="str">
        <f>COSTEO!P42</f>
        <v/>
      </c>
      <c r="E41" s="144" t="str">
        <f>COSTEO!Q42</f>
        <v/>
      </c>
      <c r="F41" s="144" t="str">
        <f>COSTEO!R42</f>
        <v/>
      </c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>
      <c r="A42" s="179"/>
      <c r="B42" s="188" t="str">
        <f>COSTEO!E43</f>
        <v>VDRL</v>
      </c>
      <c r="C42" s="95" t="str">
        <f>COSTEO!O43</f>
        <v/>
      </c>
      <c r="D42" s="95" t="str">
        <f>COSTEO!P43</f>
        <v/>
      </c>
      <c r="E42" s="139" t="str">
        <f>COSTEO!Q43</f>
        <v>No</v>
      </c>
      <c r="F42" s="139" t="str">
        <f>COSTEO!R43</f>
        <v>No</v>
      </c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>
      <c r="A43" s="179"/>
      <c r="B43" s="188" t="str">
        <f>COSTEO!E44</f>
        <v>VIH 1 Y 2, Anticuerpos </v>
      </c>
      <c r="C43" s="95" t="str">
        <f>COSTEO!O44</f>
        <v/>
      </c>
      <c r="D43" s="95" t="str">
        <f>COSTEO!P44</f>
        <v/>
      </c>
      <c r="E43" s="139" t="str">
        <f>COSTEO!Q44</f>
        <v>No</v>
      </c>
      <c r="F43" s="139" t="str">
        <f>COSTEO!R44</f>
        <v>No</v>
      </c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>
      <c r="A44" s="179"/>
      <c r="B44" s="144" t="str">
        <f>COSTEO!E45</f>
        <v>Imágenes diagnósticas</v>
      </c>
      <c r="C44" s="144" t="str">
        <f>COSTEO!O45</f>
        <v/>
      </c>
      <c r="D44" s="144" t="str">
        <f>COSTEO!P45</f>
        <v/>
      </c>
      <c r="E44" s="144" t="str">
        <f>COSTEO!Q45</f>
        <v/>
      </c>
      <c r="F44" s="144" t="str">
        <f>COSTEO!R45</f>
        <v/>
      </c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>
      <c r="A45" s="179"/>
      <c r="B45" s="188" t="str">
        <f>COSTEO!E46</f>
        <v>Radiografía de tórax</v>
      </c>
      <c r="C45" s="95" t="str">
        <f>COSTEO!O46</f>
        <v/>
      </c>
      <c r="D45" s="95" t="str">
        <f>COSTEO!P46</f>
        <v/>
      </c>
      <c r="E45" s="139" t="str">
        <f>COSTEO!Q46</f>
        <v>No</v>
      </c>
      <c r="F45" s="139" t="str">
        <f>COSTEO!R46</f>
        <v>No</v>
      </c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>
      <c r="A46" s="179"/>
      <c r="B46" s="188" t="str">
        <f>COSTEO!E47</f>
        <v>Ecografía de abdomen total</v>
      </c>
      <c r="C46" s="95" t="str">
        <f>COSTEO!O47</f>
        <v/>
      </c>
      <c r="D46" s="95" t="str">
        <f>COSTEO!P47</f>
        <v/>
      </c>
      <c r="E46" s="95" t="str">
        <f>COSTEO!Q47</f>
        <v/>
      </c>
      <c r="F46" s="95" t="str">
        <f>COSTEO!R47</f>
        <v/>
      </c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>
      <c r="A47" s="179"/>
      <c r="B47" s="189" t="str">
        <f>COSTEO!E48</f>
        <v>Ecografía de mamas</v>
      </c>
      <c r="C47" s="95" t="str">
        <f>COSTEO!O48</f>
        <v/>
      </c>
      <c r="D47" s="139" t="str">
        <f>COSTEO!P48</f>
        <v>No</v>
      </c>
      <c r="E47" s="139" t="str">
        <f>COSTEO!Q48</f>
        <v>No</v>
      </c>
      <c r="F47" s="139" t="str">
        <f>COSTEO!R48</f>
        <v>No</v>
      </c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>
      <c r="A48" s="179"/>
      <c r="B48" s="188" t="str">
        <f>COSTEO!E49</f>
        <v>Electrocardiograma</v>
      </c>
      <c r="C48" s="95" t="str">
        <f>COSTEO!O49</f>
        <v/>
      </c>
      <c r="D48" s="95" t="str">
        <f>COSTEO!P49</f>
        <v/>
      </c>
      <c r="E48" s="95" t="str">
        <f>COSTEO!Q49</f>
        <v/>
      </c>
      <c r="F48" s="95" t="str">
        <f>COSTEO!R49</f>
        <v/>
      </c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>
      <c r="A49" s="179"/>
      <c r="B49" s="190" t="str">
        <f>COSTEO!E50</f>
        <v>Cita con especialista en Medicina Interna</v>
      </c>
      <c r="C49" s="95" t="str">
        <f>COSTEO!O50</f>
        <v/>
      </c>
      <c r="D49" s="95" t="str">
        <f>COSTEO!P50</f>
        <v/>
      </c>
      <c r="E49" s="139" t="str">
        <f>COSTEO!Q50</f>
        <v>No</v>
      </c>
      <c r="F49" s="139" t="str">
        <f>COSTEO!R50</f>
        <v>No</v>
      </c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>
      <c r="A50" s="179"/>
      <c r="B50" s="190" t="str">
        <f>COSTEO!E51</f>
        <v>Cita con especialista en Pediatría</v>
      </c>
      <c r="C50" s="139" t="str">
        <f>COSTEO!O51</f>
        <v>No</v>
      </c>
      <c r="D50" s="139" t="str">
        <f>COSTEO!P51</f>
        <v>No</v>
      </c>
      <c r="E50" s="95" t="str">
        <f>COSTEO!Q51</f>
        <v/>
      </c>
      <c r="F50" s="139" t="str">
        <f>COSTEO!R51</f>
        <v>No</v>
      </c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>
      <c r="A51" s="179"/>
      <c r="B51" s="190" t="str">
        <f>COSTEO!E52</f>
        <v>Cita con especialista en Pediatría adolecente</v>
      </c>
      <c r="C51" s="139" t="str">
        <f>COSTEO!O52</f>
        <v>No</v>
      </c>
      <c r="D51" s="139" t="str">
        <f>COSTEO!P52</f>
        <v>No</v>
      </c>
      <c r="E51" s="139" t="str">
        <f>COSTEO!Q52</f>
        <v>No</v>
      </c>
      <c r="F51" s="95" t="str">
        <f>COSTEO!R52</f>
        <v/>
      </c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>
      <c r="A52" s="179"/>
      <c r="B52" s="191" t="str">
        <f>COSTEO!E53</f>
        <v>Póliza de asistencia médica al viajero - producto visitor  por 02 días</v>
      </c>
      <c r="C52" s="95" t="str">
        <f>COSTEO!O53</f>
        <v/>
      </c>
      <c r="D52" s="95" t="str">
        <f>COSTEO!P53</f>
        <v/>
      </c>
      <c r="E52" s="95" t="str">
        <f>COSTEO!Q53</f>
        <v/>
      </c>
      <c r="F52" s="95" t="str">
        <f>COSTEO!R53</f>
        <v/>
      </c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>
      <c r="A53" s="179"/>
      <c r="B53" s="192" t="str">
        <f>COSTEO!E54</f>
        <v>04 Traslados hotel - clínica por trayecto</v>
      </c>
      <c r="C53" s="95" t="str">
        <f>COSTEO!O54</f>
        <v/>
      </c>
      <c r="D53" s="95" t="str">
        <f>COSTEO!P54</f>
        <v/>
      </c>
      <c r="E53" s="95" t="str">
        <f>COSTEO!Q54</f>
        <v/>
      </c>
      <c r="F53" s="95" t="str">
        <f>COSTEO!R54</f>
        <v/>
      </c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>
      <c r="A54" s="179"/>
      <c r="B54" s="192" t="str">
        <f>COSTEO!E55</f>
        <v>Medical Trip Colombia SAS - Acompañamiento virtual  y presencial para exámenes y citas</v>
      </c>
      <c r="C54" s="95" t="str">
        <f>COSTEO!O55</f>
        <v/>
      </c>
      <c r="D54" s="95" t="str">
        <f>COSTEO!P55</f>
        <v/>
      </c>
      <c r="E54" s="95" t="str">
        <f>COSTEO!Q55</f>
        <v/>
      </c>
      <c r="F54" s="95" t="str">
        <f>COSTEO!R55</f>
        <v/>
      </c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>
      <c r="A55" s="179"/>
      <c r="B55" s="193" t="str">
        <f>COSTEO!E56</f>
        <v/>
      </c>
      <c r="C55" s="158" t="str">
        <f>COSTEO!O56</f>
        <v/>
      </c>
      <c r="D55" s="158" t="str">
        <f>COSTEO!P56</f>
        <v/>
      </c>
      <c r="E55" s="158" t="str">
        <f>COSTEO!Q56</f>
        <v/>
      </c>
      <c r="F55" s="158" t="str">
        <f>COSTEO!R56</f>
        <v/>
      </c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>
      <c r="A56" s="179"/>
      <c r="B56" s="194" t="str">
        <f>COSTEO!E57</f>
        <v>Entrevista virtual con el Dr Marcos Yepes</v>
      </c>
      <c r="C56" s="93" t="str">
        <f>COSTEO!O57</f>
        <v/>
      </c>
      <c r="D56" s="93">
        <f>COSTEO!P57</f>
        <v>39.73684211</v>
      </c>
      <c r="E56" s="162" t="str">
        <f>COSTEO!Q57</f>
        <v/>
      </c>
      <c r="F56" s="93" t="str">
        <f>COSTEO!R57</f>
        <v/>
      </c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>
      <c r="A57" s="179"/>
      <c r="B57" s="195" t="str">
        <f>COSTEO!E58</f>
        <v>Radiografía panorámica dental</v>
      </c>
      <c r="C57" s="93">
        <f>COSTEO!O58</f>
        <v>17.54385965</v>
      </c>
      <c r="D57" s="93">
        <f>COSTEO!P58</f>
        <v>17.54385965</v>
      </c>
      <c r="E57" s="95" t="str">
        <f>COSTEO!Q58</f>
        <v/>
      </c>
      <c r="F57" s="95" t="str">
        <f>COSTEO!R58</f>
        <v/>
      </c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>
      <c r="A58" s="179"/>
      <c r="B58" s="194" t="str">
        <f>COSTEO!E59</f>
        <v>Cita presencial de valoración por Odontología</v>
      </c>
      <c r="C58" s="93">
        <f>COSTEO!O59</f>
        <v>0</v>
      </c>
      <c r="D58" s="93">
        <f>COSTEO!P59</f>
        <v>0</v>
      </c>
      <c r="E58" s="93">
        <f>COSTEO!Q59</f>
        <v>0</v>
      </c>
      <c r="F58" s="93">
        <f>COSTEO!R59</f>
        <v>0</v>
      </c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>
      <c r="A59" s="179"/>
      <c r="B59" s="194" t="str">
        <f>COSTEO!E60</f>
        <v>Consulta con oftamologia </v>
      </c>
      <c r="C59" s="139" t="str">
        <f>COSTEO!O60</f>
        <v>No</v>
      </c>
      <c r="D59" s="93">
        <f>COSTEO!P60</f>
        <v>78.94736842</v>
      </c>
      <c r="E59" s="139" t="str">
        <f>COSTEO!Q60</f>
        <v>No</v>
      </c>
      <c r="F59" s="93">
        <f>COSTEO!R60</f>
        <v>78.94736842</v>
      </c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>
      <c r="A60" s="179"/>
      <c r="B60" s="194" t="str">
        <f>COSTEO!E61</f>
        <v>Consulta con Glaucomatólogo</v>
      </c>
      <c r="C60" s="93">
        <f>COSTEO!O61</f>
        <v>78.94736842</v>
      </c>
      <c r="D60" s="139" t="str">
        <f>COSTEO!P61</f>
        <v>No</v>
      </c>
      <c r="E60" s="93">
        <f>COSTEO!Q61</f>
        <v>78.94736842</v>
      </c>
      <c r="F60" s="139" t="str">
        <f>COSTEO!R61</f>
        <v>No</v>
      </c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>
      <c r="A61" s="179"/>
      <c r="B61" s="195" t="str">
        <f>COSTEO!E62</f>
        <v>Tomografía OCT </v>
      </c>
      <c r="C61" s="93">
        <f>COSTEO!O62</f>
        <v>114.5510836</v>
      </c>
      <c r="D61" s="139" t="str">
        <f>COSTEO!P62</f>
        <v>No</v>
      </c>
      <c r="E61" s="93">
        <f>COSTEO!Q62</f>
        <v>114.5510836</v>
      </c>
      <c r="F61" s="139" t="str">
        <f>COSTEO!R62</f>
        <v>No</v>
      </c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>
      <c r="A62" s="179"/>
      <c r="B62" s="195" t="str">
        <f>COSTEO!E63</f>
        <v>Ecografía de columna lumbar</v>
      </c>
      <c r="C62" s="93">
        <f>COSTEO!O63</f>
        <v>37.15170279</v>
      </c>
      <c r="D62" s="139" t="str">
        <f>COSTEO!P63</f>
        <v>No</v>
      </c>
      <c r="E62" s="139" t="str">
        <f>COSTEO!Q63</f>
        <v>No</v>
      </c>
      <c r="F62" s="139" t="str">
        <f>COSTEO!R63</f>
        <v>No</v>
      </c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>
      <c r="A63" s="179"/>
      <c r="B63" s="195" t="str">
        <f>COSTEO!E64</f>
        <v>Ecografía de brazo derecho</v>
      </c>
      <c r="C63" s="139" t="str">
        <f>COSTEO!O64</f>
        <v>No</v>
      </c>
      <c r="D63" s="93">
        <f>COSTEO!P64</f>
        <v>37.15170279</v>
      </c>
      <c r="E63" s="139" t="str">
        <f>COSTEO!Q64</f>
        <v>No</v>
      </c>
      <c r="F63" s="139" t="str">
        <f>COSTEO!R64</f>
        <v>No</v>
      </c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>
      <c r="A64" s="179"/>
      <c r="B64" s="195" t="str">
        <f>COSTEO!E65</f>
        <v>Ecografía de columna lumbar</v>
      </c>
      <c r="C64" s="139" t="str">
        <f>COSTEO!O65</f>
        <v>No</v>
      </c>
      <c r="D64" s="93">
        <f>COSTEO!P65</f>
        <v>37.15170279</v>
      </c>
      <c r="E64" s="139" t="str">
        <f>COSTEO!Q65</f>
        <v>No</v>
      </c>
      <c r="F64" s="139" t="str">
        <f>COSTEO!R65</f>
        <v>No</v>
      </c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>
      <c r="A65" s="179"/>
      <c r="B65" s="194" t="str">
        <f>COSTEO!E66</f>
        <v>Consulta con especialista en en Columna y brazo</v>
      </c>
      <c r="C65" s="93">
        <f>COSTEO!O66</f>
        <v>56.39097744</v>
      </c>
      <c r="D65" s="93">
        <f>COSTEO!P66</f>
        <v>56.39097744</v>
      </c>
      <c r="E65" s="139" t="str">
        <f>COSTEO!Q66</f>
        <v>No</v>
      </c>
      <c r="F65" s="139" t="str">
        <f>COSTEO!R66</f>
        <v>No</v>
      </c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>
      <c r="A66" s="179"/>
      <c r="B66" s="166" t="str">
        <f>COSTEO!E67</f>
        <v>03 Traslados adicionales hotel - clínica por trayecto </v>
      </c>
      <c r="C66" s="93">
        <f>COSTEO!O67</f>
        <v>35.0877193</v>
      </c>
      <c r="D66" s="93" t="str">
        <f>COSTEO!P67</f>
        <v/>
      </c>
      <c r="E66" s="93" t="str">
        <f>COSTEO!Q67</f>
        <v/>
      </c>
      <c r="F66" s="93" t="str">
        <f>COSTEO!R67</f>
        <v/>
      </c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>
      <c r="A67" s="179"/>
      <c r="B67" s="166" t="str">
        <f>COSTEO!E68</f>
        <v>Medical Trip Servicios de acompañamiento y logística</v>
      </c>
      <c r="C67" s="93">
        <f>COSTEO!O68</f>
        <v>26.31578947</v>
      </c>
      <c r="D67" s="93">
        <f>COSTEO!P68</f>
        <v>26.31578947</v>
      </c>
      <c r="E67" s="93" t="str">
        <f>COSTEO!Q68</f>
        <v/>
      </c>
      <c r="F67" s="93" t="str">
        <f>COSTEO!R68</f>
        <v/>
      </c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>
      <c r="A68" s="179"/>
      <c r="B68" s="127" t="s">
        <v>206</v>
      </c>
      <c r="C68" s="196">
        <f>COSTEO!O72</f>
        <v>4.696707671</v>
      </c>
      <c r="D68" s="196">
        <f>COSTEO!P72</f>
        <v>3.489500266</v>
      </c>
      <c r="E68" s="196">
        <f>COSTEO!Q72</f>
        <v>2.933054658</v>
      </c>
      <c r="F68" s="196">
        <f>COSTEO!R72</f>
        <v>2.47382199</v>
      </c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>
      <c r="A69" s="179"/>
      <c r="B69" s="197" t="s">
        <v>207</v>
      </c>
      <c r="C69" s="198">
        <f t="shared" ref="C69:F69" si="1">SUM(C4:C68)</f>
        <v>1179.124234</v>
      </c>
      <c r="D69" s="198">
        <f t="shared" si="1"/>
        <v>876.3596659</v>
      </c>
      <c r="E69" s="198">
        <f t="shared" si="1"/>
        <v>736.0634296</v>
      </c>
      <c r="F69" s="198">
        <f t="shared" si="1"/>
        <v>621.0531134</v>
      </c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>
      <c r="A70" s="179"/>
      <c r="B70" s="179" t="str">
        <f>COSTEO!E71</f>
        <v/>
      </c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>
      <c r="A71" s="179"/>
      <c r="B71" s="179" t="str">
        <f>COSTEO!E72</f>
        <v/>
      </c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>
      <c r="A72" s="179"/>
      <c r="B72" s="179" t="str">
        <f>COSTEO!E73</f>
        <v/>
      </c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>
      <c r="A73" s="179"/>
      <c r="B73" s="179" t="str">
        <f>COSTEO!E74</f>
        <v/>
      </c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>
      <c r="A74" s="179"/>
      <c r="B74" s="179" t="str">
        <f>COSTEO!E75</f>
        <v/>
      </c>
      <c r="C74" s="179" t="str">
        <f>COSTEO!O75</f>
        <v/>
      </c>
      <c r="D74" s="179" t="str">
        <f>COSTEO!P75</f>
        <v/>
      </c>
      <c r="E74" s="179" t="str">
        <f>COSTEO!Q75</f>
        <v/>
      </c>
      <c r="F74" s="179" t="str">
        <f>COSTEO!R75</f>
        <v/>
      </c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>
      <c r="A75" s="179"/>
      <c r="B75" s="179" t="str">
        <f>COSTEO!E76</f>
        <v/>
      </c>
      <c r="C75" s="179" t="str">
        <f>COSTEO!O76</f>
        <v/>
      </c>
      <c r="D75" s="179" t="str">
        <f>COSTEO!P76</f>
        <v/>
      </c>
      <c r="E75" s="179" t="str">
        <f>COSTEO!Q76</f>
        <v/>
      </c>
      <c r="F75" s="179" t="str">
        <f>COSTEO!R76</f>
        <v/>
      </c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>
      <c r="A76" s="179"/>
      <c r="B76" s="179" t="str">
        <f>COSTEO!E77</f>
        <v/>
      </c>
      <c r="C76" s="179" t="str">
        <f>COSTEO!O77</f>
        <v/>
      </c>
      <c r="D76" s="179" t="str">
        <f>COSTEO!P77</f>
        <v/>
      </c>
      <c r="E76" s="179" t="str">
        <f>COSTEO!Q77</f>
        <v/>
      </c>
      <c r="F76" s="179" t="str">
        <f>COSTEO!R77</f>
        <v/>
      </c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>
      <c r="A77" s="179"/>
      <c r="B77" s="179" t="str">
        <f>COSTEO!E78</f>
        <v/>
      </c>
      <c r="C77" s="179" t="str">
        <f>COSTEO!O78</f>
        <v/>
      </c>
      <c r="D77" s="179" t="str">
        <f>COSTEO!P78</f>
        <v/>
      </c>
      <c r="E77" s="179" t="str">
        <f>COSTEO!Q78</f>
        <v/>
      </c>
      <c r="F77" s="179" t="str">
        <f>COSTEO!R78</f>
        <v/>
      </c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>
      <c r="A78" s="179"/>
      <c r="B78" s="179" t="str">
        <f>COSTEO!E79</f>
        <v/>
      </c>
      <c r="C78" s="179" t="str">
        <f>COSTEO!O79</f>
        <v/>
      </c>
      <c r="D78" s="179" t="str">
        <f>COSTEO!P79</f>
        <v/>
      </c>
      <c r="E78" s="179" t="str">
        <f>COSTEO!Q79</f>
        <v/>
      </c>
      <c r="F78" s="179" t="str">
        <f>COSTEO!R79</f>
        <v/>
      </c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>
      <c r="A79" s="179"/>
      <c r="B79" s="179" t="str">
        <f>COSTEO!E80</f>
        <v/>
      </c>
      <c r="C79" s="179" t="str">
        <f>COSTEO!O80</f>
        <v/>
      </c>
      <c r="D79" s="179" t="str">
        <f>COSTEO!P80</f>
        <v/>
      </c>
      <c r="E79" s="179" t="str">
        <f>COSTEO!Q80</f>
        <v/>
      </c>
      <c r="F79" s="179" t="str">
        <f>COSTEO!R80</f>
        <v/>
      </c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>
      <c r="A80" s="179"/>
      <c r="B80" s="179" t="str">
        <f>COSTEO!E81</f>
        <v/>
      </c>
      <c r="C80" s="179" t="str">
        <f>COSTEO!O81</f>
        <v/>
      </c>
      <c r="D80" s="179" t="str">
        <f>COSTEO!P81</f>
        <v/>
      </c>
      <c r="E80" s="179" t="str">
        <f>COSTEO!Q81</f>
        <v/>
      </c>
      <c r="F80" s="179" t="str">
        <f>COSTEO!R81</f>
        <v/>
      </c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>
      <c r="A81" s="179"/>
      <c r="B81" s="179" t="str">
        <f>COSTEO!E82</f>
        <v/>
      </c>
      <c r="C81" s="179" t="str">
        <f>COSTEO!O82</f>
        <v/>
      </c>
      <c r="D81" s="179" t="str">
        <f>COSTEO!P82</f>
        <v/>
      </c>
      <c r="E81" s="179" t="str">
        <f>COSTEO!Q82</f>
        <v/>
      </c>
      <c r="F81" s="179" t="str">
        <f>COSTEO!R82</f>
        <v/>
      </c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>
      <c r="A82" s="179"/>
      <c r="B82" s="179" t="str">
        <f>COSTEO!E83</f>
        <v/>
      </c>
      <c r="C82" s="179" t="str">
        <f>COSTEO!O83</f>
        <v/>
      </c>
      <c r="D82" s="179" t="str">
        <f>COSTEO!P83</f>
        <v/>
      </c>
      <c r="E82" s="179" t="str">
        <f>COSTEO!Q83</f>
        <v/>
      </c>
      <c r="F82" s="179" t="str">
        <f>COSTEO!R83</f>
        <v/>
      </c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>
      <c r="A83" s="179"/>
      <c r="B83" s="179" t="str">
        <f>COSTEO!E84</f>
        <v/>
      </c>
      <c r="C83" s="179" t="str">
        <f>COSTEO!O84</f>
        <v/>
      </c>
      <c r="D83" s="179" t="str">
        <f>COSTEO!P84</f>
        <v/>
      </c>
      <c r="E83" s="179" t="str">
        <f>COSTEO!Q84</f>
        <v/>
      </c>
      <c r="F83" s="179" t="str">
        <f>COSTEO!R84</f>
        <v/>
      </c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>
      <c r="A84" s="179"/>
      <c r="B84" s="179"/>
      <c r="C84" s="179" t="str">
        <f>COSTEO!O85</f>
        <v/>
      </c>
      <c r="D84" s="179" t="str">
        <f>COSTEO!P85</f>
        <v/>
      </c>
      <c r="E84" s="179" t="str">
        <f>COSTEO!Q85</f>
        <v/>
      </c>
      <c r="F84" s="179" t="str">
        <f>COSTEO!R85</f>
        <v/>
      </c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>
      <c r="A85" s="179"/>
      <c r="B85" s="179"/>
      <c r="C85" s="179" t="str">
        <f>COSTEO!O86</f>
        <v/>
      </c>
      <c r="D85" s="179" t="str">
        <f>COSTEO!P86</f>
        <v/>
      </c>
      <c r="E85" s="179" t="str">
        <f>COSTEO!Q86</f>
        <v/>
      </c>
      <c r="F85" s="179" t="str">
        <f>COSTEO!R86</f>
        <v/>
      </c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>
      <c r="A86" s="179"/>
      <c r="B86" s="179"/>
      <c r="C86" s="179" t="str">
        <f>COSTEO!O87</f>
        <v/>
      </c>
      <c r="D86" s="179" t="str">
        <f>COSTEO!P87</f>
        <v/>
      </c>
      <c r="E86" s="179" t="str">
        <f>COSTEO!Q87</f>
        <v/>
      </c>
      <c r="F86" s="179" t="str">
        <f>COSTEO!R87</f>
        <v/>
      </c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>
      <c r="A87" s="179"/>
      <c r="B87" s="179"/>
      <c r="C87" s="179" t="str">
        <f>COSTEO!O88</f>
        <v/>
      </c>
      <c r="D87" s="179" t="str">
        <f>COSTEO!P88</f>
        <v/>
      </c>
      <c r="E87" s="179" t="str">
        <f>COSTEO!Q88</f>
        <v/>
      </c>
      <c r="F87" s="179" t="str">
        <f>COSTEO!R88</f>
        <v/>
      </c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>
      <c r="A88" s="179"/>
      <c r="B88" s="179"/>
      <c r="C88" s="179" t="str">
        <f>COSTEO!O89</f>
        <v/>
      </c>
      <c r="D88" s="179" t="str">
        <f>COSTEO!P89</f>
        <v/>
      </c>
      <c r="E88" s="179" t="str">
        <f>COSTEO!Q89</f>
        <v/>
      </c>
      <c r="F88" s="179" t="str">
        <f>COSTEO!R89</f>
        <v/>
      </c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>
      <c r="A89" s="179"/>
      <c r="B89" s="179"/>
      <c r="C89" s="179" t="str">
        <f>COSTEO!O90</f>
        <v/>
      </c>
      <c r="D89" s="179" t="str">
        <f>COSTEO!P90</f>
        <v/>
      </c>
      <c r="E89" s="179" t="str">
        <f>COSTEO!Q90</f>
        <v/>
      </c>
      <c r="F89" s="179" t="str">
        <f>COSTEO!R90</f>
        <v/>
      </c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>
      <c r="A90" s="179"/>
      <c r="B90" s="179"/>
      <c r="C90" s="179" t="str">
        <f>COSTEO!O91</f>
        <v/>
      </c>
      <c r="D90" s="179" t="str">
        <f>COSTEO!P91</f>
        <v/>
      </c>
      <c r="E90" s="179" t="str">
        <f>COSTEO!Q91</f>
        <v/>
      </c>
      <c r="F90" s="179" t="str">
        <f>COSTEO!R91</f>
        <v/>
      </c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>
      <c r="A91" s="179"/>
      <c r="B91" s="179"/>
      <c r="C91" s="179" t="str">
        <f>COSTEO!O92</f>
        <v/>
      </c>
      <c r="D91" s="179" t="str">
        <f>COSTEO!P92</f>
        <v/>
      </c>
      <c r="E91" s="179" t="str">
        <f>COSTEO!Q92</f>
        <v/>
      </c>
      <c r="F91" s="179" t="str">
        <f>COSTEO!R92</f>
        <v/>
      </c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>
      <c r="A92" s="179"/>
      <c r="B92" s="179"/>
      <c r="C92" s="179" t="str">
        <f>COSTEO!O93</f>
        <v/>
      </c>
      <c r="D92" s="179" t="str">
        <f>COSTEO!P93</f>
        <v/>
      </c>
      <c r="E92" s="179" t="str">
        <f>COSTEO!Q93</f>
        <v/>
      </c>
      <c r="F92" s="179" t="str">
        <f>COSTEO!R93</f>
        <v/>
      </c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>
      <c r="A93" s="179"/>
      <c r="B93" s="179"/>
      <c r="C93" s="179" t="str">
        <f>COSTEO!O94</f>
        <v/>
      </c>
      <c r="D93" s="179" t="str">
        <f>COSTEO!P94</f>
        <v/>
      </c>
      <c r="E93" s="179" t="str">
        <f>COSTEO!Q94</f>
        <v/>
      </c>
      <c r="F93" s="179" t="str">
        <f>COSTEO!R94</f>
        <v/>
      </c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>
      <c r="A94" s="179"/>
      <c r="B94" s="179"/>
      <c r="C94" s="179" t="str">
        <f>COSTEO!O95</f>
        <v/>
      </c>
      <c r="D94" s="179" t="str">
        <f>COSTEO!P95</f>
        <v/>
      </c>
      <c r="E94" s="179" t="str">
        <f>COSTEO!Q95</f>
        <v/>
      </c>
      <c r="F94" s="179" t="str">
        <f>COSTEO!R95</f>
        <v/>
      </c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>
      <c r="A95" s="179"/>
      <c r="B95" s="179"/>
      <c r="C95" s="179" t="str">
        <f>COSTEO!O96</f>
        <v/>
      </c>
      <c r="D95" s="179" t="str">
        <f>COSTEO!P96</f>
        <v/>
      </c>
      <c r="E95" s="179" t="str">
        <f>COSTEO!Q96</f>
        <v/>
      </c>
      <c r="F95" s="179" t="str">
        <f>COSTEO!R96</f>
        <v/>
      </c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>
      <c r="A96" s="179"/>
      <c r="B96" s="179"/>
      <c r="C96" s="179" t="str">
        <f>COSTEO!O97</f>
        <v/>
      </c>
      <c r="D96" s="179" t="str">
        <f>COSTEO!P97</f>
        <v/>
      </c>
      <c r="E96" s="179" t="str">
        <f>COSTEO!Q97</f>
        <v/>
      </c>
      <c r="F96" s="179" t="str">
        <f>COSTEO!R97</f>
        <v/>
      </c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>
      <c r="A97" s="179"/>
      <c r="B97" s="179"/>
      <c r="C97" s="179" t="str">
        <f>COSTEO!O98</f>
        <v/>
      </c>
      <c r="D97" s="179" t="str">
        <f>COSTEO!P98</f>
        <v/>
      </c>
      <c r="E97" s="179" t="str">
        <f>COSTEO!Q98</f>
        <v/>
      </c>
      <c r="F97" s="179" t="str">
        <f>COSTEO!R98</f>
        <v/>
      </c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  <row r="1001">
      <c r="A1001" s="179"/>
      <c r="B1001" s="179"/>
      <c r="C1001" s="179"/>
      <c r="D1001" s="179"/>
      <c r="E1001" s="179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</row>
    <row r="1002">
      <c r="A1002" s="179"/>
      <c r="B1002" s="179"/>
      <c r="C1002" s="179"/>
      <c r="D1002" s="179"/>
      <c r="E1002" s="179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9"/>
    </row>
    <row r="8">
      <c r="K8" s="6"/>
    </row>
    <row r="31">
      <c r="C31" s="200"/>
    </row>
  </sheetData>
  <drawing r:id="rId1"/>
</worksheet>
</file>