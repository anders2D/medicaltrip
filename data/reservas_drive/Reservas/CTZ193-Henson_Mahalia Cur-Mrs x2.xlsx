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DETALLE DE SERVICIOS" sheetId="2" r:id="rId5"/>
    <sheet state="visible" name="COSTEO" sheetId="3" r:id="rId6"/>
    <sheet state="visible" name="ITINERARIO" sheetId="4" r:id="rId7"/>
    <sheet state="visible" name="HOTEL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oFto26UIa+ZBLVJdl/OFPMNpv6hw7X5EkC1cTru/rSs="/>
    </ext>
  </extLst>
</workbook>
</file>

<file path=xl/sharedStrings.xml><?xml version="1.0" encoding="utf-8"?>
<sst xmlns="http://schemas.openxmlformats.org/spreadsheetml/2006/main" count="544" uniqueCount="264">
  <si>
    <t xml:space="preserve"> </t>
  </si>
  <si>
    <t>Nombre</t>
  </si>
  <si>
    <t>Mahalia</t>
  </si>
  <si>
    <t>Apellido</t>
  </si>
  <si>
    <t>Henson</t>
  </si>
  <si>
    <t>Apellido de casada</t>
  </si>
  <si>
    <t>Género:  .</t>
  </si>
  <si>
    <t>Femenino</t>
  </si>
  <si>
    <t>Pasaporte</t>
  </si>
  <si>
    <t>NYB4C1960</t>
  </si>
  <si>
    <t>Fecha de nacimiento</t>
  </si>
  <si>
    <t>Edad</t>
  </si>
  <si>
    <t>53 años</t>
  </si>
  <si>
    <t>Estado civil</t>
  </si>
  <si>
    <t>Dirección</t>
  </si>
  <si>
    <t>Guana weg 14, Buena vista</t>
  </si>
  <si>
    <t xml:space="preserve">Nacionalidad  y  domicilio:  </t>
  </si>
  <si>
    <t>Curazao, Países bajos</t>
  </si>
  <si>
    <t>Email:</t>
  </si>
  <si>
    <t>hailahenson@gmail.com</t>
  </si>
  <si>
    <t>Teléfono</t>
  </si>
  <si>
    <t xml:space="preserve">Profesión </t>
  </si>
  <si>
    <t>Contabilidad</t>
  </si>
  <si>
    <t>RH</t>
  </si>
  <si>
    <t>Seguro</t>
  </si>
  <si>
    <t>SVB</t>
  </si>
  <si>
    <t>Peso</t>
  </si>
  <si>
    <t>75kg</t>
  </si>
  <si>
    <t>Altura</t>
  </si>
  <si>
    <t>1.60 m</t>
  </si>
  <si>
    <t>Idioma</t>
  </si>
  <si>
    <t>Papiamento, Holandes, inglés y Español</t>
  </si>
  <si>
    <t>Salud</t>
  </si>
  <si>
    <t xml:space="preserve">Estadia </t>
  </si>
  <si>
    <t>04 de octubre</t>
  </si>
  <si>
    <t>Shaimarie Eufemia</t>
  </si>
  <si>
    <t>Job</t>
  </si>
  <si>
    <t>NP63RD418</t>
  </si>
  <si>
    <t>36 años</t>
  </si>
  <si>
    <t>Steenen koraal 105</t>
  </si>
  <si>
    <t>Willemstad, Curazao</t>
  </si>
  <si>
    <t>shaimarieshai8907@gmail.com</t>
  </si>
  <si>
    <t>Contable</t>
  </si>
  <si>
    <t>O+</t>
  </si>
  <si>
    <t>82,7 kg</t>
  </si>
  <si>
    <t>1.61 M</t>
  </si>
  <si>
    <t>Inglés, español, neerlandés, papiamento</t>
  </si>
  <si>
    <t>DETALLE DE LOS SERVICIOS</t>
  </si>
  <si>
    <t>Concepto</t>
  </si>
  <si>
    <t>Mahaila</t>
  </si>
  <si>
    <t>Shaimarie</t>
  </si>
  <si>
    <t>M - S</t>
  </si>
  <si>
    <t>Impuesto bancario 4 * 1000</t>
  </si>
  <si>
    <t>TOTAL A PAGAR</t>
  </si>
  <si>
    <t>Libro diario contable</t>
  </si>
  <si>
    <t>PAGOS</t>
  </si>
  <si>
    <t>ESTADO DE CUENTA</t>
  </si>
  <si>
    <t>ACV documentos</t>
  </si>
  <si>
    <t>Operativo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</si>
  <si>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</si>
  <si>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</si>
  <si>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</si>
  <si>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</si>
  <si>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</si>
  <si>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</si>
  <si>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</si>
  <si>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</si>
  <si>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</si>
  <si>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</si>
  <si>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</si>
  <si>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</si>
  <si>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</si>
  <si>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</si>
  <si>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</si>
  <si>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06 días</t>
  </si>
  <si>
    <t>Colasistencia</t>
  </si>
  <si>
    <t>Sim card física</t>
  </si>
  <si>
    <t>Claro</t>
  </si>
  <si>
    <t>Recarga 10 gigas de datos</t>
  </si>
  <si>
    <t>Traslado  aeropuerto - hotel - aeropuerto en CARRO</t>
  </si>
  <si>
    <t>Aeroturex</t>
  </si>
  <si>
    <t>Paquete de chequeo médico</t>
  </si>
  <si>
    <t>Citología  cervical</t>
  </si>
  <si>
    <t>CIMA</t>
  </si>
  <si>
    <t>Domicilio</t>
  </si>
  <si>
    <t>Echavarria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</si>
  <si>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</si>
  <si>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</si>
  <si>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</si>
  <si>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</si>
  <si>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</si>
  <si>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</si>
  <si>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</si>
  <si>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</si>
  <si>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</si>
  <si>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</si>
  <si>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</si>
  <si>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</si>
  <si>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</si>
  <si>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</si>
  <si>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</si>
  <si>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</si>
  <si>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</si>
  <si>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</si>
  <si>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</si>
  <si>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</si>
  <si>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JENNY BANCOLOMBIA</t>
  </si>
  <si>
    <t>TRANSFERENCIA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</si>
  <si>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</si>
  <si>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</si>
  <si>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</si>
  <si>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</si>
  <si>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</si>
  <si>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</si>
  <si>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</si>
  <si>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</si>
  <si>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</si>
  <si>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M</t>
  </si>
  <si>
    <t>Radiografía de tórax</t>
  </si>
  <si>
    <t>Mamografía</t>
  </si>
  <si>
    <t>S</t>
  </si>
  <si>
    <t>Ecografía de mama</t>
  </si>
  <si>
    <t>Ecografía de abdomen total</t>
  </si>
  <si>
    <t>Electrocardiograma</t>
  </si>
  <si>
    <t>Cita con especialista en MEDICINA INTERNA - CARDIOLOGÍA</t>
  </si>
  <si>
    <t>HPTU</t>
  </si>
  <si>
    <t>04 Traslados hotel - clínica por trayecto</t>
  </si>
  <si>
    <t>YENNY</t>
  </si>
  <si>
    <t>Medical Trip Colombia SAS - Acompañamiento virtual  y presencial para exámenes y citas</t>
  </si>
  <si>
    <t>ÓRDENES MÉDICAS</t>
  </si>
  <si>
    <t xml:space="preserve">Tiempo de tromboplastina parcial TTP  </t>
  </si>
  <si>
    <t xml:space="preserve">Tiempo de protrombina PT </t>
  </si>
  <si>
    <t>Homocisteína sérica  (HCYSP)</t>
  </si>
  <si>
    <t>Frotis de sangre periférica - (extendido de sangre periférica estudio de morfología)</t>
  </si>
  <si>
    <t>Test de sicklemia: (Células Falciformes-drepanocitosis)</t>
  </si>
  <si>
    <t>Paratohormona</t>
  </si>
  <si>
    <t>G6PD (glucosa-6-fosfato deshidrogenasa) Prueba cualitativa</t>
  </si>
  <si>
    <t>Citología Papanicolaou</t>
  </si>
  <si>
    <t xml:space="preserve">Anticuerpos Nucleares ANA </t>
  </si>
  <si>
    <t>Anti HBc</t>
  </si>
  <si>
    <t>Anticuerpos Ig G   Cardiolipina</t>
  </si>
  <si>
    <t>Anticuerpos Ig M   Cardiolipina</t>
  </si>
  <si>
    <t>Anti -ds ADN doble cadena</t>
  </si>
  <si>
    <t xml:space="preserve">Complemento Sérico C3 Cuantitativo por nefelometría </t>
  </si>
  <si>
    <t xml:space="preserve">Complemento Sérico C4 Cuantitativo por nefelometría </t>
  </si>
  <si>
    <t>Niveles de Ig E en sangre cualitativa</t>
  </si>
  <si>
    <t>Niveles de Ig E en sangre cuantitativa</t>
  </si>
  <si>
    <t>Eosinofilos en moco nasal</t>
  </si>
  <si>
    <t>Fosfolípidos, anticuerpos IG M</t>
  </si>
  <si>
    <t>Fosfolípidos, anticuerpos IG G</t>
  </si>
  <si>
    <t>Ecografía del corazón  - ecocardiografía</t>
  </si>
  <si>
    <t xml:space="preserve">Prueba de esfuerzo cardíaco </t>
  </si>
  <si>
    <t>Radiografía panorámica dental</t>
  </si>
  <si>
    <t>Prick test de alergia ambiente</t>
  </si>
  <si>
    <t>Prick test de alergia alimentos</t>
  </si>
  <si>
    <t>Espirometría</t>
  </si>
  <si>
    <t>Tomografía de tórax</t>
  </si>
  <si>
    <t>IVS</t>
  </si>
  <si>
    <t>TRATAMIENTO</t>
  </si>
  <si>
    <t>Técnica de Pomeroy: Procedimiento quirúrgico de ligadura de trompas de Falopio</t>
  </si>
  <si>
    <t>ORDEN ESPECIALISTAS</t>
  </si>
  <si>
    <t>Consulta con especialista en REUMATOLOGÍA</t>
  </si>
  <si>
    <t>Consulta con especialista en NEUMOLOGÍA</t>
  </si>
  <si>
    <t>Consulta con especialista en ALERGÓLOGO</t>
  </si>
  <si>
    <t>Consulta con especialista en ODONTOLOGÍA</t>
  </si>
  <si>
    <t>ALTA ESTÉTICA DENTAL</t>
  </si>
  <si>
    <t xml:space="preserve">Consulta con especialista en GINECOLOGÍA - Incluye ecografía transvaginal </t>
  </si>
  <si>
    <t>UNIVHERSE</t>
  </si>
  <si>
    <t xml:space="preserve">05 Traslados hotel - clínica por trayecto </t>
  </si>
  <si>
    <t>Yenny Roberto</t>
  </si>
  <si>
    <t xml:space="preserve">Medical Trip Colombia SAS - Acompañamiento virtual 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</si>
  <si>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</si>
  <si>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</si>
  <si>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</si>
  <si>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</si>
  <si>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</si>
  <si>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</si>
  <si>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internacional</t>
  </si>
  <si>
    <t>Tasa del dólar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</si>
  <si>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</si>
  <si>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</si>
  <si>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</si>
  <si>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</si>
  <si>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</si>
  <si>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</si>
  <si>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</si>
  <si>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</si>
  <si>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 - LLEGADA</t>
  </si>
  <si>
    <t>Vuelo Curazao - Medellín</t>
  </si>
  <si>
    <t>Traslado a aeropuerto - hotel</t>
  </si>
  <si>
    <t>Alojamiento</t>
  </si>
  <si>
    <t xml:space="preserve">DOMINGO </t>
  </si>
  <si>
    <t>DÍA LIBRE</t>
  </si>
  <si>
    <t>LUNES</t>
  </si>
  <si>
    <t>No desayunar</t>
  </si>
  <si>
    <t>Domicilio en el hotel</t>
  </si>
  <si>
    <t>Echavarría</t>
  </si>
  <si>
    <t>07 - 09 am</t>
  </si>
  <si>
    <t xml:space="preserve">Toma de muestras de sangre laboratorio clínico en hotel </t>
  </si>
  <si>
    <t>Tiempo para desayunar</t>
  </si>
  <si>
    <t>10:00 am</t>
  </si>
  <si>
    <t>Traslado Hotel - Centro médico</t>
  </si>
  <si>
    <t>Tesoro Torre 2</t>
  </si>
  <si>
    <t xml:space="preserve">Imágenes y especialistas </t>
  </si>
  <si>
    <t>10:30 am</t>
  </si>
  <si>
    <t>Alta Estética dental</t>
  </si>
  <si>
    <t>11:00 am</t>
  </si>
  <si>
    <t>Cita con especialista en odontología</t>
  </si>
  <si>
    <t>Blanqueamiento y diseño de sonrisa</t>
  </si>
  <si>
    <t>Tiempo para almorzar</t>
  </si>
  <si>
    <t>llamada odontólogo</t>
  </si>
  <si>
    <t>Univherse</t>
  </si>
  <si>
    <t>02:00 pm</t>
  </si>
  <si>
    <t>Cita con especialista en Ginecología</t>
  </si>
  <si>
    <t>Diseño de sonrisa e implantes ya hablaron con alfonso</t>
  </si>
  <si>
    <t>Ecografía transvaginal</t>
  </si>
  <si>
    <t>03:00 pm</t>
  </si>
  <si>
    <t xml:space="preserve">Traslado Centro médico -  Hotel </t>
  </si>
  <si>
    <t>MARTES</t>
  </si>
  <si>
    <t>05:45 am</t>
  </si>
  <si>
    <t>Ciudad del rio</t>
  </si>
  <si>
    <t>06:00 am</t>
  </si>
  <si>
    <t>06:30 am</t>
  </si>
  <si>
    <t>Citología cervical</t>
  </si>
  <si>
    <t>07:00 am</t>
  </si>
  <si>
    <t>08:00 am</t>
  </si>
  <si>
    <t>08:30 am</t>
  </si>
  <si>
    <t>Ecocardiografía</t>
  </si>
  <si>
    <t>Prueba de esfuerzo</t>
  </si>
  <si>
    <t>Tiempo para comer algo ligero</t>
  </si>
  <si>
    <t>Traslado Centro médico -  centro médico</t>
  </si>
  <si>
    <t>Punto clave</t>
  </si>
  <si>
    <t>11:30 am</t>
  </si>
  <si>
    <t>12:30 pm</t>
  </si>
  <si>
    <t>Traslado Centro médico -  Hotel</t>
  </si>
  <si>
    <t>TARDE LIBRE</t>
  </si>
  <si>
    <t>MIÉRCOLES</t>
  </si>
  <si>
    <t>Desayuno en el hotel</t>
  </si>
  <si>
    <t>09:00 am</t>
  </si>
  <si>
    <t>Mayorca</t>
  </si>
  <si>
    <t>DANIEL AMAYA</t>
  </si>
  <si>
    <t>Cita con especialista en Alergología</t>
  </si>
  <si>
    <t>Prueba de prick test de ambiente</t>
  </si>
  <si>
    <t>Prueba de prick test de alimentos</t>
  </si>
  <si>
    <t>12:00 pm</t>
  </si>
  <si>
    <t>Tiempo para conocer o hacer compras en el centro comercial Mayorca, opcional</t>
  </si>
  <si>
    <t>JUEVES</t>
  </si>
  <si>
    <t>Robledo</t>
  </si>
  <si>
    <t>Cita con especialista en Cardiólogo internista</t>
  </si>
  <si>
    <t>Cita con especialista en Reumatología</t>
  </si>
  <si>
    <t>Cita con especialista en Neumología</t>
  </si>
  <si>
    <t>VIERNES</t>
  </si>
  <si>
    <t>SÁBADO</t>
  </si>
  <si>
    <t>Traslado hotel - aeropuerto</t>
  </si>
  <si>
    <t>Vuelo internacional Curazao - Medellín</t>
  </si>
  <si>
    <t xml:space="preserve">APARTAMENTOS ESTELAR </t>
  </si>
  <si>
    <t>NETA</t>
  </si>
  <si>
    <t>X NOCHE</t>
  </si>
  <si>
    <t>07 NOCHES</t>
  </si>
  <si>
    <t>4-5-6-7-8-9</t>
  </si>
  <si>
    <t>11 - 12</t>
  </si>
  <si>
    <t>TOTAL COP</t>
  </si>
  <si>
    <t>TOTAL USD</t>
  </si>
  <si>
    <t>CAMBIO $4.000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</si>
</sst>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-mmm-yyyy"/>
    <numFmt numFmtId="165" formatCode="dd mmm yyyy"/>
    <numFmt numFmtId="166" formatCode="&quot;$&quot;#,##0"/>
    <numFmt numFmtId="167" formatCode="&quot;$&quot;#,##0.0"/>
    <numFmt numFmtId="168" formatCode="[$$]#,##0.00"/>
    <numFmt numFmtId="169" formatCode="[$cop]#,##0"/>
    <numFmt numFmtId="170" formatCode="d/MM/yyyy"/>
    <numFmt numFmtId="171" formatCode="dd-mm-yyyy"/>
    <numFmt numFmtId="172" formatCode="0.0%"/>
    <numFmt numFmtId="173" formatCode="d mmmm"/>
    <numFmt numFmtId="174" formatCode="dd mmmm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b/>
      <color rgb="FFFFFFFF"/>
      <name val="Lexend"/>
    </font>
    <font>
      <sz val="8.0"/>
      <color theme="1"/>
      <name val="Lexend"/>
    </font>
    <font>
      <b/>
      <color theme="1"/>
      <name val="Lexend"/>
    </font>
    <font>
      <b/>
      <sz val="9.0"/>
      <color theme="1"/>
      <name val="Lexend"/>
    </font>
    <font>
      <color theme="1"/>
      <name val="Lexend"/>
    </font>
    <font>
      <b/>
      <sz val="9.0"/>
      <color rgb="FFFFFFFF"/>
      <name val="Lexend"/>
    </font>
    <font/>
    <font>
      <b/>
      <sz val="11.0"/>
      <color rgb="FFFFFFFF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9.0"/>
      <color theme="1"/>
      <name val="Lexend"/>
    </font>
    <font>
      <sz val="7.0"/>
      <color theme="1"/>
      <name val="Lexend"/>
    </font>
    <font>
      <sz val="5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sz val="12.0"/>
      <color theme="1"/>
      <name val="Lexend"/>
    </font>
    <font>
      <color theme="1"/>
      <name val="Arial"/>
      <scheme val="minor"/>
    </font>
    <font>
      <sz val="10.0"/>
      <color theme="1"/>
      <name val="Lexend"/>
    </font>
    <font>
      <b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  <xf borderId="0" fillId="0" fontId="2" numFmtId="0" xfId="0" applyAlignment="1" applyFont="1">
      <alignment horizontal="left" readingOrder="0"/>
    </xf>
    <xf borderId="0" fillId="3" fontId="1" numFmtId="0" xfId="0" applyAlignment="1" applyFill="1" applyFont="1">
      <alignment horizontal="left"/>
    </xf>
    <xf borderId="0" fillId="4" fontId="1" numFmtId="0" xfId="0" applyAlignment="1" applyFill="1" applyFont="1">
      <alignment horizontal="left"/>
    </xf>
    <xf borderId="0" fillId="0" fontId="3" numFmtId="0" xfId="0" applyAlignment="1" applyFont="1">
      <alignment vertical="center"/>
    </xf>
    <xf borderId="1" fillId="5" fontId="3" numFmtId="0" xfId="0" applyAlignment="1" applyBorder="1" applyFill="1" applyFont="1">
      <alignment vertical="center"/>
    </xf>
    <xf borderId="1" fillId="5" fontId="4" numFmtId="0" xfId="0" applyAlignment="1" applyBorder="1" applyFont="1">
      <alignment readingOrder="0" vertical="center"/>
    </xf>
    <xf borderId="1" fillId="5" fontId="4" numFmtId="166" xfId="0" applyAlignment="1" applyBorder="1" applyFont="1" applyNumberFormat="1">
      <alignment horizontal="right" vertical="center"/>
    </xf>
    <xf borderId="1" fillId="6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7" fontId="8" numFmtId="0" xfId="0" applyAlignment="1" applyBorder="1" applyFill="1" applyFont="1">
      <alignment readingOrder="0" shrinkToFit="0" vertical="center" wrapText="1"/>
    </xf>
    <xf borderId="1" fillId="6" fontId="8" numFmtId="166" xfId="0" applyAlignment="1" applyBorder="1" applyFont="1" applyNumberFormat="1">
      <alignment horizontal="center" shrinkToFit="0" vertical="center" wrapText="1"/>
    </xf>
    <xf borderId="0" fillId="0" fontId="3" numFmtId="167" xfId="0" applyAlignment="1" applyFont="1" applyNumberFormat="1">
      <alignment vertical="center"/>
    </xf>
    <xf borderId="1" fillId="7" fontId="8" numFmtId="0" xfId="0" applyAlignment="1" applyBorder="1" applyFont="1">
      <alignment shrinkToFit="0" vertical="center" wrapText="1"/>
    </xf>
    <xf borderId="1" fillId="8" fontId="3" numFmtId="0" xfId="0" applyAlignment="1" applyBorder="1" applyFill="1" applyFont="1">
      <alignment vertical="center"/>
    </xf>
    <xf borderId="1" fillId="9" fontId="2" numFmtId="0" xfId="0" applyAlignment="1" applyBorder="1" applyFill="1" applyFont="1">
      <alignment shrinkToFit="0" vertical="center" wrapText="1"/>
    </xf>
    <xf borderId="1" fillId="9" fontId="8" numFmtId="166" xfId="0" applyAlignment="1" applyBorder="1" applyFont="1" applyNumberFormat="1">
      <alignment horizontal="center" vertical="center"/>
    </xf>
    <xf borderId="1" fillId="10" fontId="1" numFmtId="0" xfId="0" applyAlignment="1" applyBorder="1" applyFill="1" applyFont="1">
      <alignment shrinkToFit="0" vertical="center" wrapText="1"/>
    </xf>
    <xf borderId="1" fillId="6" fontId="3" numFmtId="166" xfId="0" applyAlignment="1" applyBorder="1" applyFont="1" applyNumberFormat="1">
      <alignment vertical="center"/>
    </xf>
    <xf borderId="1" fillId="10" fontId="1" numFmtId="0" xfId="0" applyAlignment="1" applyBorder="1" applyFont="1">
      <alignment readingOrder="0" shrinkToFit="0" vertical="center" wrapText="1"/>
    </xf>
    <xf borderId="1" fillId="0" fontId="5" numFmtId="166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10" fontId="8" numFmtId="0" xfId="0" applyAlignment="1" applyBorder="1" applyFont="1">
      <alignment shrinkToFit="0" vertical="center" wrapText="1"/>
    </xf>
    <xf borderId="1" fillId="10" fontId="8" numFmtId="0" xfId="0" applyAlignment="1" applyBorder="1" applyFont="1">
      <alignment readingOrder="0" shrinkToFit="0" vertical="center" wrapText="1"/>
    </xf>
    <xf borderId="1" fillId="10" fontId="6" numFmtId="0" xfId="0" applyAlignment="1" applyBorder="1" applyFont="1">
      <alignment shrinkToFit="0" vertical="center" wrapText="1"/>
    </xf>
    <xf borderId="1" fillId="11" fontId="6" numFmtId="0" xfId="0" applyAlignment="1" applyBorder="1" applyFill="1" applyFont="1">
      <alignment shrinkToFit="0" vertical="center" wrapText="1"/>
    </xf>
    <xf borderId="1" fillId="11" fontId="3" numFmtId="166" xfId="0" applyAlignment="1" applyBorder="1" applyFont="1" applyNumberFormat="1">
      <alignment vertical="center"/>
    </xf>
    <xf borderId="1" fillId="12" fontId="8" numFmtId="0" xfId="0" applyAlignment="1" applyBorder="1" applyFill="1" applyFont="1">
      <alignment shrinkToFit="0" vertical="center" wrapText="1"/>
    </xf>
    <xf borderId="1" fillId="12" fontId="8" numFmtId="0" xfId="0" applyAlignment="1" applyBorder="1" applyFont="1">
      <alignment readingOrder="0" shrinkToFit="0" vertical="center" wrapText="1"/>
    </xf>
    <xf borderId="1" fillId="13" fontId="8" numFmtId="166" xfId="0" applyAlignment="1" applyBorder="1" applyFill="1" applyFont="1" applyNumberFormat="1">
      <alignment horizontal="center" shrinkToFit="0" vertical="center" wrapText="1"/>
    </xf>
    <xf borderId="1" fillId="14" fontId="8" numFmtId="0" xfId="0" applyAlignment="1" applyBorder="1" applyFill="1" applyFont="1">
      <alignment shrinkToFit="0" vertical="center" wrapText="1"/>
    </xf>
    <xf borderId="1" fillId="15" fontId="3" numFmtId="0" xfId="0" applyAlignment="1" applyBorder="1" applyFill="1" applyFont="1">
      <alignment vertical="center"/>
    </xf>
    <xf borderId="1" fillId="15" fontId="6" numFmtId="0" xfId="0" applyAlignment="1" applyBorder="1" applyFont="1">
      <alignment readingOrder="0" shrinkToFit="0" vertical="center" wrapText="1"/>
    </xf>
    <xf borderId="1" fillId="16" fontId="8" numFmtId="0" xfId="0" applyAlignment="1" applyBorder="1" applyFill="1" applyFont="1">
      <alignment shrinkToFit="0" vertical="center" wrapText="1"/>
    </xf>
    <xf borderId="1" fillId="16" fontId="8" numFmtId="0" xfId="0" applyAlignment="1" applyBorder="1" applyFont="1">
      <alignment readingOrder="0" shrinkToFit="0" vertical="center" wrapText="1"/>
    </xf>
    <xf borderId="1" fillId="17" fontId="8" numFmtId="0" xfId="0" applyAlignment="1" applyBorder="1" applyFill="1" applyFont="1">
      <alignment readingOrder="0" shrinkToFit="0" vertical="center" wrapText="1"/>
    </xf>
    <xf borderId="1" fillId="17" fontId="8" numFmtId="0" xfId="0" applyAlignment="1" applyBorder="1" applyFont="1">
      <alignment shrinkToFit="0" vertical="center" wrapText="1"/>
    </xf>
    <xf borderId="1" fillId="18" fontId="6" numFmtId="0" xfId="0" applyAlignment="1" applyBorder="1" applyFill="1" applyFont="1">
      <alignment readingOrder="0" shrinkToFit="0" vertical="center" wrapText="1"/>
    </xf>
    <xf borderId="1" fillId="18" fontId="6" numFmtId="166" xfId="0" applyAlignment="1" applyBorder="1" applyFont="1" applyNumberFormat="1">
      <alignment horizontal="center" shrinkToFit="0" vertical="center" wrapText="1"/>
    </xf>
    <xf borderId="0" fillId="0" fontId="3" numFmtId="166" xfId="0" applyAlignment="1" applyFont="1" applyNumberFormat="1">
      <alignment vertical="center"/>
    </xf>
    <xf borderId="0" fillId="0" fontId="3" numFmtId="168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2" fillId="0" fontId="6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5" fontId="3" numFmtId="0" xfId="0" applyAlignment="1" applyFont="1">
      <alignment vertical="center"/>
    </xf>
    <xf borderId="1" fillId="5" fontId="4" numFmtId="0" xfId="0" applyAlignment="1" applyBorder="1" applyFont="1">
      <alignment shrinkToFit="0" vertical="center" wrapText="1"/>
    </xf>
    <xf borderId="2" fillId="5" fontId="3" numFmtId="0" xfId="0" applyAlignment="1" applyBorder="1" applyFont="1">
      <alignment vertical="center"/>
    </xf>
    <xf borderId="2" fillId="5" fontId="4" numFmtId="166" xfId="0" applyAlignment="1" applyBorder="1" applyFont="1" applyNumberFormat="1">
      <alignment horizontal="right" vertical="center"/>
    </xf>
    <xf borderId="1" fillId="5" fontId="9" numFmtId="0" xfId="0" applyAlignment="1" applyBorder="1" applyFont="1">
      <alignment shrinkToFit="0" vertical="center" wrapText="1"/>
    </xf>
    <xf borderId="1" fillId="5" fontId="3" numFmtId="169" xfId="0" applyAlignment="1" applyBorder="1" applyFont="1" applyNumberFormat="1">
      <alignment vertical="center"/>
    </xf>
    <xf borderId="0" fillId="0" fontId="3" numFmtId="169" xfId="0" applyAlignment="1" applyFont="1" applyNumberFormat="1">
      <alignment vertical="center"/>
    </xf>
    <xf borderId="2" fillId="5" fontId="4" numFmtId="169" xfId="0" applyAlignment="1" applyBorder="1" applyFont="1" applyNumberFormat="1">
      <alignment vertical="center"/>
    </xf>
    <xf borderId="2" fillId="5" fontId="3" numFmtId="168" xfId="0" applyAlignment="1" applyBorder="1" applyFont="1" applyNumberFormat="1">
      <alignment vertical="center"/>
    </xf>
    <xf borderId="2" fillId="5" fontId="4" numFmtId="0" xfId="0" applyAlignment="1" applyBorder="1" applyFont="1">
      <alignment horizontal="center" shrinkToFit="0" vertical="center" wrapText="1"/>
    </xf>
    <xf borderId="2" fillId="0" fontId="10" numFmtId="0" xfId="0" applyBorder="1" applyFont="1"/>
    <xf borderId="2" fillId="5" fontId="11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1" fillId="10" fontId="13" numFmtId="169" xfId="0" applyAlignment="1" applyBorder="1" applyFont="1" applyNumberFormat="1">
      <alignment horizontal="center" shrinkToFit="0" vertical="center" wrapText="1"/>
    </xf>
    <xf borderId="1" fillId="10" fontId="7" numFmtId="169" xfId="0" applyAlignment="1" applyBorder="1" applyFont="1" applyNumberFormat="1">
      <alignment horizontal="center" shrinkToFit="0" vertical="center" wrapText="1"/>
    </xf>
    <xf borderId="4" fillId="6" fontId="13" numFmtId="169" xfId="0" applyAlignment="1" applyBorder="1" applyFont="1" applyNumberFormat="1">
      <alignment horizontal="center" shrinkToFit="0" vertical="center" wrapText="1"/>
    </xf>
    <xf borderId="5" fillId="6" fontId="13" numFmtId="168" xfId="0" applyAlignment="1" applyBorder="1" applyFont="1" applyNumberFormat="1">
      <alignment horizontal="center" shrinkToFit="0" vertical="center" wrapText="1"/>
    </xf>
    <xf borderId="6" fillId="19" fontId="14" numFmtId="169" xfId="0" applyAlignment="1" applyBorder="1" applyFill="1" applyFont="1" applyNumberFormat="1">
      <alignment horizontal="center" shrinkToFit="0" vertical="center" wrapText="1"/>
    </xf>
    <xf borderId="6" fillId="19" fontId="14" numFmtId="170" xfId="0" applyAlignment="1" applyBorder="1" applyFont="1" applyNumberFormat="1">
      <alignment horizontal="center" shrinkToFit="0" vertical="center" wrapText="1"/>
    </xf>
    <xf borderId="0" fillId="0" fontId="3" numFmtId="170" xfId="0" applyAlignment="1" applyFont="1" applyNumberFormat="1">
      <alignment vertical="center"/>
    </xf>
    <xf borderId="6" fillId="19" fontId="11" numFmtId="170" xfId="0" applyAlignment="1" applyBorder="1" applyFont="1" applyNumberFormat="1">
      <alignment horizontal="center" shrinkToFit="0" vertical="center" wrapText="1"/>
    </xf>
    <xf borderId="6" fillId="19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6" fillId="7" fontId="8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center" readingOrder="0" vertical="center"/>
    </xf>
    <xf borderId="1" fillId="10" fontId="15" numFmtId="166" xfId="0" applyAlignment="1" applyBorder="1" applyFont="1" applyNumberFormat="1">
      <alignment horizontal="right" vertical="center"/>
    </xf>
    <xf borderId="1" fillId="10" fontId="15" numFmtId="166" xfId="0" applyAlignment="1" applyBorder="1" applyFont="1" applyNumberFormat="1">
      <alignment horizontal="center" vertical="center"/>
    </xf>
    <xf borderId="4" fillId="6" fontId="3" numFmtId="169" xfId="0" applyAlignment="1" applyBorder="1" applyFont="1" applyNumberFormat="1">
      <alignment vertical="center"/>
    </xf>
    <xf borderId="5" fillId="6" fontId="3" numFmtId="168" xfId="0" applyAlignment="1" applyBorder="1" applyFont="1" applyNumberFormat="1">
      <alignment vertical="center"/>
    </xf>
    <xf borderId="1" fillId="0" fontId="3" numFmtId="169" xfId="0" applyAlignment="1" applyBorder="1" applyFont="1" applyNumberFormat="1">
      <alignment vertical="center"/>
    </xf>
    <xf borderId="1" fillId="0" fontId="3" numFmtId="168" xfId="0" applyAlignment="1" applyBorder="1" applyFont="1" applyNumberFormat="1">
      <alignment vertical="center"/>
    </xf>
    <xf borderId="1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shrinkToFit="0" vertical="center" wrapText="1"/>
    </xf>
    <xf borderId="5" fillId="7" fontId="8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shrinkToFit="0" vertical="center" wrapText="1"/>
    </xf>
    <xf borderId="5" fillId="0" fontId="8" numFmtId="166" xfId="0" applyAlignment="1" applyBorder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6" fillId="7" fontId="8" numFmtId="0" xfId="0" applyAlignment="1" applyBorder="1" applyFont="1">
      <alignment shrinkToFit="0" vertical="center" wrapText="1"/>
    </xf>
    <xf borderId="1" fillId="10" fontId="3" numFmtId="169" xfId="0" applyAlignment="1" applyBorder="1" applyFont="1" applyNumberFormat="1">
      <alignment vertical="center"/>
    </xf>
    <xf borderId="0" fillId="8" fontId="3" numFmtId="0" xfId="0" applyAlignment="1" applyFont="1">
      <alignment vertical="center"/>
    </xf>
    <xf borderId="7" fillId="8" fontId="3" numFmtId="0" xfId="0" applyAlignment="1" applyBorder="1" applyFont="1">
      <alignment vertical="center"/>
    </xf>
    <xf borderId="6" fillId="9" fontId="2" numFmtId="0" xfId="0" applyAlignment="1" applyBorder="1" applyFont="1">
      <alignment shrinkToFit="0" vertical="center" wrapText="1"/>
    </xf>
    <xf borderId="1" fillId="9" fontId="3" numFmtId="0" xfId="0" applyAlignment="1" applyBorder="1" applyFont="1">
      <alignment vertical="center"/>
    </xf>
    <xf borderId="1" fillId="9" fontId="3" numFmtId="166" xfId="0" applyAlignment="1" applyBorder="1" applyFont="1" applyNumberFormat="1">
      <alignment vertical="center"/>
    </xf>
    <xf borderId="5" fillId="9" fontId="8" numFmtId="0" xfId="0" applyAlignment="1" applyBorder="1" applyFont="1">
      <alignment horizontal="center" vertical="center"/>
    </xf>
    <xf borderId="1" fillId="9" fontId="8" numFmtId="166" xfId="0" applyAlignment="1" applyBorder="1" applyFont="1" applyNumberFormat="1">
      <alignment horizontal="right" vertical="center"/>
    </xf>
    <xf borderId="0" fillId="0" fontId="3" numFmtId="0" xfId="0" applyAlignment="1" applyFont="1">
      <alignment readingOrder="0" vertical="center"/>
    </xf>
    <xf borderId="6" fillId="10" fontId="1" numFmtId="0" xfId="0" applyAlignment="1" applyBorder="1" applyFont="1">
      <alignment shrinkToFit="0" vertical="center" wrapText="1"/>
    </xf>
    <xf borderId="1" fillId="10" fontId="15" numFmtId="0" xfId="0" applyAlignment="1" applyBorder="1" applyFont="1">
      <alignment readingOrder="0" vertical="center"/>
    </xf>
    <xf borderId="1" fillId="10" fontId="3" numFmtId="166" xfId="0" applyAlignment="1" applyBorder="1" applyFont="1" applyNumberFormat="1">
      <alignment vertical="center"/>
    </xf>
    <xf borderId="5" fillId="10" fontId="3" numFmtId="0" xfId="0" applyAlignment="1" applyBorder="1" applyFont="1">
      <alignment vertical="center"/>
    </xf>
    <xf borderId="6" fillId="10" fontId="1" numFmtId="0" xfId="0" applyAlignment="1" applyBorder="1" applyFont="1">
      <alignment readingOrder="0" shrinkToFit="0" vertical="center" wrapText="1"/>
    </xf>
    <xf borderId="0" fillId="0" fontId="3" numFmtId="171" xfId="0" applyAlignment="1" applyFont="1" applyNumberFormat="1">
      <alignment vertical="center"/>
    </xf>
    <xf borderId="1" fillId="0" fontId="1" numFmtId="166" xfId="0" applyAlignment="1" applyBorder="1" applyFont="1" applyNumberFormat="1">
      <alignment horizontal="center" shrinkToFit="0" vertical="center" wrapText="1"/>
    </xf>
    <xf borderId="7" fillId="0" fontId="5" numFmtId="166" xfId="0" applyAlignment="1" applyBorder="1" applyFont="1" applyNumberFormat="1">
      <alignment horizontal="center" shrinkToFit="0" vertical="center" wrapText="1"/>
    </xf>
    <xf borderId="5" fillId="10" fontId="3" numFmtId="166" xfId="0" applyAlignment="1" applyBorder="1" applyFont="1" applyNumberFormat="1">
      <alignment vertical="center"/>
    </xf>
    <xf borderId="7" fillId="0" fontId="5" numFmtId="0" xfId="0" applyAlignment="1" applyBorder="1" applyFont="1">
      <alignment horizontal="center" readingOrder="0" shrinkToFit="0" vertical="center" wrapText="1"/>
    </xf>
    <xf borderId="5" fillId="20" fontId="3" numFmtId="166" xfId="0" applyAlignment="1" applyBorder="1" applyFill="1" applyFont="1" applyNumberFormat="1">
      <alignment vertical="center"/>
    </xf>
    <xf borderId="5" fillId="10" fontId="3" numFmtId="10" xfId="0" applyAlignment="1" applyBorder="1" applyFont="1" applyNumberFormat="1">
      <alignment vertical="center"/>
    </xf>
    <xf borderId="1" fillId="10" fontId="15" numFmtId="0" xfId="0" applyAlignment="1" applyBorder="1" applyFont="1">
      <alignment readingOrder="0" shrinkToFit="0" vertical="center" wrapText="1"/>
    </xf>
    <xf borderId="1" fillId="11" fontId="3" numFmtId="0" xfId="0" applyAlignment="1" applyBorder="1" applyFont="1">
      <alignment vertical="center"/>
    </xf>
    <xf borderId="1" fillId="0" fontId="15" numFmtId="0" xfId="0" applyAlignment="1" applyBorder="1" applyFont="1">
      <alignment readingOrder="0" vertical="center"/>
    </xf>
    <xf borderId="1" fillId="0" fontId="8" numFmtId="166" xfId="0" applyAlignment="1" applyBorder="1" applyFont="1" applyNumberFormat="1">
      <alignment horizontal="right" vertical="center"/>
    </xf>
    <xf borderId="1" fillId="0" fontId="8" numFmtId="166" xfId="0" applyAlignment="1" applyBorder="1" applyFont="1" applyNumberFormat="1">
      <alignment horizontal="right" shrinkToFit="0" vertical="center" wrapText="1"/>
    </xf>
    <xf borderId="5" fillId="0" fontId="8" numFmtId="0" xfId="0" applyAlignment="1" applyBorder="1" applyFont="1">
      <alignment horizontal="center" vertical="center"/>
    </xf>
    <xf borderId="1" fillId="0" fontId="8" numFmtId="166" xfId="0" applyAlignment="1" applyBorder="1" applyFont="1" applyNumberFormat="1">
      <alignment horizontal="center" readingOrder="0" shrinkToFit="0" vertical="center" wrapText="1"/>
    </xf>
    <xf borderId="1" fillId="10" fontId="15" numFmtId="166" xfId="0" applyAlignment="1" applyBorder="1" applyFont="1" applyNumberFormat="1">
      <alignment horizontal="right" readingOrder="0" vertical="center"/>
    </xf>
    <xf borderId="0" fillId="21" fontId="3" numFmtId="0" xfId="0" applyAlignment="1" applyFill="1" applyFont="1">
      <alignment vertical="center"/>
    </xf>
    <xf borderId="7" fillId="21" fontId="3" numFmtId="0" xfId="0" applyAlignment="1" applyBorder="1" applyFont="1">
      <alignment vertical="center"/>
    </xf>
    <xf borderId="1" fillId="21" fontId="6" numFmtId="0" xfId="0" applyAlignment="1" applyBorder="1" applyFont="1">
      <alignment shrinkToFit="0" vertical="center" wrapText="1"/>
    </xf>
    <xf borderId="1" fillId="21" fontId="3" numFmtId="0" xfId="0" applyAlignment="1" applyBorder="1" applyFont="1">
      <alignment vertical="center"/>
    </xf>
    <xf borderId="1" fillId="21" fontId="3" numFmtId="166" xfId="0" applyAlignment="1" applyBorder="1" applyFont="1" applyNumberFormat="1">
      <alignment vertical="center"/>
    </xf>
    <xf borderId="5" fillId="21" fontId="3" numFmtId="0" xfId="0" applyAlignment="1" applyBorder="1" applyFont="1">
      <alignment vertical="center"/>
    </xf>
    <xf borderId="1" fillId="15" fontId="3" numFmtId="166" xfId="0" applyAlignment="1" applyBorder="1" applyFont="1" applyNumberFormat="1">
      <alignment vertical="center"/>
    </xf>
    <xf borderId="1" fillId="22" fontId="8" numFmtId="0" xfId="0" applyAlignment="1" applyBorder="1" applyFill="1" applyFont="1">
      <alignment shrinkToFit="0" vertical="center" wrapText="1"/>
    </xf>
    <xf borderId="1" fillId="23" fontId="3" numFmtId="0" xfId="0" applyAlignment="1" applyBorder="1" applyFill="1" applyFont="1">
      <alignment vertical="center"/>
    </xf>
    <xf borderId="1" fillId="0" fontId="3" numFmtId="166" xfId="0" applyAlignment="1" applyBorder="1" applyFont="1" applyNumberFormat="1">
      <alignment vertical="center"/>
    </xf>
    <xf borderId="0" fillId="15" fontId="3" numFmtId="0" xfId="0" applyAlignment="1" applyFont="1">
      <alignment vertical="center"/>
    </xf>
    <xf borderId="7" fillId="15" fontId="3" numFmtId="0" xfId="0" applyAlignment="1" applyBorder="1" applyFont="1">
      <alignment vertical="center"/>
    </xf>
    <xf borderId="6" fillId="15" fontId="6" numFmtId="0" xfId="0" applyAlignment="1" applyBorder="1" applyFont="1">
      <alignment readingOrder="0" shrinkToFit="0" vertical="center" wrapText="1"/>
    </xf>
    <xf borderId="5" fillId="15" fontId="3" numFmtId="0" xfId="0" applyAlignment="1" applyBorder="1" applyFont="1">
      <alignment vertical="center"/>
    </xf>
    <xf borderId="1" fillId="0" fontId="16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3" numFmtId="172" xfId="0" applyAlignment="1" applyFont="1" applyNumberFormat="1">
      <alignment vertical="center"/>
    </xf>
    <xf borderId="0" fillId="0" fontId="12" numFmtId="166" xfId="0" applyAlignment="1" applyFont="1" applyNumberFormat="1">
      <alignment horizontal="center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0" fontId="15" numFmtId="10" xfId="0" applyAlignment="1" applyFont="1" applyNumberFormat="1">
      <alignment horizontal="center" shrinkToFit="0" vertical="center" wrapText="1"/>
    </xf>
    <xf borderId="0" fillId="0" fontId="15" numFmtId="166" xfId="0" applyAlignment="1" applyFont="1" applyNumberFormat="1">
      <alignment horizontal="center" shrinkToFit="0" vertical="center" wrapText="1"/>
    </xf>
    <xf borderId="0" fillId="0" fontId="17" numFmtId="166" xfId="0" applyAlignment="1" applyFont="1" applyNumberFormat="1">
      <alignment horizontal="center" shrinkToFit="0" vertical="center" wrapText="1"/>
    </xf>
    <xf borderId="0" fillId="18" fontId="6" numFmtId="166" xfId="0" applyAlignment="1" applyFont="1" applyNumberFormat="1">
      <alignment horizontal="center" shrinkToFit="0" vertical="center" wrapText="1"/>
    </xf>
    <xf borderId="0" fillId="24" fontId="8" numFmtId="166" xfId="0" applyAlignment="1" applyFill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3" fontId="8" numFmtId="0" xfId="0" applyAlignment="1" applyFont="1">
      <alignment vertical="center"/>
    </xf>
    <xf borderId="1" fillId="5" fontId="18" numFmtId="0" xfId="0" applyAlignment="1" applyBorder="1" applyFont="1">
      <alignment horizontal="center" vertical="center"/>
    </xf>
    <xf borderId="1" fillId="5" fontId="8" numFmtId="0" xfId="0" applyAlignment="1" applyBorder="1" applyFont="1">
      <alignment vertical="center"/>
    </xf>
    <xf borderId="1" fillId="5" fontId="8" numFmtId="0" xfId="0" applyAlignment="1" applyBorder="1" applyFont="1">
      <alignment horizontal="center" vertical="center"/>
    </xf>
    <xf borderId="4" fillId="6" fontId="19" numFmtId="0" xfId="0" applyAlignment="1" applyBorder="1" applyFont="1">
      <alignment horizontal="center" shrinkToFit="0" vertical="center" wrapText="1"/>
    </xf>
    <xf borderId="5" fillId="6" fontId="19" numFmtId="0" xfId="0" applyAlignment="1" applyBorder="1" applyFont="1">
      <alignment horizontal="center" shrinkToFit="0" vertical="center" wrapText="1"/>
    </xf>
    <xf borderId="6" fillId="6" fontId="19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vertical="center"/>
    </xf>
    <xf borderId="1" fillId="6" fontId="20" numFmtId="0" xfId="0" applyAlignment="1" applyBorder="1" applyFont="1">
      <alignment horizontal="center" vertical="center"/>
    </xf>
    <xf borderId="1" fillId="6" fontId="8" numFmtId="173" xfId="0" applyAlignment="1" applyBorder="1" applyFont="1" applyNumberFormat="1">
      <alignment horizontal="center" readingOrder="0" vertical="center"/>
    </xf>
    <xf borderId="1" fillId="6" fontId="8" numFmtId="0" xfId="0" applyAlignment="1" applyBorder="1" applyFont="1">
      <alignment readingOrder="0" vertical="center"/>
    </xf>
    <xf borderId="1" fillId="6" fontId="8" numFmtId="0" xfId="0" applyAlignment="1" applyBorder="1" applyFont="1">
      <alignment vertical="center"/>
    </xf>
    <xf borderId="5" fillId="6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" fillId="0" fontId="20" numFmtId="0" xfId="0" applyAlignment="1" applyBorder="1" applyFont="1">
      <alignment vertical="center"/>
    </xf>
    <xf borderId="1" fillId="0" fontId="8" numFmtId="174" xfId="0" applyAlignment="1" applyBorder="1" applyFont="1" applyNumberFormat="1">
      <alignment vertical="center"/>
    </xf>
    <xf borderId="4" fillId="0" fontId="8" numFmtId="174" xfId="0" applyAlignment="1" applyBorder="1" applyFont="1" applyNumberFormat="1">
      <alignment vertical="center"/>
    </xf>
    <xf borderId="1" fillId="12" fontId="20" numFmtId="0" xfId="0" applyAlignment="1" applyBorder="1" applyFont="1">
      <alignment vertical="center"/>
    </xf>
    <xf borderId="1" fillId="17" fontId="20" numFmtId="0" xfId="0" applyAlignment="1" applyBorder="1" applyFont="1">
      <alignment vertical="center"/>
    </xf>
    <xf borderId="1" fillId="6" fontId="20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vertical="center"/>
    </xf>
    <xf borderId="5" fillId="0" fontId="8" numFmtId="174" xfId="0" applyAlignment="1" applyBorder="1" applyFont="1" applyNumberFormat="1">
      <alignment vertical="center"/>
    </xf>
    <xf borderId="0" fillId="0" fontId="15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25" fontId="20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horizontal="center" vertical="center"/>
    </xf>
    <xf borderId="5" fillId="0" fontId="1" numFmtId="174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vertical="center"/>
    </xf>
    <xf borderId="1" fillId="0" fontId="15" numFmtId="0" xfId="0" applyAlignment="1" applyBorder="1" applyFont="1">
      <alignment horizontal="center" readingOrder="0" vertical="center"/>
    </xf>
    <xf borderId="1" fillId="25" fontId="20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vertical="center"/>
    </xf>
    <xf borderId="1" fillId="12" fontId="20" numFmtId="0" xfId="0" applyAlignment="1" applyBorder="1" applyFont="1">
      <alignment readingOrder="0" vertical="center"/>
    </xf>
    <xf borderId="1" fillId="0" fontId="22" numFmtId="0" xfId="0" applyAlignment="1" applyBorder="1" applyFont="1">
      <alignment readingOrder="0" vertical="center"/>
    </xf>
    <xf borderId="5" fillId="0" fontId="20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6" fontId="20" numFmtId="0" xfId="0" applyAlignment="1" applyBorder="1" applyFont="1">
      <alignment readingOrder="0" shrinkToFit="0" vertical="center" wrapText="1"/>
    </xf>
    <xf borderId="0" fillId="0" fontId="8" numFmtId="174" xfId="0" applyAlignment="1" applyFont="1" applyNumberFormat="1">
      <alignment vertical="center"/>
    </xf>
    <xf borderId="0" fillId="0" fontId="20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  <xf borderId="0" fillId="0" fontId="23" numFmtId="166" xfId="0" applyFont="1" applyNumberFormat="1"/>
    <xf borderId="0" fillId="0" fontId="8" numFmtId="0" xfId="0" applyAlignment="1" applyFont="1">
      <alignment horizontal="center" readingOrder="0" vertical="center"/>
    </xf>
    <xf borderId="0" fillId="0" fontId="8" numFmtId="166" xfId="0" applyAlignment="1" applyFont="1" applyNumberFormat="1">
      <alignment readingOrder="0" vertical="center"/>
    </xf>
    <xf borderId="0" fillId="0" fontId="8" numFmtId="166" xfId="0" applyAlignment="1" applyFont="1" applyNumberFormat="1">
      <alignment vertical="center"/>
    </xf>
    <xf borderId="0" fillId="6" fontId="6" numFmtId="0" xfId="0" applyAlignment="1" applyFont="1">
      <alignment readingOrder="0" vertical="center"/>
    </xf>
    <xf borderId="0" fillId="6" fontId="8" numFmtId="0" xfId="0" applyAlignment="1" applyFont="1">
      <alignment horizontal="center" vertical="center"/>
    </xf>
    <xf borderId="0" fillId="6" fontId="6" numFmtId="166" xfId="0" applyAlignment="1" applyFont="1" applyNumberFormat="1">
      <alignment vertical="center"/>
    </xf>
    <xf borderId="0" fillId="16" fontId="8" numFmtId="0" xfId="0" applyAlignment="1" applyFont="1">
      <alignment horizontal="center" readingOrder="0" vertical="center"/>
    </xf>
    <xf borderId="0" fillId="16" fontId="6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848725" cy="20002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9525" cy="285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</xdr:row>
      <xdr:rowOff>9525</xdr:rowOff>
    </xdr:from>
    <xdr:ext cx="4867275" cy="42672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9.88"/>
    <col customWidth="1" min="4" max="4" width="21.13"/>
    <col customWidth="1" min="5" max="6" width="0.38"/>
    <col customWidth="1" min="7" max="7" width="3.13"/>
    <col customWidth="1" min="8" max="8" width="24.88"/>
    <col customWidth="1" min="9" max="9" width="37.63"/>
  </cols>
  <sheetData>
    <row r="1">
      <c r="A1" s="1" t="s">
        <v>0</v>
      </c>
      <c r="B1" s="2"/>
      <c r="C1" s="2"/>
      <c r="D1" s="2"/>
      <c r="E1" s="2"/>
      <c r="F1" s="2"/>
      <c r="G1" s="3"/>
      <c r="H1" s="2" t="s">
        <v>1</v>
      </c>
      <c r="I1" s="1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/>
      <c r="B3" s="2"/>
      <c r="C3" s="2"/>
      <c r="D3" s="2"/>
      <c r="E3" s="2"/>
      <c r="F3" s="2"/>
      <c r="G3" s="3"/>
      <c r="H3" s="2" t="s">
        <v>3</v>
      </c>
      <c r="I3" s="1" t="s">
        <v>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/>
      <c r="B4" s="2"/>
      <c r="C4" s="2"/>
      <c r="D4" s="2"/>
      <c r="E4" s="2"/>
      <c r="F4" s="2"/>
      <c r="G4" s="3"/>
      <c r="H4" s="2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2"/>
      <c r="B5" s="2"/>
      <c r="C5" s="2"/>
      <c r="D5" s="2"/>
      <c r="E5" s="2"/>
      <c r="F5" s="4"/>
      <c r="G5" s="3"/>
      <c r="H5" s="2" t="s">
        <v>6</v>
      </c>
      <c r="I5" s="2" t="s">
        <v>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2"/>
      <c r="B6" s="2"/>
      <c r="C6" s="2"/>
      <c r="D6" s="2"/>
      <c r="E6" s="2"/>
      <c r="G6" s="3"/>
      <c r="H6" s="5" t="s">
        <v>8</v>
      </c>
      <c r="I6" s="1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"/>
      <c r="B7" s="2"/>
      <c r="C7" s="2"/>
      <c r="D7" s="2"/>
      <c r="E7" s="2"/>
      <c r="F7" s="2"/>
      <c r="G7" s="3"/>
      <c r="H7" s="5" t="s">
        <v>10</v>
      </c>
      <c r="I7" s="6">
        <v>26647.0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"/>
      <c r="B8" s="2"/>
      <c r="C8" s="2"/>
      <c r="D8" s="2"/>
      <c r="E8" s="2"/>
      <c r="F8" s="2"/>
      <c r="G8" s="3"/>
      <c r="H8" s="5" t="s">
        <v>11</v>
      </c>
      <c r="I8" s="1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2"/>
      <c r="B9" s="2"/>
      <c r="C9" s="2"/>
      <c r="D9" s="2"/>
      <c r="E9" s="2"/>
      <c r="F9" s="2"/>
      <c r="G9" s="3"/>
      <c r="H9" s="2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2"/>
      <c r="B10" s="2"/>
      <c r="C10" s="2"/>
      <c r="D10" s="2"/>
      <c r="E10" s="2"/>
      <c r="F10" s="2"/>
      <c r="G10" s="3"/>
      <c r="H10" s="2" t="s">
        <v>14</v>
      </c>
      <c r="I10" s="1" t="s">
        <v>15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2"/>
      <c r="B11" s="2"/>
      <c r="C11" s="2"/>
      <c r="D11" s="2"/>
      <c r="E11" s="2"/>
      <c r="F11" s="2"/>
      <c r="G11" s="3"/>
      <c r="H11" s="2" t="s">
        <v>16</v>
      </c>
      <c r="I11" s="1" t="s">
        <v>17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"/>
      <c r="B12" s="2"/>
      <c r="C12" s="2"/>
      <c r="D12" s="2"/>
      <c r="E12" s="2"/>
      <c r="F12" s="2"/>
      <c r="G12" s="3"/>
      <c r="H12" s="2" t="s">
        <v>18</v>
      </c>
      <c r="I12" s="1" t="s">
        <v>19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2"/>
      <c r="B13" s="2"/>
      <c r="C13" s="2"/>
      <c r="D13" s="2"/>
      <c r="E13" s="2"/>
      <c r="F13" s="2"/>
      <c r="G13" s="3"/>
      <c r="H13" s="2" t="s">
        <v>20</v>
      </c>
      <c r="I13" s="2">
        <f>59995177466</f>
        <v>59995177466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"/>
      <c r="B14" s="2"/>
      <c r="C14" s="2"/>
      <c r="D14" s="2"/>
      <c r="E14" s="2"/>
      <c r="F14" s="2"/>
      <c r="G14" s="3"/>
      <c r="H14" s="2" t="s">
        <v>21</v>
      </c>
      <c r="I14" s="1" t="s">
        <v>22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3"/>
      <c r="H15" s="2" t="s">
        <v>23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3"/>
      <c r="H16" s="2" t="s">
        <v>24</v>
      </c>
      <c r="I16" s="1" t="s">
        <v>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3"/>
      <c r="H17" s="2" t="s">
        <v>26</v>
      </c>
      <c r="I17" s="1" t="s">
        <v>27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/>
      <c r="B18" s="2"/>
      <c r="C18" s="2"/>
      <c r="D18" s="2"/>
      <c r="E18" s="2"/>
      <c r="F18" s="2"/>
      <c r="G18" s="3"/>
      <c r="H18" s="2" t="s">
        <v>28</v>
      </c>
      <c r="I18" s="1" t="s">
        <v>29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"/>
      <c r="B19" s="2"/>
      <c r="C19" s="2"/>
      <c r="D19" s="2"/>
      <c r="E19" s="2"/>
      <c r="F19" s="2"/>
      <c r="G19" s="3"/>
      <c r="H19" s="2" t="s">
        <v>30</v>
      </c>
      <c r="I19" s="1" t="s">
        <v>31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"/>
      <c r="B20" s="2"/>
      <c r="C20" s="2"/>
      <c r="D20" s="7"/>
      <c r="E20" s="2"/>
      <c r="F20" s="2"/>
      <c r="G20" s="3"/>
      <c r="H20" s="5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"/>
      <c r="B21" s="2"/>
      <c r="C21" s="2"/>
      <c r="D21" s="7"/>
      <c r="F21" s="2"/>
      <c r="G21" s="3"/>
      <c r="H21" s="2" t="s">
        <v>32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5"/>
      <c r="B22" s="2"/>
      <c r="C22" s="2"/>
      <c r="D22" s="2"/>
      <c r="F22" s="2"/>
      <c r="G22" s="3"/>
      <c r="H22" s="2" t="s">
        <v>33</v>
      </c>
      <c r="I22" s="8" t="s">
        <v>34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5"/>
      <c r="B23" s="2"/>
      <c r="C23" s="2"/>
      <c r="D23" s="2"/>
      <c r="E23" s="2"/>
      <c r="F23" s="2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5"/>
      <c r="B24" s="2"/>
      <c r="C24" s="5"/>
      <c r="D24" s="5"/>
      <c r="F24" s="2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"/>
      <c r="B25" s="2"/>
      <c r="C25" s="2"/>
      <c r="D25" s="2"/>
      <c r="E25" s="2"/>
      <c r="F25" s="2"/>
      <c r="G25" s="3"/>
      <c r="H25" s="2"/>
      <c r="I25" s="2"/>
      <c r="J25" s="9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"/>
      <c r="B27" s="2"/>
      <c r="C27" s="2"/>
      <c r="D27" s="2"/>
      <c r="E27" s="2"/>
      <c r="F27" s="2"/>
      <c r="G27" s="3"/>
      <c r="H27" s="2" t="s">
        <v>1</v>
      </c>
      <c r="I27" s="1" t="s">
        <v>35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2"/>
      <c r="B28" s="2"/>
      <c r="C28" s="2"/>
      <c r="D28" s="2"/>
      <c r="E28" s="2"/>
      <c r="F28" s="2"/>
      <c r="G28" s="3"/>
      <c r="H28" s="2" t="s"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2"/>
      <c r="B29" s="2"/>
      <c r="C29" s="2"/>
      <c r="D29" s="2"/>
      <c r="E29" s="2"/>
      <c r="F29" s="2"/>
      <c r="G29" s="3"/>
      <c r="H29" s="2" t="s">
        <v>3</v>
      </c>
      <c r="I29" s="1" t="s">
        <v>36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2"/>
      <c r="B30" s="2"/>
      <c r="C30" s="2"/>
      <c r="D30" s="2"/>
      <c r="E30" s="2"/>
      <c r="F30" s="2"/>
      <c r="G30" s="3"/>
      <c r="H30" s="2" t="s">
        <v>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2"/>
      <c r="B31" s="2"/>
      <c r="C31" s="2"/>
      <c r="D31" s="2"/>
      <c r="E31" s="2"/>
      <c r="F31" s="2"/>
      <c r="G31" s="3"/>
      <c r="H31" s="2" t="s">
        <v>6</v>
      </c>
      <c r="I31" s="1" t="s">
        <v>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2"/>
      <c r="B32" s="2"/>
      <c r="C32" s="2"/>
      <c r="D32" s="2"/>
      <c r="E32" s="2"/>
      <c r="F32" s="2"/>
      <c r="G32" s="3"/>
      <c r="H32" s="5" t="s">
        <v>8</v>
      </c>
      <c r="I32" s="1" t="s">
        <v>37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"/>
      <c r="B33" s="2"/>
      <c r="C33" s="2"/>
      <c r="D33" s="2"/>
      <c r="E33" s="2"/>
      <c r="F33" s="2"/>
      <c r="G33" s="3"/>
      <c r="H33" s="5" t="s">
        <v>10</v>
      </c>
      <c r="I33" s="6">
        <v>32705.0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2"/>
      <c r="B34" s="2"/>
      <c r="C34" s="2"/>
      <c r="D34" s="2"/>
      <c r="E34" s="2"/>
      <c r="F34" s="2"/>
      <c r="G34" s="3"/>
      <c r="H34" s="5" t="s">
        <v>11</v>
      </c>
      <c r="I34" s="1" t="s">
        <v>38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"/>
      <c r="B35" s="2"/>
      <c r="C35" s="2"/>
      <c r="D35" s="2"/>
      <c r="E35" s="2"/>
      <c r="F35" s="2"/>
      <c r="G35" s="3"/>
      <c r="H35" s="2" t="s">
        <v>13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5"/>
      <c r="B36" s="5"/>
      <c r="C36" s="2"/>
      <c r="D36" s="2"/>
      <c r="E36" s="2"/>
      <c r="F36" s="2"/>
      <c r="G36" s="3"/>
      <c r="H36" s="2" t="s">
        <v>14</v>
      </c>
      <c r="I36" s="1" t="s">
        <v>39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"/>
      <c r="B37" s="2"/>
      <c r="C37" s="2"/>
      <c r="D37" s="2"/>
      <c r="E37" s="2"/>
      <c r="F37" s="2"/>
      <c r="G37" s="3"/>
      <c r="H37" s="2" t="s">
        <v>16</v>
      </c>
      <c r="I37" s="1" t="s">
        <v>40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3"/>
      <c r="H38" s="2" t="s">
        <v>18</v>
      </c>
      <c r="I38" s="1" t="s">
        <v>41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3"/>
      <c r="H39" s="2" t="s">
        <v>20</v>
      </c>
      <c r="I39" s="2">
        <f>59995177466</f>
        <v>59995177466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3"/>
      <c r="H40" s="2" t="s">
        <v>21</v>
      </c>
      <c r="I40" s="1" t="s">
        <v>42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3"/>
      <c r="H41" s="2" t="s">
        <v>23</v>
      </c>
      <c r="I41" s="1" t="s">
        <v>43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3"/>
      <c r="H42" s="2" t="s">
        <v>24</v>
      </c>
      <c r="I42" s="1" t="s">
        <v>25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3"/>
      <c r="H43" s="2" t="s">
        <v>26</v>
      </c>
      <c r="I43" s="1" t="s">
        <v>44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3"/>
      <c r="H44" s="2" t="s">
        <v>28</v>
      </c>
      <c r="I44" s="1" t="s">
        <v>45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3"/>
      <c r="H45" s="2" t="s">
        <v>30</v>
      </c>
      <c r="I45" s="1" t="s">
        <v>46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3"/>
      <c r="H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3"/>
      <c r="H47" s="2" t="s">
        <v>32</v>
      </c>
      <c r="I47" s="1" t="s">
        <v>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3"/>
      <c r="H48" s="2" t="s">
        <v>33</v>
      </c>
      <c r="I48" s="1" t="s">
        <v>34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3"/>
      <c r="H53" s="2" t="s">
        <v>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3"/>
      <c r="H54" s="2" t="s">
        <v>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3"/>
      <c r="H55" s="2" t="s">
        <v>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3"/>
      <c r="H56" s="2" t="s">
        <v>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3"/>
      <c r="H57" s="2" t="s">
        <v>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3"/>
      <c r="H58" s="5" t="s">
        <v>8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3"/>
      <c r="H59" s="5" t="s">
        <v>10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3"/>
      <c r="H60" s="5" t="s">
        <v>11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3"/>
      <c r="H61" s="2" t="s">
        <v>13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3"/>
      <c r="H62" s="2" t="s">
        <v>14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3"/>
      <c r="H63" s="2" t="s">
        <v>16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3"/>
      <c r="H64" s="2" t="s">
        <v>18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3"/>
      <c r="H65" s="2" t="s">
        <v>20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3"/>
      <c r="H66" s="2" t="s">
        <v>21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3"/>
      <c r="H67" s="2" t="s">
        <v>23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3"/>
      <c r="H68" s="2" t="s">
        <v>24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3"/>
      <c r="H69" s="2" t="s">
        <v>26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3"/>
      <c r="H70" s="2" t="s">
        <v>28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3"/>
      <c r="H71" s="2" t="s">
        <v>30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3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3"/>
      <c r="H73" s="2" t="s">
        <v>32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2"/>
      <c r="D991" s="2"/>
      <c r="E991" s="2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2"/>
      <c r="D992" s="2"/>
      <c r="E992" s="2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2"/>
      <c r="D993" s="2"/>
      <c r="E993" s="2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2"/>
      <c r="D994" s="2"/>
      <c r="E994" s="2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2"/>
      <c r="D995" s="2"/>
      <c r="E995" s="2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2"/>
      <c r="D996" s="2"/>
      <c r="E996" s="2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2"/>
      <c r="D997" s="2"/>
      <c r="E997" s="2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2"/>
      <c r="D998" s="2"/>
      <c r="E998" s="2"/>
      <c r="F998" s="2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2"/>
      <c r="D999" s="2"/>
      <c r="E999" s="2"/>
      <c r="F999" s="2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2"/>
      <c r="D1000" s="2"/>
      <c r="E1000" s="2"/>
      <c r="F1000" s="2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1">
    <mergeCell ref="F5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5.88"/>
    <col customWidth="1" min="3" max="3" width="40.0"/>
    <col customWidth="1" min="4" max="4" width="9.38"/>
    <col customWidth="1" min="5" max="5" width="9.88"/>
    <col customWidth="1" min="6" max="6" width="1.63"/>
  </cols>
  <sheetData>
    <row r="1">
      <c r="A1" s="11"/>
      <c r="B1" s="11"/>
      <c r="C1" s="11"/>
      <c r="D1" s="11"/>
      <c r="E1" s="11"/>
      <c r="F1" s="11"/>
    </row>
    <row r="2" ht="15.75" customHeight="1">
      <c r="A2" s="11"/>
      <c r="B2" s="11"/>
      <c r="C2" s="11"/>
      <c r="D2" s="11"/>
      <c r="E2" s="11"/>
      <c r="F2" s="11"/>
    </row>
    <row r="3">
      <c r="A3" s="11"/>
      <c r="B3" s="12"/>
      <c r="C3" s="13" t="s">
        <v>47</v>
      </c>
      <c r="D3" s="14"/>
      <c r="E3" s="12"/>
      <c r="F3" s="11"/>
    </row>
    <row r="4">
      <c r="A4" s="11"/>
      <c r="B4" s="15"/>
      <c r="C4" s="16" t="s">
        <v>48</v>
      </c>
      <c r="D4" s="17" t="s">
        <v>49</v>
      </c>
      <c r="E4" s="17" t="s">
        <v>50</v>
      </c>
      <c r="F4" s="11"/>
    </row>
    <row r="5">
      <c r="A5" s="11"/>
      <c r="B5" s="18" t="str">
        <f>COSTEO!D5</f>
        <v>M - S</v>
      </c>
      <c r="C5" s="19" t="str">
        <f>COSTEO!E5</f>
        <v>Póliza de asistencia médica al viajero - producto visitor  por 06 días</v>
      </c>
      <c r="D5" s="20">
        <f>COSTEO!M5</f>
        <v>9.210526316</v>
      </c>
      <c r="E5" s="20">
        <f>COSTEO!N5</f>
        <v>9.210526316</v>
      </c>
      <c r="F5" s="21"/>
    </row>
    <row r="6">
      <c r="A6" s="11"/>
      <c r="B6" s="18" t="str">
        <f>COSTEO!D6</f>
        <v>M - S</v>
      </c>
      <c r="C6" s="22" t="str">
        <f>COSTEO!E6</f>
        <v>Sim card física</v>
      </c>
      <c r="D6" s="20">
        <f>COSTEO!M6</f>
        <v>2.631578947</v>
      </c>
      <c r="E6" s="20">
        <f>COSTEO!N6</f>
        <v>2.631578947</v>
      </c>
      <c r="F6" s="21"/>
    </row>
    <row r="7">
      <c r="A7" s="11"/>
      <c r="B7" s="18" t="str">
        <f>COSTEO!D7</f>
        <v>M - S</v>
      </c>
      <c r="C7" s="22" t="str">
        <f>COSTEO!E7</f>
        <v>Recarga 10 gigas de datos</v>
      </c>
      <c r="D7" s="20">
        <f>COSTEO!M7</f>
        <v>4.210526316</v>
      </c>
      <c r="E7" s="20">
        <f>COSTEO!N7</f>
        <v>4.210526316</v>
      </c>
      <c r="F7" s="21"/>
    </row>
    <row r="8">
      <c r="A8" s="11"/>
      <c r="B8" s="18" t="str">
        <f>COSTEO!D8</f>
        <v>M - S</v>
      </c>
      <c r="C8" s="22" t="str">
        <f>COSTEO!E8</f>
        <v>Traslado  aeropuerto - hotel - aeropuerto en CARRO</v>
      </c>
      <c r="D8" s="20">
        <f>COSTEO!M8</f>
        <v>40.13822435</v>
      </c>
      <c r="E8" s="20">
        <f>COSTEO!N8</f>
        <v>40.13822435</v>
      </c>
      <c r="F8" s="21"/>
    </row>
    <row r="9">
      <c r="A9" s="11"/>
      <c r="B9" s="23" t="str">
        <f>COSTEO!D9</f>
        <v/>
      </c>
      <c r="C9" s="24" t="str">
        <f>COSTEO!E9</f>
        <v>Paquete de chequeo médico</v>
      </c>
      <c r="D9" s="25">
        <f>COSTEO!M9</f>
        <v>485</v>
      </c>
      <c r="E9" s="25">
        <f>COSTEO!N9</f>
        <v>485</v>
      </c>
      <c r="F9" s="21"/>
    </row>
    <row r="10">
      <c r="A10" s="11"/>
      <c r="B10" s="18" t="str">
        <f>COSTEO!D10</f>
        <v>M - S</v>
      </c>
      <c r="C10" s="26" t="str">
        <f>COSTEO!E10</f>
        <v>Citología  cervical</v>
      </c>
      <c r="D10" s="27" t="str">
        <f>COSTEO!M10</f>
        <v/>
      </c>
      <c r="E10" s="27" t="str">
        <f>COSTEO!N10</f>
        <v/>
      </c>
      <c r="F10" s="21"/>
    </row>
    <row r="11">
      <c r="A11" s="11"/>
      <c r="B11" s="18" t="str">
        <f>COSTEO!D11</f>
        <v>M - S</v>
      </c>
      <c r="C11" s="28" t="str">
        <f>COSTEO!E11</f>
        <v>Domicilio</v>
      </c>
      <c r="D11" s="27" t="str">
        <f>COSTEO!M11</f>
        <v/>
      </c>
      <c r="E11" s="27" t="str">
        <f>COSTEO!N11</f>
        <v/>
      </c>
      <c r="F11" s="21"/>
    </row>
    <row r="12">
      <c r="A12" s="11"/>
      <c r="B12" s="18" t="str">
        <f>COSTEO!D12</f>
        <v>M - S</v>
      </c>
      <c r="C12" s="26" t="str">
        <f>COSTEO!E12</f>
        <v>Coprológico</v>
      </c>
      <c r="D12" s="27" t="str">
        <f>COSTEO!M12</f>
        <v/>
      </c>
      <c r="E12" s="27" t="str">
        <f>COSTEO!N12</f>
        <v/>
      </c>
      <c r="F12" s="21"/>
    </row>
    <row r="13">
      <c r="A13" s="11"/>
      <c r="B13" s="18" t="str">
        <f>COSTEO!D13</f>
        <v>M - S</v>
      </c>
      <c r="C13" s="26" t="str">
        <f>COSTEO!E13</f>
        <v>Vitamina D25</v>
      </c>
      <c r="D13" s="27" t="str">
        <f>COSTEO!M13</f>
        <v/>
      </c>
      <c r="E13" s="27" t="str">
        <f>COSTEO!N13</f>
        <v/>
      </c>
      <c r="F13" s="21"/>
    </row>
    <row r="14">
      <c r="A14" s="11"/>
      <c r="B14" s="18" t="str">
        <f>COSTEO!D14</f>
        <v>M - S</v>
      </c>
      <c r="C14" s="26" t="str">
        <f>COSTEO!E14</f>
        <v>Vitamina B12</v>
      </c>
      <c r="D14" s="27" t="str">
        <f>COSTEO!M14</f>
        <v/>
      </c>
      <c r="E14" s="27" t="str">
        <f>COSTEO!N14</f>
        <v/>
      </c>
      <c r="F14" s="21"/>
    </row>
    <row r="15">
      <c r="A15" s="11"/>
      <c r="B15" s="18" t="str">
        <f>COSTEO!D15</f>
        <v>M - S</v>
      </c>
      <c r="C15" s="24" t="str">
        <f>COSTEO!E15</f>
        <v>Perfil lipídico</v>
      </c>
      <c r="D15" s="27" t="str">
        <f>COSTEO!M15</f>
        <v/>
      </c>
      <c r="E15" s="27" t="str">
        <f>COSTEO!N15</f>
        <v/>
      </c>
      <c r="F15" s="21"/>
    </row>
    <row r="16">
      <c r="A16" s="11"/>
      <c r="B16" s="18" t="str">
        <f>COSTEO!D16</f>
        <v>M - S</v>
      </c>
      <c r="C16" s="26" t="str">
        <f>COSTEO!E16</f>
        <v>Colesterol HDL</v>
      </c>
      <c r="D16" s="27" t="str">
        <f>COSTEO!M16</f>
        <v/>
      </c>
      <c r="E16" s="27" t="str">
        <f>COSTEO!N16</f>
        <v/>
      </c>
      <c r="F16" s="21"/>
    </row>
    <row r="17">
      <c r="A17" s="11"/>
      <c r="B17" s="18" t="str">
        <f>COSTEO!D17</f>
        <v>M - S</v>
      </c>
      <c r="C17" s="26" t="str">
        <f>COSTEO!E17</f>
        <v>Colesterol LDL</v>
      </c>
      <c r="D17" s="27" t="str">
        <f>COSTEO!M17</f>
        <v/>
      </c>
      <c r="E17" s="27" t="str">
        <f>COSTEO!N17</f>
        <v/>
      </c>
      <c r="F17" s="21"/>
    </row>
    <row r="18">
      <c r="A18" s="11"/>
      <c r="B18" s="18" t="str">
        <f>COSTEO!D18</f>
        <v>M - S</v>
      </c>
      <c r="C18" s="26" t="str">
        <f>COSTEO!E18</f>
        <v>Colesterol total</v>
      </c>
      <c r="D18" s="27" t="str">
        <f>COSTEO!M18</f>
        <v/>
      </c>
      <c r="E18" s="27" t="str">
        <f>COSTEO!N18</f>
        <v/>
      </c>
      <c r="F18" s="21"/>
    </row>
    <row r="19">
      <c r="A19" s="11"/>
      <c r="B19" s="18" t="str">
        <f>COSTEO!D19</f>
        <v>M - S</v>
      </c>
      <c r="C19" s="26" t="str">
        <f>COSTEO!E19</f>
        <v>Triglicéridos</v>
      </c>
      <c r="D19" s="27" t="str">
        <f>COSTEO!M19</f>
        <v/>
      </c>
      <c r="E19" s="27" t="str">
        <f>COSTEO!N19</f>
        <v/>
      </c>
      <c r="F19" s="21"/>
    </row>
    <row r="20">
      <c r="A20" s="11"/>
      <c r="B20" s="18" t="str">
        <f>COSTEO!D20</f>
        <v>M - S</v>
      </c>
      <c r="C20" s="24" t="str">
        <f>COSTEO!E20</f>
        <v>Perfil Hepático</v>
      </c>
      <c r="D20" s="27" t="str">
        <f>COSTEO!M20</f>
        <v/>
      </c>
      <c r="E20" s="27" t="str">
        <f>COSTEO!N20</f>
        <v/>
      </c>
      <c r="F20" s="21"/>
    </row>
    <row r="21">
      <c r="A21" s="11"/>
      <c r="B21" s="18" t="str">
        <f>COSTEO!D21</f>
        <v>M - S</v>
      </c>
      <c r="C21" s="26" t="str">
        <f>COSTEO!E21</f>
        <v>ALT- Alanina transferasa</v>
      </c>
      <c r="D21" s="27" t="str">
        <f>COSTEO!M21</f>
        <v/>
      </c>
      <c r="E21" s="27" t="str">
        <f>COSTEO!N21</f>
        <v/>
      </c>
      <c r="F21" s="21"/>
    </row>
    <row r="22">
      <c r="A22" s="11"/>
      <c r="B22" s="18" t="str">
        <f>COSTEO!D22</f>
        <v>M - S</v>
      </c>
      <c r="C22" s="26" t="str">
        <f>COSTEO!E22</f>
        <v>AST - aspartato transferasa</v>
      </c>
      <c r="D22" s="27" t="str">
        <f>COSTEO!M22</f>
        <v/>
      </c>
      <c r="E22" s="27" t="str">
        <f>COSTEO!N22</f>
        <v/>
      </c>
      <c r="F22" s="21"/>
    </row>
    <row r="23">
      <c r="A23" s="11"/>
      <c r="B23" s="18" t="str">
        <f>COSTEO!D23</f>
        <v>M - S</v>
      </c>
      <c r="C23" s="26" t="str">
        <f>COSTEO!E23</f>
        <v>Bilirrubina total y directa</v>
      </c>
      <c r="D23" s="27" t="str">
        <f>COSTEO!M23</f>
        <v/>
      </c>
      <c r="E23" s="27" t="str">
        <f>COSTEO!N23</f>
        <v/>
      </c>
      <c r="F23" s="21"/>
    </row>
    <row r="24">
      <c r="A24" s="11"/>
      <c r="B24" s="18" t="str">
        <f>COSTEO!D24</f>
        <v>M - S</v>
      </c>
      <c r="C24" s="26" t="str">
        <f>COSTEO!E24</f>
        <v>Gama Glutamil transferasa</v>
      </c>
      <c r="D24" s="27" t="str">
        <f>COSTEO!M24</f>
        <v/>
      </c>
      <c r="E24" s="27" t="str">
        <f>COSTEO!N24</f>
        <v/>
      </c>
      <c r="F24" s="21"/>
    </row>
    <row r="25">
      <c r="A25" s="11"/>
      <c r="B25" s="18" t="str">
        <f>COSTEO!D25</f>
        <v>M - S</v>
      </c>
      <c r="C25" s="24" t="str">
        <f>COSTEO!E25</f>
        <v>Perfil Renal</v>
      </c>
      <c r="D25" s="27" t="str">
        <f>COSTEO!M25</f>
        <v/>
      </c>
      <c r="E25" s="27" t="str">
        <f>COSTEO!N25</f>
        <v/>
      </c>
      <c r="F25" s="21"/>
    </row>
    <row r="26">
      <c r="A26" s="11"/>
      <c r="B26" s="18" t="str">
        <f>COSTEO!D26</f>
        <v>M - S</v>
      </c>
      <c r="C26" s="26" t="str">
        <f>COSTEO!E26</f>
        <v>Creatinina</v>
      </c>
      <c r="D26" s="27" t="str">
        <f>COSTEO!M26</f>
        <v/>
      </c>
      <c r="E26" s="27" t="str">
        <f>COSTEO!N26</f>
        <v/>
      </c>
      <c r="F26" s="21"/>
    </row>
    <row r="27">
      <c r="A27" s="11"/>
      <c r="B27" s="18" t="str">
        <f>COSTEO!D27</f>
        <v>M - S</v>
      </c>
      <c r="C27" s="26" t="str">
        <f>COSTEO!E27</f>
        <v>Uroanálisis</v>
      </c>
      <c r="D27" s="27" t="str">
        <f>COSTEO!M27</f>
        <v/>
      </c>
      <c r="E27" s="27" t="str">
        <f>COSTEO!N27</f>
        <v/>
      </c>
      <c r="F27" s="21"/>
    </row>
    <row r="28">
      <c r="A28" s="11"/>
      <c r="B28" s="18" t="str">
        <f>COSTEO!D28</f>
        <v>M - S</v>
      </c>
      <c r="C28" s="26" t="str">
        <f>COSTEO!E28</f>
        <v>Nitrógeno Ureico en Sangre  (BUN)</v>
      </c>
      <c r="D28" s="27" t="str">
        <f>COSTEO!M28</f>
        <v/>
      </c>
      <c r="E28" s="27" t="str">
        <f>COSTEO!N28</f>
        <v/>
      </c>
      <c r="F28" s="21"/>
    </row>
    <row r="29">
      <c r="A29" s="11"/>
      <c r="B29" s="18" t="str">
        <f>COSTEO!D29</f>
        <v>M - S</v>
      </c>
      <c r="C29" s="24" t="str">
        <f>COSTEO!E29</f>
        <v>Sangre</v>
      </c>
      <c r="D29" s="27" t="str">
        <f>COSTEO!M29</f>
        <v/>
      </c>
      <c r="E29" s="27" t="str">
        <f>COSTEO!N29</f>
        <v/>
      </c>
      <c r="F29" s="21"/>
    </row>
    <row r="30">
      <c r="A30" s="11"/>
      <c r="B30" s="18" t="str">
        <f>COSTEO!D30</f>
        <v>M - S</v>
      </c>
      <c r="C30" s="26" t="str">
        <f>COSTEO!E30</f>
        <v>Hemograma completo</v>
      </c>
      <c r="D30" s="27" t="str">
        <f>COSTEO!M30</f>
        <v/>
      </c>
      <c r="E30" s="27" t="str">
        <f>COSTEO!N30</f>
        <v/>
      </c>
      <c r="F30" s="21"/>
    </row>
    <row r="31" ht="17.25" customHeight="1">
      <c r="A31" s="11"/>
      <c r="B31" s="18" t="str">
        <f>COSTEO!D31</f>
        <v>M - S</v>
      </c>
      <c r="C31" s="26" t="str">
        <f>COSTEO!E31</f>
        <v>Hemoglobina glicosilada</v>
      </c>
      <c r="D31" s="27" t="str">
        <f>COSTEO!M31</f>
        <v/>
      </c>
      <c r="E31" s="27" t="str">
        <f>COSTEO!N31</f>
        <v/>
      </c>
      <c r="F31" s="21"/>
    </row>
    <row r="32">
      <c r="A32" s="11"/>
      <c r="B32" s="18" t="str">
        <f>COSTEO!D32</f>
        <v>M - S</v>
      </c>
      <c r="C32" s="26" t="str">
        <f>COSTEO!E32</f>
        <v>Ferritina</v>
      </c>
      <c r="D32" s="27" t="str">
        <f>COSTEO!M32</f>
        <v/>
      </c>
      <c r="E32" s="27" t="str">
        <f>COSTEO!N32</f>
        <v/>
      </c>
      <c r="F32" s="21"/>
    </row>
    <row r="33">
      <c r="A33" s="11"/>
      <c r="B33" s="18" t="str">
        <f>COSTEO!D33</f>
        <v>M - S</v>
      </c>
      <c r="C33" s="26" t="str">
        <f>COSTEO!E33</f>
        <v>Glucosa sérica</v>
      </c>
      <c r="D33" s="27" t="str">
        <f>COSTEO!M33</f>
        <v/>
      </c>
      <c r="E33" s="27" t="str">
        <f>COSTEO!N33</f>
        <v/>
      </c>
      <c r="F33" s="21"/>
    </row>
    <row r="34">
      <c r="A34" s="11"/>
      <c r="B34" s="18" t="str">
        <f>COSTEO!D34</f>
        <v>M - S</v>
      </c>
      <c r="C34" s="24" t="str">
        <f>COSTEO!E34</f>
        <v>Perfil Tiroideo</v>
      </c>
      <c r="D34" s="27" t="str">
        <f>COSTEO!M34</f>
        <v/>
      </c>
      <c r="E34" s="27" t="str">
        <f>COSTEO!N34</f>
        <v/>
      </c>
      <c r="F34" s="21"/>
    </row>
    <row r="35">
      <c r="A35" s="11"/>
      <c r="B35" s="29" t="str">
        <f>COSTEO!D35</f>
        <v>M - S</v>
      </c>
      <c r="C35" s="26" t="str">
        <f>COSTEO!E35</f>
        <v>T4 total</v>
      </c>
      <c r="D35" s="27" t="str">
        <f>COSTEO!M35</f>
        <v/>
      </c>
      <c r="E35" s="27" t="str">
        <f>COSTEO!N35</f>
        <v/>
      </c>
      <c r="F35" s="21"/>
    </row>
    <row r="36" ht="18.75" customHeight="1">
      <c r="A36" s="11"/>
      <c r="B36" s="18" t="str">
        <f>COSTEO!D36</f>
        <v>M - S</v>
      </c>
      <c r="C36" s="26" t="str">
        <f>COSTEO!E36</f>
        <v>TSH</v>
      </c>
      <c r="D36" s="27" t="str">
        <f>COSTEO!M36</f>
        <v/>
      </c>
      <c r="E36" s="27" t="str">
        <f>COSTEO!N36</f>
        <v/>
      </c>
      <c r="F36" s="21"/>
    </row>
    <row r="37" ht="19.5" customHeight="1">
      <c r="A37" s="11"/>
      <c r="B37" s="18" t="str">
        <f>COSTEO!D37</f>
        <v>M - S</v>
      </c>
      <c r="C37" s="24" t="str">
        <f>COSTEO!E37</f>
        <v>Enfermedades de transmisión sexual</v>
      </c>
      <c r="D37" s="27" t="str">
        <f>COSTEO!M37</f>
        <v/>
      </c>
      <c r="E37" s="27" t="str">
        <f>COSTEO!N37</f>
        <v/>
      </c>
      <c r="F37" s="21"/>
    </row>
    <row r="38">
      <c r="A38" s="11"/>
      <c r="B38" s="18" t="str">
        <f>COSTEO!D38</f>
        <v>M - S</v>
      </c>
      <c r="C38" s="26" t="str">
        <f>COSTEO!E38</f>
        <v>VDRL</v>
      </c>
      <c r="D38" s="27" t="str">
        <f>COSTEO!M38</f>
        <v/>
      </c>
      <c r="E38" s="27" t="str">
        <f>COSTEO!N38</f>
        <v/>
      </c>
      <c r="F38" s="21"/>
    </row>
    <row r="39">
      <c r="A39" s="11"/>
      <c r="B39" s="18" t="str">
        <f>COSTEO!D39</f>
        <v>M - S</v>
      </c>
      <c r="C39" s="26" t="str">
        <f>COSTEO!E39</f>
        <v>VIH 1 Y 2, Anticuerpos </v>
      </c>
      <c r="D39" s="27" t="str">
        <f>COSTEO!M39</f>
        <v/>
      </c>
      <c r="E39" s="27" t="str">
        <f>COSTEO!N39</f>
        <v/>
      </c>
      <c r="F39" s="21"/>
    </row>
    <row r="40">
      <c r="A40" s="11"/>
      <c r="B40" s="18" t="str">
        <f>COSTEO!D40</f>
        <v>M - S</v>
      </c>
      <c r="C40" s="24" t="str">
        <f>COSTEO!E40</f>
        <v>Imágenes diagnósticas</v>
      </c>
      <c r="D40" s="27" t="str">
        <f>COSTEO!M40</f>
        <v/>
      </c>
      <c r="E40" s="27" t="str">
        <f>COSTEO!N40</f>
        <v/>
      </c>
      <c r="F40" s="21"/>
    </row>
    <row r="41">
      <c r="A41" s="11"/>
      <c r="B41" s="30" t="str">
        <f>COSTEO!D41</f>
        <v>M</v>
      </c>
      <c r="C41" s="31" t="str">
        <f>COSTEO!E41</f>
        <v>Radiografía de tórax</v>
      </c>
      <c r="D41" s="27" t="str">
        <f>COSTEO!M41</f>
        <v/>
      </c>
      <c r="E41" s="27" t="str">
        <f>COSTEO!N41</f>
        <v/>
      </c>
      <c r="F41" s="21"/>
    </row>
    <row r="42">
      <c r="A42" s="11"/>
      <c r="B42" s="30" t="str">
        <f>COSTEO!D42</f>
        <v>M</v>
      </c>
      <c r="C42" s="31" t="str">
        <f>COSTEO!E42</f>
        <v>Mamografía</v>
      </c>
      <c r="D42" s="27" t="str">
        <f>COSTEO!M42</f>
        <v/>
      </c>
      <c r="E42" s="27" t="str">
        <f>COSTEO!N42</f>
        <v/>
      </c>
      <c r="F42" s="21"/>
    </row>
    <row r="43">
      <c r="A43" s="11"/>
      <c r="B43" s="30" t="str">
        <f>COSTEO!D43</f>
        <v>S</v>
      </c>
      <c r="C43" s="32" t="str">
        <f>COSTEO!E43</f>
        <v>Ecografía de mama</v>
      </c>
      <c r="D43" s="27" t="str">
        <f>COSTEO!M43</f>
        <v/>
      </c>
      <c r="E43" s="27" t="str">
        <f>COSTEO!N43</f>
        <v/>
      </c>
      <c r="F43" s="21"/>
    </row>
    <row r="44">
      <c r="A44" s="11"/>
      <c r="B44" s="18" t="str">
        <f>COSTEO!D44</f>
        <v>M - S</v>
      </c>
      <c r="C44" s="31" t="str">
        <f>COSTEO!E44</f>
        <v>Ecografía de abdomen total</v>
      </c>
      <c r="D44" s="27" t="str">
        <f>COSTEO!M44</f>
        <v/>
      </c>
      <c r="E44" s="27" t="str">
        <f>COSTEO!N44</f>
        <v/>
      </c>
      <c r="F44" s="21"/>
    </row>
    <row r="45">
      <c r="A45" s="11"/>
      <c r="B45" s="18" t="str">
        <f>COSTEO!D45</f>
        <v>M - S</v>
      </c>
      <c r="C45" s="31" t="str">
        <f>COSTEO!E45</f>
        <v>Electrocardiograma</v>
      </c>
      <c r="D45" s="27" t="str">
        <f>COSTEO!M45</f>
        <v/>
      </c>
      <c r="E45" s="27" t="str">
        <f>COSTEO!N45</f>
        <v/>
      </c>
      <c r="F45" s="21"/>
    </row>
    <row r="46">
      <c r="A46" s="11"/>
      <c r="B46" s="18" t="str">
        <f>COSTEO!D46</f>
        <v>M - S</v>
      </c>
      <c r="C46" s="33" t="str">
        <f>COSTEO!E46</f>
        <v>Cita con especialista en MEDICINA INTERNA - CARDIOLOGÍA</v>
      </c>
      <c r="D46" s="27" t="str">
        <f>COSTEO!M46</f>
        <v/>
      </c>
      <c r="E46" s="27" t="str">
        <f>COSTEO!N46</f>
        <v/>
      </c>
      <c r="F46" s="21"/>
    </row>
    <row r="47">
      <c r="A47" s="11"/>
      <c r="B47" s="18" t="str">
        <f>COSTEO!D47</f>
        <v>M - S</v>
      </c>
      <c r="C47" s="33" t="str">
        <f>COSTEO!E47</f>
        <v>04 Traslados hotel - clínica por trayecto</v>
      </c>
      <c r="D47" s="27" t="str">
        <f>COSTEO!M47</f>
        <v/>
      </c>
      <c r="E47" s="27" t="str">
        <f>COSTEO!N47</f>
        <v/>
      </c>
      <c r="F47" s="21"/>
    </row>
    <row r="48">
      <c r="A48" s="11"/>
      <c r="B48" s="18" t="str">
        <f>COSTEO!D48</f>
        <v>M - S</v>
      </c>
      <c r="C48" s="33" t="str">
        <f>COSTEO!E48</f>
        <v>Medical Trip Colombia SAS - Acompañamiento virtual  y presencial para exámenes y citas</v>
      </c>
      <c r="D48" s="27" t="str">
        <f>COSTEO!M48</f>
        <v/>
      </c>
      <c r="E48" s="27" t="str">
        <f>COSTEO!N48</f>
        <v/>
      </c>
      <c r="F48" s="21"/>
    </row>
    <row r="49">
      <c r="A49" s="11"/>
      <c r="B49" s="23" t="str">
        <f>COSTEO!D49</f>
        <v/>
      </c>
      <c r="C49" s="34" t="str">
        <f>COSTEO!E49</f>
        <v>ÓRDENES MÉDICAS</v>
      </c>
      <c r="D49" s="35" t="str">
        <f>COSTEO!M49</f>
        <v/>
      </c>
      <c r="E49" s="35" t="str">
        <f>COSTEO!N49</f>
        <v/>
      </c>
      <c r="F49" s="21"/>
    </row>
    <row r="50" ht="27.0" customHeight="1">
      <c r="A50" s="11"/>
      <c r="B50" s="18" t="str">
        <f>COSTEO!D50</f>
        <v>M - S</v>
      </c>
      <c r="C50" s="36" t="str">
        <f>COSTEO!E50</f>
        <v>Tiempo de tromboplastina parcial TTP  </v>
      </c>
      <c r="D50" s="20">
        <f>COSTEO!M50</f>
        <v>9.398496241</v>
      </c>
      <c r="E50" s="20">
        <f>COSTEO!N50</f>
        <v>9.398496241</v>
      </c>
      <c r="F50" s="21"/>
    </row>
    <row r="51" ht="27.0" customHeight="1">
      <c r="A51" s="11"/>
      <c r="B51" s="18" t="str">
        <f>COSTEO!D51</f>
        <v>M - S</v>
      </c>
      <c r="C51" s="36" t="str">
        <f>COSTEO!E51</f>
        <v>Tiempo de protrombina PT </v>
      </c>
      <c r="D51" s="20">
        <f>COSTEO!M51</f>
        <v>11.27819549</v>
      </c>
      <c r="E51" s="20">
        <f>COSTEO!N51</f>
        <v>11.27819549</v>
      </c>
      <c r="F51" s="21"/>
    </row>
    <row r="52" ht="27.0" customHeight="1">
      <c r="A52" s="11"/>
      <c r="B52" s="18" t="str">
        <f>COSTEO!D52</f>
        <v>M - S</v>
      </c>
      <c r="C52" s="36" t="str">
        <f>COSTEO!E52</f>
        <v>Homocisteína sérica  (HCYSP)</v>
      </c>
      <c r="D52" s="20">
        <f>COSTEO!M52</f>
        <v>35.52631579</v>
      </c>
      <c r="E52" s="20">
        <f>COSTEO!N52</f>
        <v>35.52631579</v>
      </c>
      <c r="F52" s="21"/>
    </row>
    <row r="53" ht="27.0" customHeight="1">
      <c r="A53" s="11"/>
      <c r="B53" s="18" t="str">
        <f>COSTEO!D53</f>
        <v>M - S</v>
      </c>
      <c r="C53" s="36" t="str">
        <f>COSTEO!E53</f>
        <v>Frotis de sangre periférica - (extendido de sangre periférica estudio de morfología)</v>
      </c>
      <c r="D53" s="20">
        <f>COSTEO!M53</f>
        <v>16.91729323</v>
      </c>
      <c r="E53" s="20">
        <f>COSTEO!N53</f>
        <v>16.91729323</v>
      </c>
      <c r="F53" s="21"/>
    </row>
    <row r="54" ht="27.0" customHeight="1">
      <c r="A54" s="11"/>
      <c r="B54" s="18" t="str">
        <f>COSTEO!D54</f>
        <v>M - S</v>
      </c>
      <c r="C54" s="36" t="str">
        <f>COSTEO!E54</f>
        <v>Test de sicklemia: (Células Falciformes-drepanocitosis)</v>
      </c>
      <c r="D54" s="20">
        <f>COSTEO!M54</f>
        <v>15.03759398</v>
      </c>
      <c r="E54" s="20">
        <f>COSTEO!N54</f>
        <v>15.03759398</v>
      </c>
      <c r="F54" s="21"/>
    </row>
    <row r="55">
      <c r="A55" s="11"/>
      <c r="B55" s="18" t="str">
        <f>COSTEO!D55</f>
        <v>M - S</v>
      </c>
      <c r="C55" s="36" t="str">
        <f>COSTEO!E55</f>
        <v>Paratohormona</v>
      </c>
      <c r="D55" s="20">
        <f>COSTEO!M55</f>
        <v>35.91331269</v>
      </c>
      <c r="E55" s="20">
        <f>COSTEO!N55</f>
        <v>35.91331269</v>
      </c>
      <c r="F55" s="21"/>
    </row>
    <row r="56">
      <c r="A56" s="11"/>
      <c r="B56" s="18" t="str">
        <f>COSTEO!D56</f>
        <v>M - S</v>
      </c>
      <c r="C56" s="36" t="str">
        <f>COSTEO!E56</f>
        <v>G6PD (glucosa-6-fosfato deshidrogenasa) Prueba cualitativa</v>
      </c>
      <c r="D56" s="20">
        <f>COSTEO!M56</f>
        <v>18.79699248</v>
      </c>
      <c r="E56" s="20">
        <f>COSTEO!N56</f>
        <v>18.79699248</v>
      </c>
      <c r="F56" s="21"/>
    </row>
    <row r="57">
      <c r="A57" s="11"/>
      <c r="B57" s="18" t="str">
        <f>COSTEO!D57</f>
        <v>M - S</v>
      </c>
      <c r="C57" s="37" t="str">
        <f>COSTEO!E57</f>
        <v>Citología Papanicolaou</v>
      </c>
      <c r="D57" s="20">
        <f>COSTEO!M57</f>
        <v>17.54385965</v>
      </c>
      <c r="E57" s="20">
        <f>COSTEO!N57</f>
        <v>17.54385965</v>
      </c>
      <c r="F57" s="21"/>
    </row>
    <row r="58">
      <c r="A58" s="11"/>
      <c r="B58" s="30" t="str">
        <f>COSTEO!D58</f>
        <v>M</v>
      </c>
      <c r="C58" s="37" t="str">
        <f>COSTEO!E58</f>
        <v>Anticuerpos Nucleares ANA </v>
      </c>
      <c r="D58" s="20">
        <f>COSTEO!M58</f>
        <v>18.85964912</v>
      </c>
      <c r="E58" s="38" t="str">
        <f>COSTEO!N58</f>
        <v/>
      </c>
      <c r="F58" s="21"/>
    </row>
    <row r="59">
      <c r="A59" s="11"/>
      <c r="B59" s="18" t="str">
        <f>COSTEO!D59</f>
        <v>M - S</v>
      </c>
      <c r="C59" s="36" t="str">
        <f>COSTEO!E59</f>
        <v>Anti HBc</v>
      </c>
      <c r="D59" s="20">
        <f>COSTEO!M59</f>
        <v>18.79699248</v>
      </c>
      <c r="E59" s="20">
        <f>COSTEO!N59</f>
        <v>18.79699248</v>
      </c>
      <c r="F59" s="21"/>
    </row>
    <row r="60">
      <c r="A60" s="11"/>
      <c r="B60" s="18" t="str">
        <f>COSTEO!D60</f>
        <v>M - S</v>
      </c>
      <c r="C60" s="36" t="str">
        <f>COSTEO!E60</f>
        <v>Anticuerpos Ig G   Cardiolipina</v>
      </c>
      <c r="D60" s="20">
        <f>COSTEO!M60</f>
        <v>22.55639098</v>
      </c>
      <c r="E60" s="20">
        <f>COSTEO!N60</f>
        <v>22.55639098</v>
      </c>
      <c r="F60" s="21"/>
    </row>
    <row r="61">
      <c r="A61" s="11"/>
      <c r="B61" s="18" t="str">
        <f>COSTEO!D61</f>
        <v>M - S</v>
      </c>
      <c r="C61" s="36" t="str">
        <f>COSTEO!E61</f>
        <v>Anticuerpos Ig M   Cardiolipina</v>
      </c>
      <c r="D61" s="20">
        <f>COSTEO!M61</f>
        <v>22.55639098</v>
      </c>
      <c r="E61" s="20">
        <f>COSTEO!N61</f>
        <v>22.55639098</v>
      </c>
      <c r="F61" s="21"/>
    </row>
    <row r="62">
      <c r="A62" s="11"/>
      <c r="B62" s="30" t="str">
        <f>COSTEO!D62</f>
        <v>M</v>
      </c>
      <c r="C62" s="36" t="str">
        <f>COSTEO!E62</f>
        <v>Anti -ds ADN doble cadena</v>
      </c>
      <c r="D62" s="20">
        <f>COSTEO!M62</f>
        <v>26.31578947</v>
      </c>
      <c r="E62" s="38" t="str">
        <f>COSTEO!N62</f>
        <v/>
      </c>
      <c r="F62" s="21"/>
    </row>
    <row r="63">
      <c r="A63" s="11"/>
      <c r="B63" s="30" t="str">
        <f>COSTEO!D63</f>
        <v>M</v>
      </c>
      <c r="C63" s="36" t="str">
        <f>COSTEO!E63</f>
        <v>Complemento Sérico C3 Cuantitativo por nefelometría </v>
      </c>
      <c r="D63" s="20">
        <f>COSTEO!M63</f>
        <v>13.15789474</v>
      </c>
      <c r="E63" s="38" t="str">
        <f>COSTEO!N63</f>
        <v/>
      </c>
      <c r="F63" s="21"/>
    </row>
    <row r="64">
      <c r="A64" s="11"/>
      <c r="B64" s="30" t="str">
        <f>COSTEO!D64</f>
        <v>M</v>
      </c>
      <c r="C64" s="36" t="str">
        <f>COSTEO!E64</f>
        <v>Complemento Sérico C4 Cuantitativo por nefelometría </v>
      </c>
      <c r="D64" s="20">
        <f>COSTEO!M64</f>
        <v>15.35087719</v>
      </c>
      <c r="E64" s="38" t="str">
        <f>COSTEO!N64</f>
        <v/>
      </c>
      <c r="F64" s="21"/>
    </row>
    <row r="65">
      <c r="A65" s="11"/>
      <c r="B65" s="18" t="str">
        <f>COSTEO!D65</f>
        <v>S</v>
      </c>
      <c r="C65" s="36" t="str">
        <f>COSTEO!E65</f>
        <v>Niveles de Ig E en sangre cualitativa</v>
      </c>
      <c r="D65" s="38" t="str">
        <f>COSTEO!M65</f>
        <v/>
      </c>
      <c r="E65" s="20">
        <f>COSTEO!N65</f>
        <v>18.79699248</v>
      </c>
      <c r="F65" s="21"/>
    </row>
    <row r="66">
      <c r="A66" s="11"/>
      <c r="B66" s="18" t="str">
        <f>COSTEO!D66</f>
        <v>S</v>
      </c>
      <c r="C66" s="36" t="str">
        <f>COSTEO!E66</f>
        <v>Niveles de Ig E en sangre cuantitativa</v>
      </c>
      <c r="D66" s="38" t="str">
        <f>COSTEO!M66</f>
        <v/>
      </c>
      <c r="E66" s="20">
        <f>COSTEO!N66</f>
        <v>18.79699248</v>
      </c>
      <c r="F66" s="21"/>
    </row>
    <row r="67">
      <c r="A67" s="11"/>
      <c r="B67" s="18" t="str">
        <f>COSTEO!D67</f>
        <v>S</v>
      </c>
      <c r="C67" s="37" t="str">
        <f>COSTEO!E67</f>
        <v>Eosinofilos en moco nasal</v>
      </c>
      <c r="D67" s="38" t="str">
        <f>COSTEO!M67</f>
        <v/>
      </c>
      <c r="E67" s="20">
        <f>COSTEO!N67</f>
        <v>11.27819549</v>
      </c>
      <c r="F67" s="21"/>
    </row>
    <row r="68">
      <c r="A68" s="11"/>
      <c r="B68" s="30" t="str">
        <f>COSTEO!D68</f>
        <v>M</v>
      </c>
      <c r="C68" s="37" t="str">
        <f>COSTEO!E68</f>
        <v>Fosfolípidos, anticuerpos IG M</v>
      </c>
      <c r="D68" s="20">
        <f>COSTEO!M68</f>
        <v>33.15789474</v>
      </c>
      <c r="E68" s="38" t="str">
        <f>COSTEO!N68</f>
        <v/>
      </c>
      <c r="F68" s="21"/>
    </row>
    <row r="69">
      <c r="A69" s="11"/>
      <c r="B69" s="30" t="str">
        <f>COSTEO!D69</f>
        <v>M</v>
      </c>
      <c r="C69" s="37" t="str">
        <f>COSTEO!E69</f>
        <v>Fosfolípidos, anticuerpos IG G</v>
      </c>
      <c r="D69" s="20">
        <f>COSTEO!M69</f>
        <v>33.15789474</v>
      </c>
      <c r="E69" s="38" t="str">
        <f>COSTEO!N69</f>
        <v/>
      </c>
      <c r="F69" s="21"/>
    </row>
    <row r="70">
      <c r="A70" s="11"/>
      <c r="B70" s="18" t="str">
        <f>COSTEO!D70</f>
        <v>M</v>
      </c>
      <c r="C70" s="39" t="str">
        <f>COSTEO!E70</f>
        <v>Ecografía del corazón  - ecocardiografía</v>
      </c>
      <c r="D70" s="20">
        <f>COSTEO!M70</f>
        <v>99.07120743</v>
      </c>
      <c r="E70" s="38" t="str">
        <f>COSTEO!N70</f>
        <v/>
      </c>
      <c r="F70" s="21"/>
    </row>
    <row r="71">
      <c r="A71" s="11"/>
      <c r="B71" s="18" t="str">
        <f>COSTEO!D71</f>
        <v>M</v>
      </c>
      <c r="C71" s="39" t="str">
        <f>COSTEO!E71</f>
        <v>Prueba de esfuerzo cardíaco </v>
      </c>
      <c r="D71" s="20">
        <f>COSTEO!M71</f>
        <v>74.30340557</v>
      </c>
      <c r="E71" s="38" t="str">
        <f>COSTEO!N71</f>
        <v/>
      </c>
      <c r="F71" s="21"/>
    </row>
    <row r="72" ht="15.75" customHeight="1">
      <c r="A72" s="11"/>
      <c r="B72" s="18" t="str">
        <f>COSTEO!D72</f>
        <v>S</v>
      </c>
      <c r="C72" s="39" t="str">
        <f>COSTEO!E72</f>
        <v>Radiografía panorámica dental</v>
      </c>
      <c r="D72" s="38" t="str">
        <f>COSTEO!M72</f>
        <v/>
      </c>
      <c r="E72" s="20">
        <f>COSTEO!N72</f>
        <v>16.91729323</v>
      </c>
      <c r="F72" s="21"/>
    </row>
    <row r="73" ht="15.75" customHeight="1">
      <c r="A73" s="11"/>
      <c r="B73" s="18" t="str">
        <f>COSTEO!D73</f>
        <v>S</v>
      </c>
      <c r="C73" s="39" t="str">
        <f>COSTEO!E73</f>
        <v>Prick test de alergia ambiente</v>
      </c>
      <c r="D73" s="38" t="str">
        <f>COSTEO!M73</f>
        <v/>
      </c>
      <c r="E73" s="20">
        <f>COSTEO!N73</f>
        <v>97.95321637</v>
      </c>
      <c r="F73" s="21"/>
    </row>
    <row r="74" ht="15.75" customHeight="1">
      <c r="A74" s="11"/>
      <c r="B74" s="18" t="str">
        <f>COSTEO!D74</f>
        <v>S</v>
      </c>
      <c r="C74" s="39" t="str">
        <f>COSTEO!E74</f>
        <v>Prick test de alergia alimentos</v>
      </c>
      <c r="D74" s="38" t="str">
        <f>COSTEO!M74</f>
        <v/>
      </c>
      <c r="E74" s="20">
        <f>COSTEO!N74</f>
        <v>97.95321637</v>
      </c>
      <c r="F74" s="21"/>
    </row>
    <row r="75" ht="15.75" customHeight="1">
      <c r="A75" s="11"/>
      <c r="B75" s="18" t="str">
        <f>COSTEO!D75</f>
        <v>S</v>
      </c>
      <c r="C75" s="39" t="str">
        <f>COSTEO!E75</f>
        <v>Espirometría</v>
      </c>
      <c r="D75" s="38" t="str">
        <f>COSTEO!M75</f>
        <v/>
      </c>
      <c r="E75" s="20">
        <f>COSTEO!N75</f>
        <v>30.07518797</v>
      </c>
      <c r="F75" s="21"/>
    </row>
    <row r="76" ht="15.75" customHeight="1">
      <c r="A76" s="11"/>
      <c r="B76" s="18" t="str">
        <f>COSTEO!D76</f>
        <v>S</v>
      </c>
      <c r="C76" s="39" t="str">
        <f>COSTEO!E76</f>
        <v>Tomografía de tórax</v>
      </c>
      <c r="D76" s="38" t="str">
        <f>COSTEO!M76</f>
        <v/>
      </c>
      <c r="E76" s="20">
        <f>COSTEO!N76</f>
        <v>77.19298246</v>
      </c>
      <c r="F76" s="21"/>
    </row>
    <row r="77" ht="15.75" customHeight="1">
      <c r="A77" s="11"/>
      <c r="B77" s="40" t="str">
        <f>COSTEO!D79</f>
        <v/>
      </c>
      <c r="C77" s="41" t="str">
        <f>COSTEO!E79</f>
        <v>ORDEN ESPECIALISTAS</v>
      </c>
      <c r="D77" s="40" t="str">
        <f>COSTEO!M79</f>
        <v/>
      </c>
      <c r="E77" s="40" t="str">
        <f>COSTEO!N79</f>
        <v/>
      </c>
      <c r="F77" s="21"/>
    </row>
    <row r="78" ht="15.75" customHeight="1">
      <c r="A78" s="11"/>
      <c r="B78" s="18" t="str">
        <f>COSTEO!D80</f>
        <v>M</v>
      </c>
      <c r="C78" s="42" t="str">
        <f>COSTEO!E80</f>
        <v>Consulta con especialista en REUMATOLOGÍA</v>
      </c>
      <c r="D78" s="20">
        <f>COSTEO!M80</f>
        <v>82.23684211</v>
      </c>
      <c r="E78" s="38" t="str">
        <f>COSTEO!N80</f>
        <v/>
      </c>
      <c r="F78" s="21"/>
    </row>
    <row r="79" ht="15.75" customHeight="1">
      <c r="A79" s="11"/>
      <c r="B79" s="18" t="str">
        <f>COSTEO!D81</f>
        <v>S</v>
      </c>
      <c r="C79" s="42" t="str">
        <f>COSTEO!E81</f>
        <v>Consulta con especialista en NEUMOLOGÍA</v>
      </c>
      <c r="D79" s="38" t="str">
        <f>COSTEO!M81</f>
        <v/>
      </c>
      <c r="E79" s="20">
        <f>COSTEO!N81</f>
        <v>82.23684211</v>
      </c>
      <c r="F79" s="21"/>
    </row>
    <row r="80" ht="27.0" customHeight="1">
      <c r="A80" s="11"/>
      <c r="B80" s="18" t="str">
        <f>COSTEO!D82</f>
        <v>S</v>
      </c>
      <c r="C80" s="43" t="str">
        <f>COSTEO!E82</f>
        <v>Consulta con especialista en ALERGÓLOGO</v>
      </c>
      <c r="D80" s="38" t="str">
        <f>COSTEO!M82</f>
        <v/>
      </c>
      <c r="E80" s="20">
        <f>COSTEO!N82</f>
        <v>82.23684211</v>
      </c>
      <c r="F80" s="21"/>
    </row>
    <row r="81" ht="15.75" customHeight="1">
      <c r="A81" s="11"/>
      <c r="B81" s="18" t="str">
        <f>COSTEO!D83</f>
        <v>S</v>
      </c>
      <c r="C81" s="42" t="str">
        <f>COSTEO!E83</f>
        <v>Consulta con especialista en ODONTOLOGÍA</v>
      </c>
      <c r="D81" s="38" t="str">
        <f>COSTEO!M83</f>
        <v/>
      </c>
      <c r="E81" s="20">
        <f>COSTEO!N83</f>
        <v>0</v>
      </c>
      <c r="F81" s="21"/>
    </row>
    <row r="82" ht="27.0" customHeight="1">
      <c r="A82" s="11"/>
      <c r="B82" s="18" t="str">
        <f>COSTEO!D84</f>
        <v>S</v>
      </c>
      <c r="C82" s="43" t="str">
        <f>COSTEO!E84</f>
        <v>Consulta con especialista en GINECOLOGÍA - Incluye ecografía transvaginal </v>
      </c>
      <c r="D82" s="38" t="str">
        <f>COSTEO!M84</f>
        <v/>
      </c>
      <c r="E82" s="20">
        <f>COSTEO!N84</f>
        <v>102.3391813</v>
      </c>
      <c r="F82" s="21"/>
    </row>
    <row r="83" ht="15.75" customHeight="1">
      <c r="A83" s="11"/>
      <c r="B83" s="18" t="str">
        <f>COSTEO!D85</f>
        <v>M - S</v>
      </c>
      <c r="C83" s="44" t="str">
        <f>COSTEO!E85</f>
        <v>05 Traslados hotel - clínica por trayecto </v>
      </c>
      <c r="D83" s="20">
        <f>COSTEO!M85</f>
        <v>32.89473684</v>
      </c>
      <c r="E83" s="20">
        <f>COSTEO!N85</f>
        <v>32.89473684</v>
      </c>
      <c r="F83" s="21"/>
    </row>
    <row r="84" ht="15.75" customHeight="1">
      <c r="A84" s="11"/>
      <c r="B84" s="18" t="str">
        <f>COSTEO!D86</f>
        <v>M - S</v>
      </c>
      <c r="C84" s="45" t="str">
        <f>COSTEO!E86</f>
        <v>Medical Trip Colombia SAS - Acompañamiento virtual </v>
      </c>
      <c r="D84" s="20">
        <f>COSTEO!M86</f>
        <v>34.62603878</v>
      </c>
      <c r="E84" s="20">
        <f>COSTEO!N86</f>
        <v>34.62603878</v>
      </c>
      <c r="F84" s="21"/>
    </row>
    <row r="85" ht="15.75" customHeight="1">
      <c r="A85" s="11"/>
      <c r="B85" s="18" t="str">
        <f>COSTEO!D87</f>
        <v>M - S</v>
      </c>
      <c r="C85" s="45" t="str">
        <f>COSTEO!E87</f>
        <v>Acompañamiento presencial en español para citas y exámenes</v>
      </c>
      <c r="D85" s="20">
        <f>COSTEO!M87</f>
        <v>79.77839335</v>
      </c>
      <c r="E85" s="20">
        <f>COSTEO!N87</f>
        <v>79.77839335</v>
      </c>
      <c r="F85" s="21"/>
    </row>
    <row r="86" ht="15.75" customHeight="1">
      <c r="A86" s="11"/>
      <c r="B86" s="18" t="s">
        <v>51</v>
      </c>
      <c r="C86" s="44" t="s">
        <v>52</v>
      </c>
      <c r="D86" s="20">
        <f>COSTEO!M91</f>
        <v>5.234339061</v>
      </c>
      <c r="E86" s="20">
        <f>COSTEO!N91</f>
        <v>6.195545042</v>
      </c>
      <c r="F86" s="21"/>
    </row>
    <row r="87" ht="31.5" customHeight="1">
      <c r="A87" s="11"/>
      <c r="B87" s="11"/>
      <c r="C87" s="46" t="s">
        <v>53</v>
      </c>
      <c r="D87" s="47">
        <f t="shared" ref="D87:E87" si="1">SUM(D5:D86)</f>
        <v>1313.657653</v>
      </c>
      <c r="E87" s="47">
        <f t="shared" si="1"/>
        <v>1554.784346</v>
      </c>
      <c r="F87" s="11"/>
    </row>
    <row r="88" ht="30.0" customHeight="1">
      <c r="A88" s="11"/>
      <c r="B88" s="11"/>
      <c r="C88" s="11"/>
      <c r="D88" s="11"/>
      <c r="E88" s="11"/>
      <c r="F88" s="11"/>
    </row>
    <row r="89" ht="28.5" customHeight="1">
      <c r="A89" s="11"/>
      <c r="B89" s="11"/>
      <c r="C89" s="11"/>
      <c r="D89" s="11"/>
      <c r="E89" s="11"/>
      <c r="F89" s="11"/>
    </row>
    <row r="90" ht="25.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0.13"/>
    <col customWidth="1" min="3" max="3" width="9.63"/>
    <col customWidth="1" min="4" max="4" width="9.0"/>
    <col customWidth="1" min="5" max="5" width="40.0"/>
    <col customWidth="1" min="6" max="6" width="11.5"/>
    <col customWidth="1" min="7" max="7" width="10.25"/>
    <col customWidth="1" min="8" max="8" width="6.88"/>
    <col customWidth="1" min="9" max="9" width="10.0"/>
    <col customWidth="1" min="10" max="10" width="11.0"/>
    <col customWidth="1" min="11" max="11" width="2.0"/>
    <col customWidth="1" min="12" max="12" width="9.63"/>
    <col customWidth="1" min="13" max="13" width="9.38"/>
    <col customWidth="1" min="14" max="14" width="9.88"/>
    <col customWidth="1" min="15" max="15" width="1.63"/>
    <col customWidth="1" min="16" max="16" width="10.13"/>
    <col customWidth="1" min="17" max="17" width="9.0"/>
    <col customWidth="1" min="18" max="18" width="10.38"/>
    <col customWidth="1" min="19" max="19" width="10.88"/>
    <col customWidth="1" min="20" max="20" width="2.0"/>
    <col customWidth="1" min="24" max="24" width="18.88"/>
    <col customWidth="1" min="25" max="25" width="9.38"/>
    <col customWidth="1" min="28" max="28" width="20.5"/>
    <col customWidth="1" min="29" max="29" width="30.13"/>
    <col customWidth="1" min="31" max="31" width="11.38"/>
    <col customWidth="1" min="33" max="35" width="19.63"/>
    <col customWidth="1" min="36" max="36" width="3.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48"/>
      <c r="L1" s="48"/>
      <c r="M1" s="11"/>
      <c r="N1" s="11"/>
      <c r="O1" s="11"/>
      <c r="P1" s="11"/>
      <c r="Q1" s="11"/>
      <c r="R1" s="11"/>
      <c r="S1" s="11"/>
      <c r="T1" s="11"/>
      <c r="U1" s="11"/>
      <c r="V1" s="49"/>
      <c r="W1" s="11"/>
      <c r="X1" s="11"/>
      <c r="Y1" s="49"/>
      <c r="Z1" s="11"/>
      <c r="AA1" s="49"/>
      <c r="AB1" s="11"/>
      <c r="AC1" s="11"/>
      <c r="AD1" s="11"/>
      <c r="AE1" s="11"/>
      <c r="AF1" s="50"/>
      <c r="AG1" s="50"/>
      <c r="AH1" s="50"/>
      <c r="AI1" s="50"/>
      <c r="AJ1" s="50"/>
    </row>
    <row r="2" ht="15.75" customHeight="1">
      <c r="A2" s="11"/>
      <c r="B2" s="11"/>
      <c r="C2" s="11"/>
      <c r="D2" s="11"/>
      <c r="E2" s="11"/>
      <c r="F2" s="11"/>
      <c r="G2" s="11"/>
      <c r="H2" s="11"/>
      <c r="I2" s="5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49"/>
      <c r="W2" s="11"/>
      <c r="X2" s="52" t="s">
        <v>54</v>
      </c>
      <c r="Y2" s="49"/>
      <c r="Z2" s="11"/>
      <c r="AA2" s="49"/>
      <c r="AB2" s="11"/>
      <c r="AC2" s="11"/>
      <c r="AD2" s="11"/>
      <c r="AE2" s="11"/>
      <c r="AF2" s="53"/>
      <c r="AG2" s="53"/>
      <c r="AH2" s="53"/>
      <c r="AI2" s="53"/>
      <c r="AJ2" s="50"/>
    </row>
    <row r="3">
      <c r="A3" s="11"/>
      <c r="B3" s="54"/>
      <c r="C3" s="55" t="s">
        <v>55</v>
      </c>
      <c r="D3" s="12"/>
      <c r="E3" s="12"/>
      <c r="F3" s="12"/>
      <c r="G3" s="12"/>
      <c r="H3" s="12"/>
      <c r="I3" s="54"/>
      <c r="J3" s="54"/>
      <c r="K3" s="11"/>
      <c r="L3" s="56"/>
      <c r="M3" s="57">
        <v>3800.0</v>
      </c>
      <c r="N3" s="56"/>
      <c r="O3" s="11"/>
      <c r="P3" s="58" t="s">
        <v>55</v>
      </c>
      <c r="Q3" s="59"/>
      <c r="R3" s="59"/>
      <c r="S3" s="12"/>
      <c r="T3" s="60"/>
      <c r="U3" s="61" t="s">
        <v>56</v>
      </c>
      <c r="V3" s="62"/>
      <c r="W3" s="60"/>
      <c r="X3" s="63" t="s">
        <v>55</v>
      </c>
      <c r="Y3" s="64"/>
      <c r="Z3" s="64"/>
      <c r="AA3" s="64"/>
      <c r="AB3" s="56"/>
      <c r="AC3" s="56"/>
      <c r="AD3" s="56"/>
      <c r="AE3" s="11"/>
      <c r="AF3" s="65"/>
      <c r="AG3" s="65"/>
      <c r="AH3" s="65"/>
      <c r="AI3" s="65"/>
      <c r="AJ3" s="50"/>
    </row>
    <row r="4">
      <c r="A4" s="11"/>
      <c r="B4" s="66" t="s">
        <v>57</v>
      </c>
      <c r="C4" s="66" t="s">
        <v>22</v>
      </c>
      <c r="D4" s="66" t="s">
        <v>58</v>
      </c>
      <c r="E4" s="67" t="s">
        <v>48</v>
      </c>
      <c r="F4" s="68" t="s">
        <v>59</v>
      </c>
      <c r="G4" s="69" t="s">
        <v>60</v>
      </c>
      <c r="H4" s="69" t="s">
        <v>61</v>
      </c>
      <c r="I4" s="17" t="s">
        <v>49</v>
      </c>
      <c r="J4" s="17" t="s">
        <v>50</v>
      </c>
      <c r="K4" s="11"/>
      <c r="L4" s="70" t="s">
        <v>62</v>
      </c>
      <c r="M4" s="17" t="s">
        <v>49</v>
      </c>
      <c r="N4" s="17" t="s">
        <v>50</v>
      </c>
      <c r="O4" s="11"/>
      <c r="P4" s="17" t="s">
        <v>49</v>
      </c>
      <c r="Q4" s="17" t="s">
        <v>50</v>
      </c>
      <c r="R4" s="71" t="s">
        <v>63</v>
      </c>
      <c r="S4" s="72" t="s">
        <v>64</v>
      </c>
      <c r="T4" s="11"/>
      <c r="U4" s="73" t="s">
        <v>65</v>
      </c>
      <c r="V4" s="74" t="s">
        <v>66</v>
      </c>
      <c r="W4" s="60"/>
      <c r="X4" s="75" t="s">
        <v>67</v>
      </c>
      <c r="Y4" s="76" t="s">
        <v>68</v>
      </c>
      <c r="Z4" s="76" t="s">
        <v>69</v>
      </c>
      <c r="AA4" s="76" t="s">
        <v>70</v>
      </c>
      <c r="AB4" s="76" t="s">
        <v>71</v>
      </c>
      <c r="AC4" s="76" t="s">
        <v>72</v>
      </c>
      <c r="AD4" s="76" t="s">
        <v>73</v>
      </c>
      <c r="AE4" s="77"/>
      <c r="AF4" s="78" t="s">
        <v>70</v>
      </c>
      <c r="AG4" s="79" t="s">
        <v>71</v>
      </c>
      <c r="AH4" s="79" t="s">
        <v>72</v>
      </c>
      <c r="AI4" s="78" t="s">
        <v>73</v>
      </c>
      <c r="AJ4" s="80"/>
    </row>
    <row r="5">
      <c r="A5" s="11"/>
      <c r="B5" s="11"/>
      <c r="C5" s="11"/>
      <c r="D5" s="81" t="s">
        <v>51</v>
      </c>
      <c r="E5" s="82" t="s">
        <v>74</v>
      </c>
      <c r="F5" s="83" t="s">
        <v>75</v>
      </c>
      <c r="G5" s="84">
        <v>3500.0</v>
      </c>
      <c r="H5" s="85">
        <v>6.0</v>
      </c>
      <c r="I5" s="84">
        <f t="shared" ref="I5:I7" si="1">G5*H5</f>
        <v>21000</v>
      </c>
      <c r="J5" s="84">
        <f t="shared" ref="J5:J7" si="2">G5*H5</f>
        <v>21000</v>
      </c>
      <c r="K5" s="48"/>
      <c r="L5" s="84">
        <f t="shared" ref="L5:L6" si="3">I5/0.6</f>
        <v>35000</v>
      </c>
      <c r="M5" s="20">
        <f t="shared" ref="M5:M7" si="4">L5/$M$3</f>
        <v>9.210526316</v>
      </c>
      <c r="N5" s="20">
        <f t="shared" ref="N5:N8" si="5">L5/$M$3</f>
        <v>9.210526316</v>
      </c>
      <c r="O5" s="21"/>
      <c r="P5" s="86"/>
      <c r="Q5" s="86"/>
      <c r="R5" s="86"/>
      <c r="S5" s="87"/>
      <c r="T5" s="60"/>
      <c r="U5" s="88"/>
      <c r="V5" s="89"/>
      <c r="W5" s="60"/>
      <c r="X5" s="90"/>
      <c r="Y5" s="91"/>
      <c r="Z5" s="90"/>
      <c r="AA5" s="91"/>
      <c r="AB5" s="92"/>
      <c r="AC5" s="92"/>
      <c r="AD5" s="92"/>
      <c r="AE5" s="11"/>
      <c r="AF5" s="93"/>
      <c r="AG5" s="93"/>
      <c r="AH5" s="93"/>
      <c r="AI5" s="93"/>
      <c r="AJ5" s="50"/>
    </row>
    <row r="6">
      <c r="A6" s="11"/>
      <c r="B6" s="11"/>
      <c r="C6" s="11"/>
      <c r="D6" s="81" t="s">
        <v>51</v>
      </c>
      <c r="E6" s="94" t="s">
        <v>76</v>
      </c>
      <c r="F6" s="95" t="s">
        <v>77</v>
      </c>
      <c r="G6" s="96">
        <v>6000.0</v>
      </c>
      <c r="H6" s="97">
        <v>1.0</v>
      </c>
      <c r="I6" s="84">
        <f t="shared" si="1"/>
        <v>6000</v>
      </c>
      <c r="J6" s="84">
        <f t="shared" si="2"/>
        <v>6000</v>
      </c>
      <c r="K6" s="48"/>
      <c r="L6" s="84">
        <f t="shared" si="3"/>
        <v>10000</v>
      </c>
      <c r="M6" s="20">
        <f t="shared" si="4"/>
        <v>2.631578947</v>
      </c>
      <c r="N6" s="20">
        <f t="shared" si="5"/>
        <v>2.631578947</v>
      </c>
      <c r="O6" s="21"/>
      <c r="P6" s="86"/>
      <c r="Q6" s="86"/>
      <c r="R6" s="86"/>
      <c r="S6" s="87"/>
      <c r="T6" s="60"/>
      <c r="U6" s="88"/>
      <c r="V6" s="89"/>
      <c r="W6" s="60"/>
      <c r="X6" s="90"/>
      <c r="Y6" s="91"/>
      <c r="Z6" s="90"/>
      <c r="AA6" s="90"/>
      <c r="AB6" s="98"/>
      <c r="AC6" s="92"/>
      <c r="AD6" s="92"/>
      <c r="AE6" s="11"/>
      <c r="AF6" s="99"/>
      <c r="AG6" s="99"/>
      <c r="AH6" s="99"/>
      <c r="AI6" s="99"/>
      <c r="AJ6" s="50"/>
    </row>
    <row r="7">
      <c r="A7" s="11"/>
      <c r="B7" s="11"/>
      <c r="C7" s="11"/>
      <c r="D7" s="81" t="s">
        <v>51</v>
      </c>
      <c r="E7" s="94" t="s">
        <v>78</v>
      </c>
      <c r="F7" s="95" t="s">
        <v>77</v>
      </c>
      <c r="G7" s="96">
        <v>12000.0</v>
      </c>
      <c r="H7" s="97">
        <v>1.0</v>
      </c>
      <c r="I7" s="84">
        <f t="shared" si="1"/>
        <v>12000</v>
      </c>
      <c r="J7" s="84">
        <f t="shared" si="2"/>
        <v>12000</v>
      </c>
      <c r="K7" s="48"/>
      <c r="L7" s="84">
        <f>I7/0.75</f>
        <v>16000</v>
      </c>
      <c r="M7" s="20">
        <f t="shared" si="4"/>
        <v>4.210526316</v>
      </c>
      <c r="N7" s="20">
        <f t="shared" si="5"/>
        <v>4.210526316</v>
      </c>
      <c r="O7" s="21"/>
      <c r="P7" s="86"/>
      <c r="Q7" s="86"/>
      <c r="R7" s="86"/>
      <c r="S7" s="87"/>
      <c r="T7" s="60"/>
      <c r="U7" s="88"/>
      <c r="V7" s="89"/>
      <c r="W7" s="60"/>
      <c r="X7" s="90"/>
      <c r="Y7" s="91"/>
      <c r="Z7" s="98"/>
      <c r="AA7" s="91"/>
      <c r="AB7" s="92"/>
      <c r="AC7" s="92"/>
      <c r="AD7" s="92"/>
      <c r="AE7" s="11"/>
      <c r="AF7" s="99"/>
      <c r="AG7" s="99"/>
      <c r="AH7" s="99"/>
      <c r="AI7" s="99"/>
      <c r="AJ7" s="50"/>
    </row>
    <row r="8">
      <c r="A8" s="11"/>
      <c r="B8" s="11"/>
      <c r="C8" s="11"/>
      <c r="D8" s="81" t="s">
        <v>51</v>
      </c>
      <c r="E8" s="100" t="s">
        <v>79</v>
      </c>
      <c r="F8" s="83" t="s">
        <v>80</v>
      </c>
      <c r="G8" s="84">
        <v>151000.0</v>
      </c>
      <c r="H8" s="85">
        <v>2.0</v>
      </c>
      <c r="I8" s="84">
        <f t="shared" ref="I8:J8" si="6">G8*H8/2</f>
        <v>151000</v>
      </c>
      <c r="J8" s="84">
        <f t="shared" si="6"/>
        <v>151000</v>
      </c>
      <c r="K8" s="48"/>
      <c r="L8" s="84">
        <f>I8/0.99</f>
        <v>152525.2525</v>
      </c>
      <c r="M8" s="20">
        <f>L8/$H$93</f>
        <v>40.13822435</v>
      </c>
      <c r="N8" s="20">
        <f t="shared" si="5"/>
        <v>40.13822435</v>
      </c>
      <c r="O8" s="21"/>
      <c r="P8" s="101"/>
      <c r="Q8" s="101"/>
      <c r="R8" s="101"/>
      <c r="S8" s="101"/>
      <c r="T8" s="60"/>
      <c r="U8" s="88"/>
      <c r="V8" s="89"/>
      <c r="W8" s="60"/>
      <c r="X8" s="90"/>
      <c r="Y8" s="91"/>
      <c r="Z8" s="90"/>
      <c r="AA8" s="91"/>
      <c r="AB8" s="92"/>
      <c r="AC8" s="92"/>
      <c r="AD8" s="92"/>
      <c r="AE8" s="11"/>
      <c r="AF8" s="99"/>
      <c r="AG8" s="99"/>
      <c r="AH8" s="99"/>
      <c r="AI8" s="99"/>
      <c r="AJ8" s="50"/>
    </row>
    <row r="9">
      <c r="A9" s="11"/>
      <c r="B9" s="102"/>
      <c r="C9" s="102"/>
      <c r="D9" s="103"/>
      <c r="E9" s="104" t="s">
        <v>81</v>
      </c>
      <c r="F9" s="105"/>
      <c r="G9" s="106"/>
      <c r="H9" s="107">
        <v>0.0</v>
      </c>
      <c r="I9" s="108">
        <v>1350000.0</v>
      </c>
      <c r="J9" s="108">
        <v>1350000.0</v>
      </c>
      <c r="K9" s="48"/>
      <c r="L9" s="106"/>
      <c r="M9" s="25">
        <v>485.0</v>
      </c>
      <c r="N9" s="25">
        <v>485.0</v>
      </c>
      <c r="O9" s="21"/>
      <c r="P9" s="101"/>
      <c r="Q9" s="101"/>
      <c r="R9" s="101"/>
      <c r="S9" s="101"/>
      <c r="T9" s="60"/>
      <c r="U9" s="88"/>
      <c r="V9" s="89"/>
      <c r="W9" s="60"/>
      <c r="X9" s="90"/>
      <c r="Y9" s="91"/>
      <c r="Z9" s="90"/>
      <c r="AA9" s="91"/>
      <c r="AB9" s="92"/>
      <c r="AC9" s="92"/>
      <c r="AD9" s="92"/>
      <c r="AE9" s="11"/>
      <c r="AF9" s="99"/>
      <c r="AG9" s="99"/>
      <c r="AH9" s="99"/>
      <c r="AI9" s="99"/>
      <c r="AJ9" s="50"/>
    </row>
    <row r="10">
      <c r="A10" s="11"/>
      <c r="B10" s="11"/>
      <c r="C10" s="109"/>
      <c r="D10" s="81" t="s">
        <v>51</v>
      </c>
      <c r="E10" s="110" t="s">
        <v>82</v>
      </c>
      <c r="F10" s="111" t="s">
        <v>83</v>
      </c>
      <c r="G10" s="112"/>
      <c r="H10" s="113"/>
      <c r="I10" s="112"/>
      <c r="J10" s="112"/>
      <c r="K10" s="48"/>
      <c r="L10" s="112"/>
      <c r="M10" s="27"/>
      <c r="N10" s="27"/>
      <c r="O10" s="21"/>
      <c r="P10" s="101"/>
      <c r="Q10" s="101"/>
      <c r="R10" s="101"/>
      <c r="S10" s="101"/>
      <c r="T10" s="60"/>
      <c r="U10" s="88"/>
      <c r="V10" s="89"/>
      <c r="W10" s="60"/>
      <c r="X10" s="90"/>
      <c r="Y10" s="91"/>
      <c r="Z10" s="90"/>
      <c r="AA10" s="91"/>
      <c r="AB10" s="92"/>
      <c r="AC10" s="92"/>
      <c r="AD10" s="92"/>
      <c r="AE10" s="11"/>
      <c r="AF10" s="99"/>
      <c r="AG10" s="99"/>
      <c r="AH10" s="99"/>
      <c r="AI10" s="99"/>
      <c r="AJ10" s="50"/>
    </row>
    <row r="11">
      <c r="A11" s="11"/>
      <c r="B11" s="11"/>
      <c r="C11" s="109"/>
      <c r="D11" s="81" t="s">
        <v>51</v>
      </c>
      <c r="E11" s="114" t="s">
        <v>84</v>
      </c>
      <c r="F11" s="111" t="s">
        <v>85</v>
      </c>
      <c r="G11" s="112"/>
      <c r="H11" s="113"/>
      <c r="I11" s="112"/>
      <c r="J11" s="112"/>
      <c r="K11" s="48"/>
      <c r="L11" s="112"/>
      <c r="M11" s="27"/>
      <c r="N11" s="27"/>
      <c r="O11" s="21"/>
      <c r="P11" s="101"/>
      <c r="Q11" s="101"/>
      <c r="R11" s="101"/>
      <c r="S11" s="101"/>
      <c r="T11" s="60"/>
      <c r="U11" s="88"/>
      <c r="V11" s="89"/>
      <c r="W11" s="60"/>
      <c r="X11" s="90"/>
      <c r="Y11" s="91"/>
      <c r="Z11" s="90"/>
      <c r="AA11" s="91"/>
      <c r="AB11" s="92"/>
      <c r="AC11" s="92"/>
      <c r="AD11" s="92"/>
      <c r="AE11" s="11"/>
      <c r="AF11" s="99"/>
      <c r="AG11" s="99"/>
      <c r="AH11" s="99"/>
      <c r="AI11" s="99"/>
      <c r="AJ11" s="50"/>
    </row>
    <row r="12">
      <c r="A12" s="11"/>
      <c r="B12" s="11"/>
      <c r="C12" s="109"/>
      <c r="D12" s="81" t="s">
        <v>51</v>
      </c>
      <c r="E12" s="110" t="s">
        <v>86</v>
      </c>
      <c r="F12" s="111" t="s">
        <v>85</v>
      </c>
      <c r="G12" s="112"/>
      <c r="H12" s="113"/>
      <c r="I12" s="112"/>
      <c r="J12" s="112"/>
      <c r="K12" s="48"/>
      <c r="L12" s="112"/>
      <c r="M12" s="27"/>
      <c r="N12" s="27"/>
      <c r="O12" s="21"/>
      <c r="P12" s="101"/>
      <c r="Q12" s="101"/>
      <c r="R12" s="101"/>
      <c r="S12" s="101"/>
      <c r="T12" s="60"/>
      <c r="U12" s="88"/>
      <c r="V12" s="89"/>
      <c r="W12" s="60"/>
      <c r="X12" s="90"/>
      <c r="Y12" s="91"/>
      <c r="Z12" s="90"/>
      <c r="AA12" s="91"/>
      <c r="AB12" s="92"/>
      <c r="AC12" s="92"/>
      <c r="AD12" s="92"/>
      <c r="AE12" s="11"/>
      <c r="AF12" s="99"/>
      <c r="AG12" s="99"/>
      <c r="AH12" s="99"/>
      <c r="AI12" s="99"/>
      <c r="AJ12" s="50"/>
    </row>
    <row r="13">
      <c r="A13" s="11"/>
      <c r="B13" s="11"/>
      <c r="C13" s="109"/>
      <c r="D13" s="81" t="s">
        <v>51</v>
      </c>
      <c r="E13" s="110" t="s">
        <v>87</v>
      </c>
      <c r="F13" s="111" t="s">
        <v>85</v>
      </c>
      <c r="G13" s="112"/>
      <c r="H13" s="113"/>
      <c r="I13" s="112"/>
      <c r="J13" s="112"/>
      <c r="K13" s="48"/>
      <c r="L13" s="112"/>
      <c r="M13" s="27"/>
      <c r="N13" s="27"/>
      <c r="O13" s="21"/>
      <c r="P13" s="101"/>
      <c r="Q13" s="101"/>
      <c r="R13" s="101"/>
      <c r="S13" s="101"/>
      <c r="T13" s="60"/>
      <c r="U13" s="88"/>
      <c r="V13" s="89"/>
      <c r="W13" s="60"/>
      <c r="X13" s="90"/>
      <c r="Y13" s="91"/>
      <c r="Z13" s="90"/>
      <c r="AA13" s="91"/>
      <c r="AB13" s="92"/>
      <c r="AC13" s="92"/>
      <c r="AD13" s="92"/>
      <c r="AE13" s="11"/>
      <c r="AF13" s="99"/>
      <c r="AG13" s="99"/>
      <c r="AH13" s="99"/>
      <c r="AI13" s="99"/>
      <c r="AJ13" s="50"/>
    </row>
    <row r="14">
      <c r="A14" s="11"/>
      <c r="B14" s="11"/>
      <c r="C14" s="109"/>
      <c r="D14" s="81" t="s">
        <v>51</v>
      </c>
      <c r="E14" s="110" t="s">
        <v>88</v>
      </c>
      <c r="F14" s="111" t="s">
        <v>85</v>
      </c>
      <c r="G14" s="112"/>
      <c r="H14" s="113"/>
      <c r="I14" s="112"/>
      <c r="J14" s="112"/>
      <c r="K14" s="48"/>
      <c r="L14" s="112"/>
      <c r="M14" s="27"/>
      <c r="N14" s="27"/>
      <c r="O14" s="21"/>
      <c r="P14" s="101"/>
      <c r="Q14" s="101"/>
      <c r="R14" s="101"/>
      <c r="S14" s="101"/>
      <c r="T14" s="60"/>
      <c r="U14" s="88"/>
      <c r="V14" s="89"/>
      <c r="W14" s="60"/>
      <c r="X14" s="90"/>
      <c r="Y14" s="91"/>
      <c r="Z14" s="90"/>
      <c r="AA14" s="91"/>
      <c r="AB14" s="92"/>
      <c r="AC14" s="92"/>
      <c r="AD14" s="92"/>
      <c r="AE14" s="11"/>
      <c r="AF14" s="99"/>
      <c r="AG14" s="99"/>
      <c r="AH14" s="99"/>
      <c r="AI14" s="99"/>
      <c r="AJ14" s="50"/>
    </row>
    <row r="15">
      <c r="A15" s="11"/>
      <c r="B15" s="11"/>
      <c r="C15" s="109"/>
      <c r="D15" s="81" t="s">
        <v>51</v>
      </c>
      <c r="E15" s="104" t="s">
        <v>89</v>
      </c>
      <c r="F15" s="104"/>
      <c r="G15" s="104"/>
      <c r="H15" s="104"/>
      <c r="I15" s="104"/>
      <c r="J15" s="104"/>
      <c r="K15" s="48"/>
      <c r="L15" s="112"/>
      <c r="M15" s="27"/>
      <c r="N15" s="27"/>
      <c r="O15" s="21"/>
      <c r="P15" s="101"/>
      <c r="Q15" s="101"/>
      <c r="R15" s="101"/>
      <c r="S15" s="101"/>
      <c r="T15" s="60"/>
      <c r="U15" s="88"/>
      <c r="V15" s="89"/>
      <c r="W15" s="60"/>
      <c r="X15" s="90"/>
      <c r="Y15" s="91"/>
      <c r="Z15" s="90"/>
      <c r="AA15" s="91"/>
      <c r="AB15" s="92"/>
      <c r="AC15" s="92"/>
      <c r="AD15" s="92"/>
      <c r="AE15" s="11"/>
      <c r="AF15" s="99"/>
      <c r="AG15" s="99"/>
      <c r="AH15" s="99"/>
      <c r="AI15" s="99"/>
      <c r="AJ15" s="50"/>
    </row>
    <row r="16">
      <c r="A16" s="11"/>
      <c r="B16" s="11"/>
      <c r="C16" s="109"/>
      <c r="D16" s="81" t="s">
        <v>51</v>
      </c>
      <c r="E16" s="110" t="s">
        <v>90</v>
      </c>
      <c r="F16" s="111" t="s">
        <v>85</v>
      </c>
      <c r="G16" s="112"/>
      <c r="H16" s="113"/>
      <c r="I16" s="112"/>
      <c r="J16" s="112"/>
      <c r="K16" s="48"/>
      <c r="L16" s="112"/>
      <c r="M16" s="27"/>
      <c r="N16" s="27"/>
      <c r="O16" s="21"/>
      <c r="P16" s="101"/>
      <c r="Q16" s="101"/>
      <c r="R16" s="101"/>
      <c r="S16" s="101"/>
      <c r="T16" s="60"/>
      <c r="U16" s="88"/>
      <c r="V16" s="89"/>
      <c r="W16" s="60"/>
      <c r="X16" s="90"/>
      <c r="Y16" s="91"/>
      <c r="Z16" s="90"/>
      <c r="AA16" s="91"/>
      <c r="AB16" s="92"/>
      <c r="AC16" s="92"/>
      <c r="AD16" s="92"/>
      <c r="AE16" s="11"/>
      <c r="AF16" s="99"/>
      <c r="AG16" s="99"/>
      <c r="AH16" s="99"/>
      <c r="AI16" s="99"/>
      <c r="AJ16" s="50"/>
    </row>
    <row r="17">
      <c r="A17" s="11"/>
      <c r="B17" s="11"/>
      <c r="C17" s="109"/>
      <c r="D17" s="81" t="s">
        <v>51</v>
      </c>
      <c r="E17" s="26" t="s">
        <v>91</v>
      </c>
      <c r="F17" s="111" t="s">
        <v>85</v>
      </c>
      <c r="G17" s="112"/>
      <c r="H17" s="113"/>
      <c r="I17" s="112"/>
      <c r="J17" s="112"/>
      <c r="K17" s="48"/>
      <c r="L17" s="112"/>
      <c r="M17" s="27"/>
      <c r="N17" s="27"/>
      <c r="O17" s="21"/>
      <c r="P17" s="101"/>
      <c r="Q17" s="101"/>
      <c r="R17" s="101"/>
      <c r="S17" s="101"/>
      <c r="T17" s="60"/>
      <c r="U17" s="88"/>
      <c r="V17" s="89"/>
      <c r="W17" s="60"/>
      <c r="X17" s="90"/>
      <c r="Y17" s="91"/>
      <c r="Z17" s="90"/>
      <c r="AA17" s="91"/>
      <c r="AB17" s="92"/>
      <c r="AC17" s="92"/>
      <c r="AD17" s="92"/>
      <c r="AE17" s="11"/>
      <c r="AF17" s="99"/>
      <c r="AG17" s="99"/>
      <c r="AH17" s="99"/>
      <c r="AI17" s="99"/>
      <c r="AJ17" s="50"/>
    </row>
    <row r="18">
      <c r="A18" s="11"/>
      <c r="B18" s="11"/>
      <c r="C18" s="109"/>
      <c r="D18" s="81" t="s">
        <v>51</v>
      </c>
      <c r="E18" s="26" t="s">
        <v>92</v>
      </c>
      <c r="F18" s="111" t="s">
        <v>85</v>
      </c>
      <c r="G18" s="112"/>
      <c r="H18" s="113"/>
      <c r="I18" s="112"/>
      <c r="J18" s="112"/>
      <c r="K18" s="48"/>
      <c r="L18" s="112"/>
      <c r="M18" s="27"/>
      <c r="N18" s="27"/>
      <c r="O18" s="21"/>
      <c r="P18" s="101"/>
      <c r="Q18" s="101"/>
      <c r="R18" s="101"/>
      <c r="S18" s="101"/>
      <c r="T18" s="60"/>
      <c r="U18" s="88"/>
      <c r="V18" s="89"/>
      <c r="W18" s="60"/>
      <c r="X18" s="90"/>
      <c r="Y18" s="91"/>
      <c r="Z18" s="90"/>
      <c r="AA18" s="91"/>
      <c r="AB18" s="92"/>
      <c r="AC18" s="92"/>
      <c r="AD18" s="92"/>
      <c r="AE18" s="11"/>
      <c r="AF18" s="99"/>
      <c r="AG18" s="99"/>
      <c r="AH18" s="99"/>
      <c r="AI18" s="99"/>
      <c r="AJ18" s="50"/>
    </row>
    <row r="19">
      <c r="A19" s="11"/>
      <c r="B19" s="11"/>
      <c r="C19" s="109"/>
      <c r="D19" s="81" t="s">
        <v>51</v>
      </c>
      <c r="E19" s="26" t="s">
        <v>93</v>
      </c>
      <c r="F19" s="111" t="s">
        <v>85</v>
      </c>
      <c r="G19" s="112"/>
      <c r="H19" s="113"/>
      <c r="I19" s="112"/>
      <c r="J19" s="112"/>
      <c r="K19" s="48"/>
      <c r="L19" s="112"/>
      <c r="M19" s="27"/>
      <c r="N19" s="27"/>
      <c r="O19" s="21"/>
      <c r="P19" s="101"/>
      <c r="Q19" s="101"/>
      <c r="R19" s="101"/>
      <c r="S19" s="101"/>
      <c r="T19" s="60"/>
      <c r="U19" s="88"/>
      <c r="V19" s="89"/>
      <c r="W19" s="60"/>
      <c r="X19" s="90"/>
      <c r="Y19" s="91"/>
      <c r="Z19" s="90"/>
      <c r="AA19" s="91"/>
      <c r="AB19" s="92"/>
      <c r="AC19" s="92"/>
      <c r="AD19" s="92"/>
      <c r="AE19" s="11"/>
      <c r="AF19" s="99"/>
      <c r="AG19" s="99"/>
      <c r="AH19" s="99"/>
      <c r="AI19" s="99"/>
      <c r="AJ19" s="50"/>
    </row>
    <row r="20">
      <c r="A20" s="11"/>
      <c r="B20" s="11"/>
      <c r="C20" s="109"/>
      <c r="D20" s="81" t="s">
        <v>51</v>
      </c>
      <c r="E20" s="24" t="s">
        <v>94</v>
      </c>
      <c r="F20" s="104"/>
      <c r="G20" s="104"/>
      <c r="H20" s="104"/>
      <c r="I20" s="104"/>
      <c r="J20" s="104"/>
      <c r="K20" s="48"/>
      <c r="L20" s="112"/>
      <c r="M20" s="27"/>
      <c r="N20" s="27"/>
      <c r="O20" s="21"/>
      <c r="P20" s="101"/>
      <c r="Q20" s="101"/>
      <c r="R20" s="101"/>
      <c r="S20" s="101"/>
      <c r="T20" s="60"/>
      <c r="U20" s="88"/>
      <c r="V20" s="89"/>
      <c r="W20" s="60"/>
      <c r="X20" s="90"/>
      <c r="Y20" s="91"/>
      <c r="Z20" s="90"/>
      <c r="AA20" s="91"/>
      <c r="AB20" s="92"/>
      <c r="AC20" s="92"/>
      <c r="AD20" s="92"/>
      <c r="AE20" s="11"/>
      <c r="AF20" s="99"/>
      <c r="AG20" s="99"/>
      <c r="AH20" s="99"/>
      <c r="AI20" s="99"/>
      <c r="AJ20" s="50"/>
    </row>
    <row r="21">
      <c r="A21" s="11"/>
      <c r="B21" s="11"/>
      <c r="C21" s="109"/>
      <c r="D21" s="81" t="s">
        <v>51</v>
      </c>
      <c r="E21" s="26" t="s">
        <v>95</v>
      </c>
      <c r="F21" s="111" t="s">
        <v>85</v>
      </c>
      <c r="G21" s="112"/>
      <c r="H21" s="113"/>
      <c r="I21" s="112"/>
      <c r="J21" s="112"/>
      <c r="K21" s="48"/>
      <c r="L21" s="112"/>
      <c r="M21" s="27"/>
      <c r="N21" s="27"/>
      <c r="O21" s="21"/>
      <c r="P21" s="101"/>
      <c r="Q21" s="101"/>
      <c r="R21" s="101"/>
      <c r="S21" s="101"/>
      <c r="T21" s="60"/>
      <c r="U21" s="88"/>
      <c r="V21" s="89"/>
      <c r="W21" s="60"/>
      <c r="X21" s="90"/>
      <c r="Y21" s="91"/>
      <c r="Z21" s="90"/>
      <c r="AA21" s="91"/>
      <c r="AB21" s="92"/>
      <c r="AC21" s="92"/>
      <c r="AD21" s="92"/>
      <c r="AE21" s="11"/>
      <c r="AF21" s="99"/>
      <c r="AG21" s="99"/>
      <c r="AH21" s="99"/>
      <c r="AI21" s="99"/>
      <c r="AJ21" s="50"/>
    </row>
    <row r="22">
      <c r="A22" s="11"/>
      <c r="B22" s="11"/>
      <c r="C22" s="109"/>
      <c r="D22" s="81" t="s">
        <v>51</v>
      </c>
      <c r="E22" s="26" t="s">
        <v>96</v>
      </c>
      <c r="F22" s="111" t="s">
        <v>85</v>
      </c>
      <c r="G22" s="112"/>
      <c r="H22" s="113"/>
      <c r="I22" s="112"/>
      <c r="J22" s="112"/>
      <c r="K22" s="48"/>
      <c r="L22" s="112"/>
      <c r="M22" s="27"/>
      <c r="N22" s="27"/>
      <c r="O22" s="21"/>
      <c r="P22" s="101"/>
      <c r="Q22" s="101"/>
      <c r="R22" s="101"/>
      <c r="S22" s="101"/>
      <c r="T22" s="60"/>
      <c r="U22" s="88"/>
      <c r="V22" s="89"/>
      <c r="W22" s="60"/>
      <c r="X22" s="90"/>
      <c r="Y22" s="91"/>
      <c r="Z22" s="90"/>
      <c r="AA22" s="91"/>
      <c r="AB22" s="92"/>
      <c r="AC22" s="92"/>
      <c r="AD22" s="92"/>
      <c r="AE22" s="11"/>
      <c r="AF22" s="99"/>
      <c r="AG22" s="99"/>
      <c r="AH22" s="99"/>
      <c r="AI22" s="99"/>
      <c r="AJ22" s="50"/>
    </row>
    <row r="23">
      <c r="A23" s="11"/>
      <c r="B23" s="11"/>
      <c r="C23" s="109"/>
      <c r="D23" s="81" t="s">
        <v>51</v>
      </c>
      <c r="E23" s="26" t="s">
        <v>97</v>
      </c>
      <c r="F23" s="111" t="s">
        <v>85</v>
      </c>
      <c r="G23" s="112"/>
      <c r="H23" s="113"/>
      <c r="I23" s="112"/>
      <c r="J23" s="112"/>
      <c r="K23" s="48"/>
      <c r="L23" s="112"/>
      <c r="M23" s="27"/>
      <c r="N23" s="27"/>
      <c r="O23" s="21"/>
      <c r="P23" s="101"/>
      <c r="Q23" s="101"/>
      <c r="R23" s="101"/>
      <c r="S23" s="101"/>
      <c r="T23" s="60"/>
      <c r="U23" s="88"/>
      <c r="V23" s="89"/>
      <c r="W23" s="60"/>
      <c r="X23" s="90"/>
      <c r="Y23" s="91"/>
      <c r="Z23" s="90"/>
      <c r="AA23" s="91"/>
      <c r="AB23" s="92"/>
      <c r="AC23" s="92"/>
      <c r="AD23" s="92"/>
      <c r="AE23" s="11"/>
      <c r="AF23" s="99"/>
      <c r="AG23" s="99"/>
      <c r="AH23" s="99"/>
      <c r="AI23" s="99"/>
      <c r="AJ23" s="50"/>
    </row>
    <row r="24">
      <c r="A24" s="11"/>
      <c r="B24" s="11"/>
      <c r="C24" s="109"/>
      <c r="D24" s="81" t="s">
        <v>51</v>
      </c>
      <c r="E24" s="26" t="s">
        <v>98</v>
      </c>
      <c r="F24" s="111" t="s">
        <v>85</v>
      </c>
      <c r="G24" s="112"/>
      <c r="H24" s="113"/>
      <c r="I24" s="112"/>
      <c r="J24" s="112"/>
      <c r="K24" s="48"/>
      <c r="L24" s="112"/>
      <c r="M24" s="27"/>
      <c r="N24" s="27"/>
      <c r="O24" s="21"/>
      <c r="P24" s="101"/>
      <c r="Q24" s="101"/>
      <c r="R24" s="101"/>
      <c r="S24" s="101"/>
      <c r="T24" s="60"/>
      <c r="U24" s="88"/>
      <c r="V24" s="89"/>
      <c r="W24" s="60"/>
      <c r="X24" s="90"/>
      <c r="Y24" s="91"/>
      <c r="Z24" s="90"/>
      <c r="AA24" s="91"/>
      <c r="AB24" s="92"/>
      <c r="AC24" s="92"/>
      <c r="AD24" s="92"/>
      <c r="AE24" s="11"/>
      <c r="AF24" s="99"/>
      <c r="AG24" s="99"/>
      <c r="AH24" s="99"/>
      <c r="AI24" s="99"/>
      <c r="AJ24" s="50"/>
    </row>
    <row r="25">
      <c r="A25" s="11"/>
      <c r="B25" s="11"/>
      <c r="C25" s="109"/>
      <c r="D25" s="81" t="s">
        <v>51</v>
      </c>
      <c r="E25" s="24" t="s">
        <v>99</v>
      </c>
      <c r="F25" s="104"/>
      <c r="G25" s="104"/>
      <c r="H25" s="104"/>
      <c r="I25" s="104"/>
      <c r="J25" s="104"/>
      <c r="K25" s="48"/>
      <c r="L25" s="112"/>
      <c r="M25" s="27"/>
      <c r="N25" s="27"/>
      <c r="O25" s="21"/>
      <c r="P25" s="101"/>
      <c r="Q25" s="101"/>
      <c r="R25" s="101"/>
      <c r="S25" s="101"/>
      <c r="T25" s="60"/>
      <c r="U25" s="88"/>
      <c r="V25" s="89"/>
      <c r="W25" s="60"/>
      <c r="X25" s="90"/>
      <c r="Y25" s="91"/>
      <c r="Z25" s="90"/>
      <c r="AA25" s="91"/>
      <c r="AB25" s="92"/>
      <c r="AC25" s="92"/>
      <c r="AD25" s="92"/>
      <c r="AE25" s="11"/>
      <c r="AF25" s="99"/>
      <c r="AG25" s="99"/>
      <c r="AH25" s="99"/>
      <c r="AI25" s="99"/>
      <c r="AJ25" s="50"/>
    </row>
    <row r="26">
      <c r="A26" s="11"/>
      <c r="B26" s="11"/>
      <c r="C26" s="109"/>
      <c r="D26" s="81" t="s">
        <v>51</v>
      </c>
      <c r="E26" s="26" t="s">
        <v>100</v>
      </c>
      <c r="F26" s="111" t="s">
        <v>85</v>
      </c>
      <c r="G26" s="112"/>
      <c r="H26" s="113"/>
      <c r="I26" s="112"/>
      <c r="J26" s="112"/>
      <c r="K26" s="48"/>
      <c r="L26" s="112"/>
      <c r="M26" s="27"/>
      <c r="N26" s="27"/>
      <c r="O26" s="21"/>
      <c r="P26" s="101"/>
      <c r="Q26" s="101"/>
      <c r="R26" s="101"/>
      <c r="S26" s="101"/>
      <c r="T26" s="60"/>
      <c r="U26" s="88"/>
      <c r="V26" s="89"/>
      <c r="W26" s="60"/>
      <c r="X26" s="90"/>
      <c r="Y26" s="91"/>
      <c r="Z26" s="90"/>
      <c r="AA26" s="91"/>
      <c r="AB26" s="92"/>
      <c r="AC26" s="92"/>
      <c r="AD26" s="92"/>
      <c r="AE26" s="11"/>
      <c r="AF26" s="99"/>
      <c r="AG26" s="99"/>
      <c r="AH26" s="99"/>
      <c r="AI26" s="99"/>
      <c r="AJ26" s="50"/>
    </row>
    <row r="27">
      <c r="A27" s="11"/>
      <c r="B27" s="11"/>
      <c r="C27" s="109"/>
      <c r="D27" s="81" t="s">
        <v>51</v>
      </c>
      <c r="E27" s="26" t="s">
        <v>101</v>
      </c>
      <c r="F27" s="111" t="s">
        <v>85</v>
      </c>
      <c r="G27" s="112"/>
      <c r="H27" s="113"/>
      <c r="I27" s="112"/>
      <c r="J27" s="112"/>
      <c r="K27" s="48"/>
      <c r="L27" s="112"/>
      <c r="M27" s="27"/>
      <c r="N27" s="27"/>
      <c r="O27" s="21"/>
      <c r="P27" s="101"/>
      <c r="Q27" s="101"/>
      <c r="R27" s="101"/>
      <c r="S27" s="101"/>
      <c r="T27" s="60"/>
      <c r="U27" s="88"/>
      <c r="V27" s="89"/>
      <c r="W27" s="60"/>
      <c r="X27" s="90"/>
      <c r="Y27" s="91"/>
      <c r="Z27" s="90"/>
      <c r="AA27" s="91"/>
      <c r="AB27" s="92"/>
      <c r="AC27" s="92"/>
      <c r="AD27" s="92"/>
      <c r="AE27" s="11"/>
      <c r="AF27" s="99"/>
      <c r="AG27" s="99"/>
      <c r="AH27" s="99"/>
      <c r="AI27" s="99"/>
      <c r="AJ27" s="50"/>
    </row>
    <row r="28">
      <c r="A28" s="11"/>
      <c r="B28" s="11"/>
      <c r="C28" s="109"/>
      <c r="D28" s="81" t="s">
        <v>51</v>
      </c>
      <c r="E28" s="26" t="s">
        <v>102</v>
      </c>
      <c r="F28" s="111" t="s">
        <v>85</v>
      </c>
      <c r="G28" s="112"/>
      <c r="H28" s="113"/>
      <c r="I28" s="112"/>
      <c r="J28" s="112"/>
      <c r="K28" s="48"/>
      <c r="L28" s="112"/>
      <c r="M28" s="27"/>
      <c r="N28" s="27"/>
      <c r="O28" s="21"/>
      <c r="P28" s="101"/>
      <c r="Q28" s="101"/>
      <c r="R28" s="101"/>
      <c r="S28" s="101"/>
      <c r="T28" s="60"/>
      <c r="U28" s="88"/>
      <c r="V28" s="89"/>
      <c r="W28" s="60"/>
      <c r="X28" s="90"/>
      <c r="Y28" s="91"/>
      <c r="Z28" s="90"/>
      <c r="AA28" s="91"/>
      <c r="AB28" s="92"/>
      <c r="AC28" s="92"/>
      <c r="AD28" s="92"/>
      <c r="AE28" s="11"/>
      <c r="AF28" s="99"/>
      <c r="AG28" s="99"/>
      <c r="AH28" s="99"/>
      <c r="AI28" s="99"/>
      <c r="AJ28" s="50"/>
    </row>
    <row r="29">
      <c r="A29" s="11"/>
      <c r="B29" s="11"/>
      <c r="C29" s="109"/>
      <c r="D29" s="81" t="s">
        <v>51</v>
      </c>
      <c r="E29" s="24" t="s">
        <v>103</v>
      </c>
      <c r="F29" s="104"/>
      <c r="G29" s="104"/>
      <c r="H29" s="104"/>
      <c r="I29" s="104"/>
      <c r="J29" s="104"/>
      <c r="K29" s="48"/>
      <c r="L29" s="112"/>
      <c r="M29" s="27"/>
      <c r="N29" s="27"/>
      <c r="O29" s="21"/>
      <c r="P29" s="101"/>
      <c r="Q29" s="101"/>
      <c r="R29" s="101"/>
      <c r="S29" s="101"/>
      <c r="T29" s="60"/>
      <c r="U29" s="88"/>
      <c r="V29" s="89"/>
      <c r="W29" s="60"/>
      <c r="X29" s="90"/>
      <c r="Y29" s="91"/>
      <c r="Z29" s="90"/>
      <c r="AA29" s="91"/>
      <c r="AB29" s="92"/>
      <c r="AC29" s="92"/>
      <c r="AD29" s="92"/>
      <c r="AE29" s="11"/>
      <c r="AF29" s="99"/>
      <c r="AG29" s="99"/>
      <c r="AH29" s="99"/>
      <c r="AI29" s="99"/>
      <c r="AJ29" s="50"/>
    </row>
    <row r="30">
      <c r="A30" s="11"/>
      <c r="B30" s="11"/>
      <c r="C30" s="109"/>
      <c r="D30" s="81" t="s">
        <v>51</v>
      </c>
      <c r="E30" s="26" t="s">
        <v>104</v>
      </c>
      <c r="F30" s="111" t="s">
        <v>85</v>
      </c>
      <c r="G30" s="112"/>
      <c r="H30" s="113"/>
      <c r="I30" s="112"/>
      <c r="J30" s="112"/>
      <c r="K30" s="48"/>
      <c r="L30" s="112"/>
      <c r="M30" s="27"/>
      <c r="N30" s="27"/>
      <c r="O30" s="21"/>
      <c r="P30" s="101"/>
      <c r="Q30" s="101"/>
      <c r="R30" s="101"/>
      <c r="S30" s="101"/>
      <c r="T30" s="60"/>
      <c r="U30" s="88"/>
      <c r="V30" s="89"/>
      <c r="W30" s="60"/>
      <c r="X30" s="90"/>
      <c r="Y30" s="91"/>
      <c r="Z30" s="90"/>
      <c r="AA30" s="91"/>
      <c r="AB30" s="92"/>
      <c r="AC30" s="92"/>
      <c r="AD30" s="92"/>
      <c r="AE30" s="11"/>
      <c r="AF30" s="99"/>
      <c r="AG30" s="99"/>
      <c r="AH30" s="99"/>
      <c r="AI30" s="99"/>
      <c r="AJ30" s="50"/>
    </row>
    <row r="31" ht="17.25" customHeight="1">
      <c r="A31" s="11"/>
      <c r="B31" s="11"/>
      <c r="C31" s="109"/>
      <c r="D31" s="81" t="s">
        <v>51</v>
      </c>
      <c r="E31" s="26" t="s">
        <v>105</v>
      </c>
      <c r="F31" s="111" t="s">
        <v>85</v>
      </c>
      <c r="G31" s="112"/>
      <c r="H31" s="113"/>
      <c r="I31" s="112"/>
      <c r="J31" s="112"/>
      <c r="K31" s="48"/>
      <c r="L31" s="112"/>
      <c r="M31" s="27"/>
      <c r="N31" s="27"/>
      <c r="O31" s="21"/>
      <c r="P31" s="101"/>
      <c r="Q31" s="101"/>
      <c r="R31" s="101"/>
      <c r="S31" s="101"/>
      <c r="T31" s="60"/>
      <c r="U31" s="88"/>
      <c r="V31" s="89"/>
      <c r="W31" s="60"/>
      <c r="X31" s="90"/>
      <c r="Y31" s="91"/>
      <c r="Z31" s="90"/>
      <c r="AA31" s="91"/>
      <c r="AB31" s="92"/>
      <c r="AC31" s="92"/>
      <c r="AD31" s="92"/>
      <c r="AE31" s="115"/>
      <c r="AF31" s="116">
        <v>1000000.0</v>
      </c>
      <c r="AG31" s="99" t="s">
        <v>106</v>
      </c>
      <c r="AH31" s="99" t="s">
        <v>107</v>
      </c>
      <c r="AI31" s="99"/>
      <c r="AJ31" s="50"/>
    </row>
    <row r="32">
      <c r="A32" s="11"/>
      <c r="B32" s="11"/>
      <c r="C32" s="109"/>
      <c r="D32" s="81" t="s">
        <v>51</v>
      </c>
      <c r="E32" s="26" t="s">
        <v>108</v>
      </c>
      <c r="F32" s="111" t="s">
        <v>85</v>
      </c>
      <c r="G32" s="112"/>
      <c r="H32" s="113"/>
      <c r="I32" s="112"/>
      <c r="J32" s="112"/>
      <c r="K32" s="48"/>
      <c r="L32" s="112"/>
      <c r="M32" s="27"/>
      <c r="N32" s="27"/>
      <c r="O32" s="21"/>
      <c r="P32" s="101"/>
      <c r="Q32" s="101"/>
      <c r="R32" s="101"/>
      <c r="S32" s="101"/>
      <c r="T32" s="60"/>
      <c r="U32" s="88"/>
      <c r="V32" s="89"/>
      <c r="W32" s="60"/>
      <c r="X32" s="90"/>
      <c r="Y32" s="91"/>
      <c r="Z32" s="90"/>
      <c r="AA32" s="91"/>
      <c r="AB32" s="92"/>
      <c r="AC32" s="92"/>
      <c r="AD32" s="92"/>
      <c r="AE32" s="11"/>
      <c r="AF32" s="99"/>
      <c r="AG32" s="99"/>
      <c r="AH32" s="99"/>
      <c r="AI32" s="99"/>
      <c r="AJ32" s="50"/>
    </row>
    <row r="33">
      <c r="A33" s="11"/>
      <c r="B33" s="11"/>
      <c r="C33" s="109"/>
      <c r="D33" s="81" t="s">
        <v>51</v>
      </c>
      <c r="E33" s="26" t="s">
        <v>109</v>
      </c>
      <c r="F33" s="111" t="s">
        <v>85</v>
      </c>
      <c r="G33" s="112"/>
      <c r="H33" s="113"/>
      <c r="I33" s="112"/>
      <c r="J33" s="112"/>
      <c r="K33" s="48"/>
      <c r="L33" s="112"/>
      <c r="M33" s="27"/>
      <c r="N33" s="27"/>
      <c r="O33" s="21"/>
      <c r="P33" s="101"/>
      <c r="Q33" s="101"/>
      <c r="R33" s="101"/>
      <c r="S33" s="101"/>
      <c r="T33" s="60"/>
      <c r="U33" s="88"/>
      <c r="V33" s="89"/>
      <c r="W33" s="60"/>
      <c r="X33" s="90"/>
      <c r="Y33" s="91"/>
      <c r="Z33" s="90"/>
      <c r="AA33" s="91"/>
      <c r="AB33" s="92"/>
      <c r="AC33" s="92"/>
      <c r="AD33" s="92"/>
      <c r="AE33" s="11"/>
      <c r="AF33" s="99"/>
      <c r="AG33" s="99"/>
      <c r="AH33" s="99"/>
      <c r="AI33" s="99"/>
      <c r="AJ33" s="50"/>
    </row>
    <row r="34">
      <c r="A34" s="11"/>
      <c r="B34" s="11"/>
      <c r="C34" s="109"/>
      <c r="D34" s="81" t="s">
        <v>51</v>
      </c>
      <c r="E34" s="24" t="s">
        <v>110</v>
      </c>
      <c r="F34" s="104"/>
      <c r="G34" s="104"/>
      <c r="H34" s="104"/>
      <c r="I34" s="104"/>
      <c r="J34" s="104"/>
      <c r="K34" s="48"/>
      <c r="L34" s="112"/>
      <c r="M34" s="27"/>
      <c r="N34" s="27"/>
      <c r="O34" s="21"/>
      <c r="P34" s="101"/>
      <c r="Q34" s="101"/>
      <c r="R34" s="101"/>
      <c r="S34" s="101"/>
      <c r="T34" s="60"/>
      <c r="U34" s="88"/>
      <c r="V34" s="89"/>
      <c r="W34" s="60"/>
      <c r="X34" s="90"/>
      <c r="Y34" s="91"/>
      <c r="Z34" s="90"/>
      <c r="AA34" s="91"/>
      <c r="AB34" s="92"/>
      <c r="AC34" s="92"/>
      <c r="AD34" s="92"/>
      <c r="AE34" s="11"/>
      <c r="AF34" s="99"/>
      <c r="AG34" s="99"/>
      <c r="AH34" s="99"/>
      <c r="AI34" s="99"/>
      <c r="AJ34" s="50"/>
    </row>
    <row r="35">
      <c r="A35" s="11"/>
      <c r="B35" s="48"/>
      <c r="C35" s="109"/>
      <c r="D35" s="117" t="s">
        <v>51</v>
      </c>
      <c r="E35" s="26" t="s">
        <v>111</v>
      </c>
      <c r="F35" s="111" t="s">
        <v>85</v>
      </c>
      <c r="G35" s="112"/>
      <c r="H35" s="113"/>
      <c r="I35" s="112"/>
      <c r="J35" s="112"/>
      <c r="K35" s="48"/>
      <c r="L35" s="112"/>
      <c r="M35" s="27"/>
      <c r="N35" s="27"/>
      <c r="O35" s="21"/>
      <c r="P35" s="101"/>
      <c r="Q35" s="101"/>
      <c r="R35" s="101"/>
      <c r="S35" s="101"/>
      <c r="T35" s="60"/>
      <c r="U35" s="88"/>
      <c r="V35" s="89"/>
      <c r="W35" s="60"/>
      <c r="X35" s="90"/>
      <c r="Y35" s="91"/>
      <c r="Z35" s="90"/>
      <c r="AA35" s="91"/>
      <c r="AB35" s="92"/>
      <c r="AC35" s="92"/>
      <c r="AD35" s="92"/>
      <c r="AE35" s="11"/>
      <c r="AF35" s="99"/>
      <c r="AG35" s="99"/>
      <c r="AH35" s="99"/>
      <c r="AI35" s="99"/>
      <c r="AJ35" s="50"/>
    </row>
    <row r="36" ht="18.75" customHeight="1">
      <c r="A36" s="11"/>
      <c r="B36" s="11"/>
      <c r="C36" s="109"/>
      <c r="D36" s="81" t="s">
        <v>51</v>
      </c>
      <c r="E36" s="26" t="s">
        <v>112</v>
      </c>
      <c r="F36" s="111" t="s">
        <v>85</v>
      </c>
      <c r="G36" s="112"/>
      <c r="H36" s="113"/>
      <c r="I36" s="112"/>
      <c r="J36" s="112"/>
      <c r="K36" s="48"/>
      <c r="L36" s="112"/>
      <c r="M36" s="27"/>
      <c r="N36" s="27"/>
      <c r="O36" s="21"/>
      <c r="P36" s="101"/>
      <c r="Q36" s="101"/>
      <c r="R36" s="101"/>
      <c r="S36" s="101"/>
      <c r="T36" s="60"/>
      <c r="U36" s="88"/>
      <c r="V36" s="89"/>
      <c r="W36" s="60"/>
      <c r="X36" s="90"/>
      <c r="Y36" s="91"/>
      <c r="Z36" s="90"/>
      <c r="AA36" s="91"/>
      <c r="AB36" s="92"/>
      <c r="AC36" s="92"/>
      <c r="AD36" s="92"/>
      <c r="AE36" s="115"/>
      <c r="AF36" s="116">
        <v>540000.0</v>
      </c>
      <c r="AG36" s="99" t="s">
        <v>106</v>
      </c>
      <c r="AH36" s="99" t="s">
        <v>107</v>
      </c>
      <c r="AI36" s="99"/>
      <c r="AJ36" s="50"/>
    </row>
    <row r="37" ht="19.5" customHeight="1">
      <c r="A37" s="11"/>
      <c r="B37" s="11"/>
      <c r="C37" s="109"/>
      <c r="D37" s="81" t="s">
        <v>51</v>
      </c>
      <c r="E37" s="24" t="s">
        <v>113</v>
      </c>
      <c r="F37" s="104"/>
      <c r="G37" s="104"/>
      <c r="H37" s="104"/>
      <c r="I37" s="104"/>
      <c r="J37" s="104"/>
      <c r="K37" s="48"/>
      <c r="L37" s="112"/>
      <c r="M37" s="27"/>
      <c r="N37" s="27"/>
      <c r="O37" s="21"/>
      <c r="P37" s="101"/>
      <c r="Q37" s="101"/>
      <c r="R37" s="101"/>
      <c r="S37" s="101"/>
      <c r="T37" s="60"/>
      <c r="U37" s="88"/>
      <c r="V37" s="89"/>
      <c r="W37" s="60"/>
      <c r="X37" s="90"/>
      <c r="Y37" s="91"/>
      <c r="Z37" s="90"/>
      <c r="AA37" s="91"/>
      <c r="AB37" s="92"/>
      <c r="AC37" s="92"/>
      <c r="AD37" s="92"/>
      <c r="AE37" s="115"/>
      <c r="AF37" s="116">
        <v>280000.0</v>
      </c>
      <c r="AG37" s="99" t="s">
        <v>106</v>
      </c>
      <c r="AH37" s="99" t="s">
        <v>107</v>
      </c>
      <c r="AI37" s="99"/>
      <c r="AJ37" s="50"/>
    </row>
    <row r="38">
      <c r="A38" s="11"/>
      <c r="B38" s="11"/>
      <c r="C38" s="109"/>
      <c r="D38" s="81" t="s">
        <v>51</v>
      </c>
      <c r="E38" s="26" t="s">
        <v>114</v>
      </c>
      <c r="F38" s="111" t="s">
        <v>85</v>
      </c>
      <c r="G38" s="112"/>
      <c r="H38" s="113"/>
      <c r="I38" s="112"/>
      <c r="J38" s="112"/>
      <c r="K38" s="48"/>
      <c r="L38" s="112"/>
      <c r="M38" s="27"/>
      <c r="N38" s="27"/>
      <c r="O38" s="21"/>
      <c r="P38" s="101"/>
      <c r="Q38" s="101"/>
      <c r="R38" s="101"/>
      <c r="S38" s="101"/>
      <c r="T38" s="60"/>
      <c r="U38" s="88"/>
      <c r="V38" s="89"/>
      <c r="W38" s="60"/>
      <c r="X38" s="90"/>
      <c r="Y38" s="91"/>
      <c r="Z38" s="90"/>
      <c r="AA38" s="91"/>
      <c r="AB38" s="92"/>
      <c r="AC38" s="92"/>
      <c r="AD38" s="92"/>
      <c r="AE38" s="11"/>
      <c r="AF38" s="99"/>
      <c r="AG38" s="99"/>
      <c r="AH38" s="99"/>
      <c r="AI38" s="99"/>
      <c r="AJ38" s="50"/>
    </row>
    <row r="39">
      <c r="A39" s="11"/>
      <c r="B39" s="11"/>
      <c r="C39" s="109"/>
      <c r="D39" s="81" t="s">
        <v>51</v>
      </c>
      <c r="E39" s="26" t="s">
        <v>115</v>
      </c>
      <c r="F39" s="111" t="s">
        <v>85</v>
      </c>
      <c r="G39" s="112"/>
      <c r="H39" s="113"/>
      <c r="I39" s="118"/>
      <c r="J39" s="118"/>
      <c r="K39" s="48"/>
      <c r="L39" s="112"/>
      <c r="M39" s="27"/>
      <c r="N39" s="27"/>
      <c r="O39" s="21"/>
      <c r="P39" s="101"/>
      <c r="Q39" s="101"/>
      <c r="R39" s="101"/>
      <c r="S39" s="101"/>
      <c r="T39" s="60"/>
      <c r="U39" s="88"/>
      <c r="V39" s="89"/>
      <c r="W39" s="60"/>
      <c r="X39" s="90"/>
      <c r="Y39" s="91"/>
      <c r="Z39" s="90"/>
      <c r="AA39" s="91"/>
      <c r="AB39" s="92"/>
      <c r="AC39" s="92"/>
      <c r="AD39" s="92"/>
      <c r="AE39" s="11"/>
      <c r="AF39" s="99"/>
      <c r="AG39" s="99"/>
      <c r="AH39" s="99"/>
      <c r="AI39" s="99"/>
      <c r="AJ39" s="50"/>
    </row>
    <row r="40">
      <c r="A40" s="11"/>
      <c r="B40" s="11"/>
      <c r="C40" s="109"/>
      <c r="D40" s="81" t="s">
        <v>51</v>
      </c>
      <c r="E40" s="24" t="s">
        <v>116</v>
      </c>
      <c r="F40" s="104"/>
      <c r="G40" s="104"/>
      <c r="H40" s="104"/>
      <c r="I40" s="104"/>
      <c r="J40" s="104"/>
      <c r="K40" s="48"/>
      <c r="L40" s="112"/>
      <c r="M40" s="27"/>
      <c r="N40" s="27"/>
      <c r="O40" s="21"/>
      <c r="P40" s="101"/>
      <c r="Q40" s="101"/>
      <c r="R40" s="101"/>
      <c r="S40" s="101"/>
      <c r="T40" s="60"/>
      <c r="U40" s="88"/>
      <c r="V40" s="89"/>
      <c r="W40" s="60"/>
      <c r="X40" s="90"/>
      <c r="Y40" s="91"/>
      <c r="Z40" s="90"/>
      <c r="AA40" s="91"/>
      <c r="AB40" s="92"/>
      <c r="AC40" s="92"/>
      <c r="AD40" s="92"/>
      <c r="AE40" s="11"/>
      <c r="AF40" s="99"/>
      <c r="AG40" s="99"/>
      <c r="AH40" s="99"/>
      <c r="AI40" s="99"/>
      <c r="AJ40" s="50"/>
    </row>
    <row r="41">
      <c r="A41" s="11"/>
      <c r="B41" s="11"/>
      <c r="C41" s="109"/>
      <c r="D41" s="119" t="s">
        <v>117</v>
      </c>
      <c r="E41" s="31" t="s">
        <v>118</v>
      </c>
      <c r="F41" s="111" t="s">
        <v>83</v>
      </c>
      <c r="G41" s="112"/>
      <c r="H41" s="113"/>
      <c r="I41" s="118"/>
      <c r="J41" s="120"/>
      <c r="K41" s="48"/>
      <c r="L41" s="112"/>
      <c r="M41" s="27"/>
      <c r="N41" s="27"/>
      <c r="O41" s="21"/>
      <c r="P41" s="86">
        <v>64400.0</v>
      </c>
      <c r="Q41" s="101"/>
      <c r="R41" s="101"/>
      <c r="S41" s="101"/>
      <c r="T41" s="60"/>
      <c r="U41" s="88"/>
      <c r="V41" s="89"/>
      <c r="W41" s="60"/>
      <c r="X41" s="90"/>
      <c r="Y41" s="91"/>
      <c r="Z41" s="90"/>
      <c r="AA41" s="91"/>
      <c r="AB41" s="92"/>
      <c r="AC41" s="92"/>
      <c r="AD41" s="92"/>
      <c r="AE41" s="11"/>
      <c r="AF41" s="99"/>
      <c r="AG41" s="99"/>
      <c r="AH41" s="99"/>
      <c r="AI41" s="99"/>
      <c r="AJ41" s="50"/>
    </row>
    <row r="42">
      <c r="A42" s="11"/>
      <c r="B42" s="11"/>
      <c r="C42" s="109"/>
      <c r="D42" s="119" t="s">
        <v>117</v>
      </c>
      <c r="E42" s="31" t="s">
        <v>119</v>
      </c>
      <c r="F42" s="111" t="s">
        <v>83</v>
      </c>
      <c r="G42" s="112"/>
      <c r="H42" s="118"/>
      <c r="I42" s="118"/>
      <c r="J42" s="120"/>
      <c r="K42" s="48"/>
      <c r="L42" s="112"/>
      <c r="M42" s="27"/>
      <c r="N42" s="27"/>
      <c r="O42" s="21"/>
      <c r="P42" s="101"/>
      <c r="Q42" s="101"/>
      <c r="R42" s="101"/>
      <c r="S42" s="101"/>
      <c r="T42" s="60"/>
      <c r="U42" s="88"/>
      <c r="V42" s="89"/>
      <c r="W42" s="11"/>
      <c r="X42" s="90"/>
      <c r="Y42" s="91"/>
      <c r="Z42" s="92"/>
      <c r="AA42" s="92"/>
      <c r="AB42" s="92"/>
      <c r="AC42" s="92"/>
      <c r="AD42" s="92"/>
      <c r="AE42" s="11"/>
      <c r="AF42" s="50"/>
      <c r="AG42" s="50"/>
      <c r="AH42" s="50"/>
      <c r="AI42" s="50"/>
      <c r="AJ42" s="50"/>
    </row>
    <row r="43">
      <c r="A43" s="11"/>
      <c r="B43" s="11"/>
      <c r="C43" s="109"/>
      <c r="D43" s="119" t="s">
        <v>120</v>
      </c>
      <c r="E43" s="32" t="s">
        <v>121</v>
      </c>
      <c r="F43" s="111" t="s">
        <v>83</v>
      </c>
      <c r="G43" s="112"/>
      <c r="H43" s="121"/>
      <c r="I43" s="120"/>
      <c r="J43" s="118"/>
      <c r="K43" s="48"/>
      <c r="L43" s="112"/>
      <c r="M43" s="27"/>
      <c r="N43" s="27"/>
      <c r="O43" s="21"/>
      <c r="P43" s="86"/>
      <c r="Q43" s="101"/>
      <c r="R43" s="101"/>
      <c r="S43" s="101"/>
      <c r="T43" s="60"/>
      <c r="U43" s="88"/>
      <c r="V43" s="89"/>
      <c r="W43" s="11"/>
      <c r="X43" s="90"/>
      <c r="Y43" s="91"/>
      <c r="Z43" s="92"/>
      <c r="AA43" s="92"/>
      <c r="AB43" s="92"/>
      <c r="AC43" s="92"/>
      <c r="AD43" s="92"/>
      <c r="AE43" s="11"/>
      <c r="AF43" s="50"/>
      <c r="AG43" s="50"/>
      <c r="AH43" s="50"/>
      <c r="AI43" s="50"/>
      <c r="AJ43" s="50"/>
    </row>
    <row r="44">
      <c r="A44" s="11"/>
      <c r="B44" s="11"/>
      <c r="C44" s="109"/>
      <c r="D44" s="81" t="s">
        <v>51</v>
      </c>
      <c r="E44" s="31" t="s">
        <v>122</v>
      </c>
      <c r="F44" s="111" t="s">
        <v>83</v>
      </c>
      <c r="G44" s="112"/>
      <c r="H44" s="121"/>
      <c r="I44" s="118"/>
      <c r="J44" s="118"/>
      <c r="K44" s="48"/>
      <c r="L44" s="112"/>
      <c r="M44" s="27"/>
      <c r="N44" s="27"/>
      <c r="O44" s="21"/>
      <c r="P44" s="86">
        <v>109296.0</v>
      </c>
      <c r="Q44" s="101"/>
      <c r="R44" s="101"/>
      <c r="S44" s="101"/>
      <c r="T44" s="60"/>
      <c r="U44" s="88"/>
      <c r="V44" s="89"/>
      <c r="W44" s="11"/>
      <c r="X44" s="90"/>
      <c r="Y44" s="91"/>
      <c r="Z44" s="92"/>
      <c r="AA44" s="92"/>
      <c r="AB44" s="92"/>
      <c r="AC44" s="92"/>
      <c r="AD44" s="92"/>
      <c r="AE44" s="11"/>
      <c r="AF44" s="50"/>
      <c r="AG44" s="50"/>
      <c r="AH44" s="50"/>
      <c r="AI44" s="50"/>
      <c r="AJ44" s="50"/>
    </row>
    <row r="45">
      <c r="A45" s="11"/>
      <c r="B45" s="11"/>
      <c r="C45" s="109"/>
      <c r="D45" s="81" t="s">
        <v>51</v>
      </c>
      <c r="E45" s="31" t="s">
        <v>123</v>
      </c>
      <c r="F45" s="111" t="s">
        <v>83</v>
      </c>
      <c r="G45" s="112"/>
      <c r="H45" s="118"/>
      <c r="I45" s="118"/>
      <c r="J45" s="118"/>
      <c r="K45" s="48"/>
      <c r="L45" s="112"/>
      <c r="M45" s="27"/>
      <c r="N45" s="27"/>
      <c r="O45" s="21"/>
      <c r="P45" s="112"/>
      <c r="Q45" s="101"/>
      <c r="R45" s="101"/>
      <c r="S45" s="101"/>
      <c r="T45" s="60"/>
      <c r="U45" s="88"/>
      <c r="V45" s="89"/>
      <c r="W45" s="11"/>
      <c r="X45" s="90"/>
      <c r="Y45" s="91"/>
      <c r="Z45" s="92"/>
      <c r="AA45" s="92"/>
      <c r="AB45" s="92"/>
      <c r="AC45" s="92"/>
      <c r="AD45" s="92"/>
      <c r="AE45" s="11"/>
      <c r="AF45" s="50"/>
      <c r="AG45" s="50"/>
      <c r="AH45" s="50"/>
      <c r="AI45" s="50"/>
      <c r="AJ45" s="50"/>
    </row>
    <row r="46">
      <c r="A46" s="11"/>
      <c r="B46" s="11"/>
      <c r="C46" s="109"/>
      <c r="D46" s="81" t="s">
        <v>51</v>
      </c>
      <c r="E46" s="33" t="s">
        <v>124</v>
      </c>
      <c r="F46" s="122" t="s">
        <v>125</v>
      </c>
      <c r="G46" s="112"/>
      <c r="H46" s="118"/>
      <c r="I46" s="118"/>
      <c r="J46" s="118"/>
      <c r="K46" s="48"/>
      <c r="L46" s="112"/>
      <c r="M46" s="27"/>
      <c r="N46" s="27"/>
      <c r="O46" s="21"/>
      <c r="P46" s="101"/>
      <c r="Q46" s="101"/>
      <c r="R46" s="101"/>
      <c r="S46" s="101"/>
      <c r="T46" s="60"/>
      <c r="U46" s="88"/>
      <c r="V46" s="89"/>
      <c r="W46" s="11"/>
      <c r="X46" s="90"/>
      <c r="Y46" s="91"/>
      <c r="Z46" s="92"/>
      <c r="AA46" s="92"/>
      <c r="AB46" s="92"/>
      <c r="AC46" s="92"/>
      <c r="AD46" s="92"/>
      <c r="AE46" s="11"/>
      <c r="AF46" s="50"/>
      <c r="AG46" s="50"/>
      <c r="AH46" s="50"/>
      <c r="AI46" s="50"/>
      <c r="AJ46" s="50"/>
    </row>
    <row r="47">
      <c r="A47" s="11"/>
      <c r="B47" s="11"/>
      <c r="C47" s="109"/>
      <c r="D47" s="81" t="s">
        <v>51</v>
      </c>
      <c r="E47" s="33" t="s">
        <v>126</v>
      </c>
      <c r="F47" s="122" t="s">
        <v>127</v>
      </c>
      <c r="G47" s="112"/>
      <c r="H47" s="118"/>
      <c r="I47" s="118"/>
      <c r="J47" s="118"/>
      <c r="K47" s="48"/>
      <c r="L47" s="112"/>
      <c r="M47" s="27"/>
      <c r="N47" s="27"/>
      <c r="O47" s="21"/>
      <c r="P47" s="101"/>
      <c r="Q47" s="101"/>
      <c r="R47" s="101"/>
      <c r="S47" s="101"/>
      <c r="T47" s="60"/>
      <c r="U47" s="88"/>
      <c r="V47" s="89"/>
      <c r="W47" s="11"/>
      <c r="X47" s="90"/>
      <c r="Y47" s="91"/>
      <c r="Z47" s="92"/>
      <c r="AA47" s="92"/>
      <c r="AB47" s="92"/>
      <c r="AC47" s="92"/>
      <c r="AD47" s="92"/>
      <c r="AE47" s="11"/>
      <c r="AF47" s="50"/>
      <c r="AG47" s="50"/>
      <c r="AH47" s="50"/>
      <c r="AI47" s="50"/>
      <c r="AJ47" s="50"/>
    </row>
    <row r="48">
      <c r="A48" s="11"/>
      <c r="B48" s="11"/>
      <c r="C48" s="109"/>
      <c r="D48" s="81" t="s">
        <v>51</v>
      </c>
      <c r="E48" s="33" t="s">
        <v>128</v>
      </c>
      <c r="F48" s="122" t="s">
        <v>127</v>
      </c>
      <c r="G48" s="112"/>
      <c r="H48" s="118"/>
      <c r="I48" s="118"/>
      <c r="J48" s="118"/>
      <c r="K48" s="48"/>
      <c r="L48" s="112"/>
      <c r="M48" s="27"/>
      <c r="N48" s="27"/>
      <c r="O48" s="21"/>
      <c r="P48" s="101"/>
      <c r="Q48" s="101"/>
      <c r="R48" s="101"/>
      <c r="S48" s="101"/>
      <c r="T48" s="60"/>
      <c r="U48" s="88"/>
      <c r="V48" s="89"/>
      <c r="W48" s="11"/>
      <c r="X48" s="90"/>
      <c r="Y48" s="91"/>
      <c r="Z48" s="92"/>
      <c r="AA48" s="92"/>
      <c r="AB48" s="92"/>
      <c r="AC48" s="92"/>
      <c r="AD48" s="92"/>
      <c r="AE48" s="11"/>
      <c r="AF48" s="50"/>
      <c r="AG48" s="50"/>
      <c r="AH48" s="50"/>
      <c r="AI48" s="50"/>
      <c r="AJ48" s="50"/>
    </row>
    <row r="49">
      <c r="A49" s="11"/>
      <c r="B49" s="102"/>
      <c r="C49" s="102"/>
      <c r="D49" s="102"/>
      <c r="E49" s="34" t="s">
        <v>129</v>
      </c>
      <c r="F49" s="123"/>
      <c r="G49" s="35"/>
      <c r="H49" s="35"/>
      <c r="I49" s="35"/>
      <c r="J49" s="35"/>
      <c r="K49" s="48"/>
      <c r="L49" s="35"/>
      <c r="M49" s="35"/>
      <c r="N49" s="35"/>
      <c r="O49" s="21"/>
      <c r="P49" s="101"/>
      <c r="Q49" s="101"/>
      <c r="R49" s="101"/>
      <c r="S49" s="101"/>
      <c r="T49" s="60"/>
      <c r="U49" s="88"/>
      <c r="V49" s="89"/>
      <c r="W49" s="11"/>
      <c r="X49" s="90"/>
      <c r="Y49" s="91"/>
      <c r="Z49" s="92"/>
      <c r="AA49" s="92"/>
      <c r="AB49" s="92"/>
      <c r="AC49" s="92"/>
      <c r="AD49" s="92"/>
      <c r="AE49" s="11"/>
      <c r="AF49" s="50"/>
      <c r="AG49" s="50"/>
      <c r="AH49" s="50"/>
      <c r="AI49" s="50"/>
      <c r="AJ49" s="50"/>
    </row>
    <row r="50" ht="27.0" customHeight="1">
      <c r="A50" s="11"/>
      <c r="B50" s="11"/>
      <c r="C50" s="109"/>
      <c r="D50" s="81" t="s">
        <v>51</v>
      </c>
      <c r="E50" s="36" t="s">
        <v>130</v>
      </c>
      <c r="F50" s="124" t="s">
        <v>85</v>
      </c>
      <c r="G50" s="84">
        <v>25000.0</v>
      </c>
      <c r="H50" s="85">
        <v>1.0</v>
      </c>
      <c r="I50" s="84">
        <f t="shared" ref="I50:I64" si="7">G50*H50</f>
        <v>25000</v>
      </c>
      <c r="J50" s="125">
        <f t="shared" ref="J50:J57" si="8">G50*H50</f>
        <v>25000</v>
      </c>
      <c r="K50" s="48"/>
      <c r="L50" s="126">
        <f t="shared" ref="L50:L51" si="9">I50/0.7</f>
        <v>35714.28571</v>
      </c>
      <c r="M50" s="20">
        <f t="shared" ref="M50:M64" si="10">L50/$H$93</f>
        <v>9.398496241</v>
      </c>
      <c r="N50" s="20">
        <f t="shared" ref="N50:N57" si="11">L50/$H$93</f>
        <v>9.398496241</v>
      </c>
      <c r="O50" s="21"/>
      <c r="P50" s="101"/>
      <c r="Q50" s="101"/>
      <c r="R50" s="101"/>
      <c r="S50" s="101"/>
      <c r="T50" s="60"/>
      <c r="U50" s="88"/>
      <c r="V50" s="89"/>
      <c r="W50" s="11"/>
      <c r="X50" s="90"/>
      <c r="Y50" s="91"/>
      <c r="Z50" s="92"/>
      <c r="AA50" s="92"/>
      <c r="AB50" s="92"/>
      <c r="AC50" s="92"/>
      <c r="AD50" s="92"/>
      <c r="AE50" s="11"/>
      <c r="AF50" s="50"/>
      <c r="AG50" s="50"/>
      <c r="AH50" s="50"/>
      <c r="AI50" s="50"/>
      <c r="AJ50" s="50"/>
    </row>
    <row r="51" ht="27.0" customHeight="1">
      <c r="A51" s="11"/>
      <c r="B51" s="11"/>
      <c r="C51" s="109"/>
      <c r="D51" s="81" t="s">
        <v>51</v>
      </c>
      <c r="E51" s="36" t="s">
        <v>131</v>
      </c>
      <c r="F51" s="124" t="s">
        <v>85</v>
      </c>
      <c r="G51" s="84">
        <v>30000.0</v>
      </c>
      <c r="H51" s="85">
        <v>1.0</v>
      </c>
      <c r="I51" s="84">
        <f t="shared" si="7"/>
        <v>30000</v>
      </c>
      <c r="J51" s="125">
        <f t="shared" si="8"/>
        <v>30000</v>
      </c>
      <c r="K51" s="48"/>
      <c r="L51" s="126">
        <f t="shared" si="9"/>
        <v>42857.14286</v>
      </c>
      <c r="M51" s="20">
        <f t="shared" si="10"/>
        <v>11.27819549</v>
      </c>
      <c r="N51" s="20">
        <f t="shared" si="11"/>
        <v>11.27819549</v>
      </c>
      <c r="O51" s="21"/>
      <c r="P51" s="101"/>
      <c r="Q51" s="101"/>
      <c r="R51" s="101"/>
      <c r="S51" s="101"/>
      <c r="T51" s="60"/>
      <c r="U51" s="88"/>
      <c r="V51" s="89"/>
      <c r="W51" s="11"/>
      <c r="X51" s="90"/>
      <c r="Y51" s="91"/>
      <c r="Z51" s="92"/>
      <c r="AA51" s="92"/>
      <c r="AB51" s="92"/>
      <c r="AC51" s="92"/>
      <c r="AD51" s="92"/>
      <c r="AE51" s="11"/>
      <c r="AF51" s="50"/>
      <c r="AG51" s="50"/>
      <c r="AH51" s="50"/>
      <c r="AI51" s="50"/>
      <c r="AJ51" s="50"/>
    </row>
    <row r="52" ht="27.0" customHeight="1">
      <c r="A52" s="11"/>
      <c r="B52" s="11"/>
      <c r="C52" s="109"/>
      <c r="D52" s="81" t="s">
        <v>51</v>
      </c>
      <c r="E52" s="36" t="s">
        <v>132</v>
      </c>
      <c r="F52" s="124" t="s">
        <v>85</v>
      </c>
      <c r="G52" s="84">
        <v>108000.0</v>
      </c>
      <c r="H52" s="85">
        <v>1.0</v>
      </c>
      <c r="I52" s="84">
        <f t="shared" si="7"/>
        <v>108000</v>
      </c>
      <c r="J52" s="125">
        <f t="shared" si="8"/>
        <v>108000</v>
      </c>
      <c r="K52" s="48"/>
      <c r="L52" s="126">
        <f>I52/0.8</f>
        <v>135000</v>
      </c>
      <c r="M52" s="20">
        <f t="shared" si="10"/>
        <v>35.52631579</v>
      </c>
      <c r="N52" s="20">
        <f t="shared" si="11"/>
        <v>35.52631579</v>
      </c>
      <c r="O52" s="21"/>
      <c r="P52" s="101"/>
      <c r="Q52" s="101"/>
      <c r="R52" s="101"/>
      <c r="S52" s="101"/>
      <c r="T52" s="60"/>
      <c r="U52" s="88"/>
      <c r="V52" s="89"/>
      <c r="W52" s="11"/>
      <c r="X52" s="90"/>
      <c r="Y52" s="91"/>
      <c r="Z52" s="92"/>
      <c r="AA52" s="92"/>
      <c r="AB52" s="92"/>
      <c r="AC52" s="92"/>
      <c r="AD52" s="92"/>
      <c r="AE52" s="11"/>
      <c r="AF52" s="50"/>
      <c r="AG52" s="50"/>
      <c r="AH52" s="50"/>
      <c r="AI52" s="50"/>
      <c r="AJ52" s="50"/>
    </row>
    <row r="53" ht="27.0" customHeight="1">
      <c r="A53" s="11"/>
      <c r="B53" s="11"/>
      <c r="C53" s="109"/>
      <c r="D53" s="81" t="s">
        <v>51</v>
      </c>
      <c r="E53" s="36" t="s">
        <v>133</v>
      </c>
      <c r="F53" s="124" t="s">
        <v>85</v>
      </c>
      <c r="G53" s="84">
        <v>45000.0</v>
      </c>
      <c r="H53" s="85">
        <v>1.0</v>
      </c>
      <c r="I53" s="84">
        <f t="shared" si="7"/>
        <v>45000</v>
      </c>
      <c r="J53" s="125">
        <f t="shared" si="8"/>
        <v>45000</v>
      </c>
      <c r="K53" s="48"/>
      <c r="L53" s="126">
        <f t="shared" ref="L53:L54" si="12">I53/0.7</f>
        <v>64285.71429</v>
      </c>
      <c r="M53" s="20">
        <f t="shared" si="10"/>
        <v>16.91729323</v>
      </c>
      <c r="N53" s="20">
        <f t="shared" si="11"/>
        <v>16.91729323</v>
      </c>
      <c r="O53" s="21"/>
      <c r="P53" s="101"/>
      <c r="Q53" s="101"/>
      <c r="R53" s="101"/>
      <c r="S53" s="101"/>
      <c r="T53" s="60"/>
      <c r="U53" s="88"/>
      <c r="V53" s="89"/>
      <c r="W53" s="11"/>
      <c r="X53" s="90"/>
      <c r="Y53" s="91"/>
      <c r="Z53" s="92"/>
      <c r="AA53" s="92"/>
      <c r="AB53" s="92"/>
      <c r="AC53" s="92"/>
      <c r="AD53" s="92"/>
      <c r="AE53" s="11"/>
      <c r="AF53" s="50"/>
      <c r="AG53" s="50"/>
      <c r="AH53" s="50"/>
      <c r="AI53" s="50"/>
      <c r="AJ53" s="50"/>
    </row>
    <row r="54" ht="27.0" customHeight="1">
      <c r="A54" s="11"/>
      <c r="B54" s="11"/>
      <c r="C54" s="109"/>
      <c r="D54" s="81" t="s">
        <v>51</v>
      </c>
      <c r="E54" s="36" t="s">
        <v>134</v>
      </c>
      <c r="F54" s="124" t="s">
        <v>85</v>
      </c>
      <c r="G54" s="84">
        <v>40000.0</v>
      </c>
      <c r="H54" s="85">
        <v>1.0</v>
      </c>
      <c r="I54" s="84">
        <f t="shared" si="7"/>
        <v>40000</v>
      </c>
      <c r="J54" s="125">
        <f t="shared" si="8"/>
        <v>40000</v>
      </c>
      <c r="K54" s="48"/>
      <c r="L54" s="126">
        <f t="shared" si="12"/>
        <v>57142.85714</v>
      </c>
      <c r="M54" s="20">
        <f t="shared" si="10"/>
        <v>15.03759398</v>
      </c>
      <c r="N54" s="20">
        <f t="shared" si="11"/>
        <v>15.03759398</v>
      </c>
      <c r="O54" s="21"/>
      <c r="P54" s="101"/>
      <c r="Q54" s="101"/>
      <c r="R54" s="101"/>
      <c r="S54" s="101"/>
      <c r="T54" s="60"/>
      <c r="U54" s="88"/>
      <c r="V54" s="89"/>
      <c r="W54" s="11"/>
      <c r="X54" s="90"/>
      <c r="Y54" s="91"/>
      <c r="Z54" s="92"/>
      <c r="AA54" s="92"/>
      <c r="AB54" s="92"/>
      <c r="AC54" s="92"/>
      <c r="AD54" s="92"/>
      <c r="AE54" s="11"/>
      <c r="AF54" s="50"/>
      <c r="AG54" s="50"/>
      <c r="AH54" s="50"/>
      <c r="AI54" s="50"/>
      <c r="AJ54" s="50"/>
    </row>
    <row r="55">
      <c r="A55" s="11"/>
      <c r="B55" s="11"/>
      <c r="C55" s="109"/>
      <c r="D55" s="81" t="s">
        <v>51</v>
      </c>
      <c r="E55" s="36" t="s">
        <v>135</v>
      </c>
      <c r="F55" s="124" t="s">
        <v>85</v>
      </c>
      <c r="G55" s="84">
        <v>116000.0</v>
      </c>
      <c r="H55" s="85">
        <v>1.0</v>
      </c>
      <c r="I55" s="84">
        <f t="shared" si="7"/>
        <v>116000</v>
      </c>
      <c r="J55" s="125">
        <f t="shared" si="8"/>
        <v>116000</v>
      </c>
      <c r="K55" s="48"/>
      <c r="L55" s="126">
        <f>I55/0.85</f>
        <v>136470.5882</v>
      </c>
      <c r="M55" s="20">
        <f t="shared" si="10"/>
        <v>35.91331269</v>
      </c>
      <c r="N55" s="20">
        <f t="shared" si="11"/>
        <v>35.91331269</v>
      </c>
      <c r="O55" s="21"/>
      <c r="P55" s="101"/>
      <c r="Q55" s="101"/>
      <c r="R55" s="101"/>
      <c r="S55" s="101"/>
      <c r="T55" s="60"/>
      <c r="U55" s="88"/>
      <c r="V55" s="89"/>
      <c r="W55" s="11"/>
      <c r="X55" s="90"/>
      <c r="Y55" s="91"/>
      <c r="Z55" s="92"/>
      <c r="AA55" s="92"/>
      <c r="AB55" s="92"/>
      <c r="AC55" s="92"/>
      <c r="AD55" s="92"/>
      <c r="AE55" s="11"/>
      <c r="AF55" s="50"/>
      <c r="AG55" s="50"/>
      <c r="AH55" s="50"/>
      <c r="AI55" s="50"/>
      <c r="AJ55" s="50"/>
    </row>
    <row r="56">
      <c r="A56" s="11"/>
      <c r="B56" s="11"/>
      <c r="C56" s="109"/>
      <c r="D56" s="81" t="s">
        <v>51</v>
      </c>
      <c r="E56" s="36" t="s">
        <v>136</v>
      </c>
      <c r="F56" s="124" t="s">
        <v>85</v>
      </c>
      <c r="G56" s="84">
        <v>50000.0</v>
      </c>
      <c r="H56" s="127">
        <v>1.0</v>
      </c>
      <c r="I56" s="84">
        <f t="shared" si="7"/>
        <v>50000</v>
      </c>
      <c r="J56" s="125">
        <f t="shared" si="8"/>
        <v>50000</v>
      </c>
      <c r="K56" s="48"/>
      <c r="L56" s="126">
        <f>I56/0.7</f>
        <v>71428.57143</v>
      </c>
      <c r="M56" s="20">
        <f t="shared" si="10"/>
        <v>18.79699248</v>
      </c>
      <c r="N56" s="20">
        <f t="shared" si="11"/>
        <v>18.79699248</v>
      </c>
      <c r="O56" s="21"/>
      <c r="P56" s="101"/>
      <c r="Q56" s="101"/>
      <c r="R56" s="101"/>
      <c r="S56" s="101"/>
      <c r="T56" s="60"/>
      <c r="U56" s="88"/>
      <c r="V56" s="89"/>
      <c r="W56" s="11"/>
      <c r="X56" s="90"/>
      <c r="Y56" s="91"/>
      <c r="Z56" s="92"/>
      <c r="AA56" s="92"/>
      <c r="AB56" s="92"/>
      <c r="AC56" s="92"/>
      <c r="AD56" s="92"/>
      <c r="AE56" s="11"/>
      <c r="AF56" s="50"/>
      <c r="AG56" s="50"/>
      <c r="AH56" s="50"/>
      <c r="AI56" s="50"/>
      <c r="AJ56" s="50"/>
    </row>
    <row r="57">
      <c r="A57" s="11"/>
      <c r="B57" s="11"/>
      <c r="C57" s="109"/>
      <c r="D57" s="81" t="s">
        <v>51</v>
      </c>
      <c r="E57" s="37" t="s">
        <v>137</v>
      </c>
      <c r="F57" s="124" t="s">
        <v>83</v>
      </c>
      <c r="G57" s="84">
        <v>50000.0</v>
      </c>
      <c r="H57" s="127">
        <v>1.0</v>
      </c>
      <c r="I57" s="84">
        <f t="shared" si="7"/>
        <v>50000</v>
      </c>
      <c r="J57" s="125">
        <f t="shared" si="8"/>
        <v>50000</v>
      </c>
      <c r="K57" s="48"/>
      <c r="L57" s="126">
        <f>I57/0.75</f>
        <v>66666.66667</v>
      </c>
      <c r="M57" s="20">
        <f t="shared" si="10"/>
        <v>17.54385965</v>
      </c>
      <c r="N57" s="20">
        <f t="shared" si="11"/>
        <v>17.54385965</v>
      </c>
      <c r="O57" s="21"/>
      <c r="P57" s="101"/>
      <c r="Q57" s="101"/>
      <c r="R57" s="101"/>
      <c r="S57" s="101"/>
      <c r="T57" s="60"/>
      <c r="U57" s="88"/>
      <c r="V57" s="89"/>
      <c r="W57" s="11"/>
      <c r="X57" s="90"/>
      <c r="Y57" s="91"/>
      <c r="Z57" s="92"/>
      <c r="AA57" s="92"/>
      <c r="AB57" s="92"/>
      <c r="AC57" s="92"/>
      <c r="AD57" s="92"/>
      <c r="AE57" s="11"/>
      <c r="AF57" s="50"/>
      <c r="AG57" s="50"/>
      <c r="AH57" s="50"/>
      <c r="AI57" s="50"/>
      <c r="AJ57" s="50"/>
    </row>
    <row r="58">
      <c r="A58" s="11"/>
      <c r="B58" s="11"/>
      <c r="C58" s="109"/>
      <c r="D58" s="119" t="s">
        <v>117</v>
      </c>
      <c r="E58" s="37" t="s">
        <v>138</v>
      </c>
      <c r="F58" s="124" t="s">
        <v>85</v>
      </c>
      <c r="G58" s="128">
        <v>43000.0</v>
      </c>
      <c r="H58" s="127">
        <v>1.0</v>
      </c>
      <c r="I58" s="84">
        <f t="shared" si="7"/>
        <v>43000</v>
      </c>
      <c r="J58" s="38"/>
      <c r="K58" s="48"/>
      <c r="L58" s="126">
        <f>I58/0.6</f>
        <v>71666.66667</v>
      </c>
      <c r="M58" s="20">
        <f t="shared" si="10"/>
        <v>18.85964912</v>
      </c>
      <c r="N58" s="38"/>
      <c r="O58" s="21"/>
      <c r="P58" s="101"/>
      <c r="Q58" s="101"/>
      <c r="R58" s="101"/>
      <c r="S58" s="101"/>
      <c r="T58" s="60"/>
      <c r="U58" s="88"/>
      <c r="V58" s="89"/>
      <c r="W58" s="11"/>
      <c r="X58" s="90"/>
      <c r="Y58" s="91"/>
      <c r="Z58" s="92"/>
      <c r="AA58" s="92"/>
      <c r="AB58" s="92"/>
      <c r="AC58" s="92"/>
      <c r="AD58" s="92"/>
      <c r="AE58" s="11"/>
      <c r="AF58" s="50"/>
      <c r="AG58" s="50"/>
      <c r="AH58" s="50"/>
      <c r="AI58" s="50"/>
      <c r="AJ58" s="50"/>
    </row>
    <row r="59">
      <c r="A59" s="11"/>
      <c r="B59" s="11"/>
      <c r="C59" s="109"/>
      <c r="D59" s="81" t="s">
        <v>51</v>
      </c>
      <c r="E59" s="36" t="s">
        <v>139</v>
      </c>
      <c r="F59" s="124" t="s">
        <v>85</v>
      </c>
      <c r="G59" s="128">
        <v>50000.0</v>
      </c>
      <c r="H59" s="127">
        <v>1.0</v>
      </c>
      <c r="I59" s="84">
        <f t="shared" si="7"/>
        <v>50000</v>
      </c>
      <c r="J59" s="125">
        <f t="shared" ref="J59:J61" si="13">G59*H59</f>
        <v>50000</v>
      </c>
      <c r="K59" s="48"/>
      <c r="L59" s="126">
        <f t="shared" ref="L59:L61" si="14">I59/0.7</f>
        <v>71428.57143</v>
      </c>
      <c r="M59" s="20">
        <f t="shared" si="10"/>
        <v>18.79699248</v>
      </c>
      <c r="N59" s="20">
        <f t="shared" ref="N59:N61" si="15">L59/$H$93</f>
        <v>18.79699248</v>
      </c>
      <c r="O59" s="21"/>
      <c r="P59" s="101"/>
      <c r="Q59" s="101"/>
      <c r="R59" s="101"/>
      <c r="S59" s="101"/>
      <c r="T59" s="60"/>
      <c r="U59" s="88"/>
      <c r="V59" s="89"/>
      <c r="W59" s="11"/>
      <c r="X59" s="90"/>
      <c r="Y59" s="91"/>
      <c r="Z59" s="92"/>
      <c r="AA59" s="92"/>
      <c r="AB59" s="92"/>
      <c r="AC59" s="92"/>
      <c r="AD59" s="92"/>
      <c r="AE59" s="11"/>
      <c r="AF59" s="50"/>
      <c r="AG59" s="50"/>
      <c r="AH59" s="50"/>
      <c r="AI59" s="50"/>
      <c r="AJ59" s="50"/>
    </row>
    <row r="60">
      <c r="A60" s="11"/>
      <c r="B60" s="11"/>
      <c r="C60" s="109"/>
      <c r="D60" s="81" t="s">
        <v>51</v>
      </c>
      <c r="E60" s="36" t="s">
        <v>140</v>
      </c>
      <c r="F60" s="124" t="s">
        <v>85</v>
      </c>
      <c r="G60" s="84">
        <v>60000.0</v>
      </c>
      <c r="H60" s="127">
        <v>1.0</v>
      </c>
      <c r="I60" s="84">
        <f t="shared" si="7"/>
        <v>60000</v>
      </c>
      <c r="J60" s="125">
        <f t="shared" si="13"/>
        <v>60000</v>
      </c>
      <c r="K60" s="48"/>
      <c r="L60" s="126">
        <f t="shared" si="14"/>
        <v>85714.28571</v>
      </c>
      <c r="M60" s="20">
        <f t="shared" si="10"/>
        <v>22.55639098</v>
      </c>
      <c r="N60" s="20">
        <f t="shared" si="15"/>
        <v>22.55639098</v>
      </c>
      <c r="O60" s="21"/>
      <c r="P60" s="101"/>
      <c r="Q60" s="101"/>
      <c r="R60" s="101"/>
      <c r="S60" s="101"/>
      <c r="T60" s="60"/>
      <c r="U60" s="88"/>
      <c r="V60" s="89"/>
      <c r="W60" s="11"/>
      <c r="X60" s="90"/>
      <c r="Y60" s="91"/>
      <c r="Z60" s="92"/>
      <c r="AA60" s="92"/>
      <c r="AB60" s="92"/>
      <c r="AC60" s="92"/>
      <c r="AD60" s="92"/>
      <c r="AE60" s="11"/>
      <c r="AF60" s="50"/>
      <c r="AG60" s="50"/>
      <c r="AH60" s="50"/>
      <c r="AI60" s="50"/>
      <c r="AJ60" s="50"/>
    </row>
    <row r="61">
      <c r="A61" s="11"/>
      <c r="B61" s="11"/>
      <c r="C61" s="109"/>
      <c r="D61" s="81" t="s">
        <v>51</v>
      </c>
      <c r="E61" s="36" t="s">
        <v>141</v>
      </c>
      <c r="F61" s="124" t="s">
        <v>85</v>
      </c>
      <c r="G61" s="84">
        <v>60000.0</v>
      </c>
      <c r="H61" s="127">
        <v>1.0</v>
      </c>
      <c r="I61" s="84">
        <f t="shared" si="7"/>
        <v>60000</v>
      </c>
      <c r="J61" s="125">
        <f t="shared" si="13"/>
        <v>60000</v>
      </c>
      <c r="K61" s="48"/>
      <c r="L61" s="126">
        <f t="shared" si="14"/>
        <v>85714.28571</v>
      </c>
      <c r="M61" s="20">
        <f t="shared" si="10"/>
        <v>22.55639098</v>
      </c>
      <c r="N61" s="20">
        <f t="shared" si="15"/>
        <v>22.55639098</v>
      </c>
      <c r="O61" s="21"/>
      <c r="P61" s="101"/>
      <c r="Q61" s="101"/>
      <c r="R61" s="101"/>
      <c r="S61" s="101"/>
      <c r="T61" s="60"/>
      <c r="U61" s="88"/>
      <c r="V61" s="89"/>
      <c r="W61" s="11"/>
      <c r="X61" s="90"/>
      <c r="Y61" s="91"/>
      <c r="Z61" s="92"/>
      <c r="AA61" s="92"/>
      <c r="AB61" s="92"/>
      <c r="AC61" s="92"/>
      <c r="AD61" s="92"/>
      <c r="AE61" s="11"/>
      <c r="AF61" s="50"/>
      <c r="AG61" s="50"/>
      <c r="AH61" s="50"/>
      <c r="AI61" s="50"/>
      <c r="AJ61" s="50"/>
    </row>
    <row r="62">
      <c r="A62" s="11"/>
      <c r="B62" s="11"/>
      <c r="C62" s="109"/>
      <c r="D62" s="119" t="s">
        <v>117</v>
      </c>
      <c r="E62" s="36" t="s">
        <v>142</v>
      </c>
      <c r="F62" s="124" t="s">
        <v>85</v>
      </c>
      <c r="G62" s="84">
        <v>80000.0</v>
      </c>
      <c r="H62" s="127">
        <v>1.0</v>
      </c>
      <c r="I62" s="84">
        <f t="shared" si="7"/>
        <v>80000</v>
      </c>
      <c r="J62" s="38"/>
      <c r="K62" s="48"/>
      <c r="L62" s="126">
        <f>I62/0.8</f>
        <v>100000</v>
      </c>
      <c r="M62" s="20">
        <f t="shared" si="10"/>
        <v>26.31578947</v>
      </c>
      <c r="N62" s="38"/>
      <c r="O62" s="21"/>
      <c r="P62" s="101"/>
      <c r="Q62" s="101"/>
      <c r="R62" s="101"/>
      <c r="S62" s="101"/>
      <c r="T62" s="60"/>
      <c r="U62" s="88"/>
      <c r="V62" s="89"/>
      <c r="W62" s="11"/>
      <c r="X62" s="90"/>
      <c r="Y62" s="91"/>
      <c r="Z62" s="92"/>
      <c r="AA62" s="92"/>
      <c r="AB62" s="92"/>
      <c r="AC62" s="92"/>
      <c r="AD62" s="92"/>
      <c r="AE62" s="11"/>
      <c r="AF62" s="50"/>
      <c r="AG62" s="50"/>
      <c r="AH62" s="50"/>
      <c r="AI62" s="50"/>
      <c r="AJ62" s="50"/>
    </row>
    <row r="63">
      <c r="A63" s="11"/>
      <c r="B63" s="11"/>
      <c r="C63" s="109"/>
      <c r="D63" s="119" t="s">
        <v>117</v>
      </c>
      <c r="E63" s="36" t="s">
        <v>143</v>
      </c>
      <c r="F63" s="124" t="s">
        <v>85</v>
      </c>
      <c r="G63" s="84">
        <v>30000.0</v>
      </c>
      <c r="H63" s="127">
        <v>1.0</v>
      </c>
      <c r="I63" s="84">
        <f t="shared" si="7"/>
        <v>30000</v>
      </c>
      <c r="J63" s="38"/>
      <c r="K63" s="48"/>
      <c r="L63" s="126">
        <f t="shared" ref="L63:L64" si="16">I63/0.6</f>
        <v>50000</v>
      </c>
      <c r="M63" s="20">
        <f t="shared" si="10"/>
        <v>13.15789474</v>
      </c>
      <c r="N63" s="38"/>
      <c r="O63" s="21"/>
      <c r="P63" s="101"/>
      <c r="Q63" s="101"/>
      <c r="R63" s="101"/>
      <c r="S63" s="101"/>
      <c r="T63" s="60"/>
      <c r="U63" s="88"/>
      <c r="V63" s="89"/>
      <c r="W63" s="11"/>
      <c r="X63" s="90"/>
      <c r="Y63" s="91"/>
      <c r="Z63" s="92"/>
      <c r="AA63" s="92"/>
      <c r="AB63" s="92"/>
      <c r="AC63" s="92"/>
      <c r="AD63" s="92"/>
      <c r="AE63" s="11"/>
      <c r="AF63" s="50"/>
      <c r="AG63" s="50"/>
      <c r="AH63" s="50"/>
      <c r="AI63" s="50"/>
      <c r="AJ63" s="50"/>
    </row>
    <row r="64">
      <c r="A64" s="11"/>
      <c r="B64" s="11"/>
      <c r="C64" s="109"/>
      <c r="D64" s="119" t="s">
        <v>117</v>
      </c>
      <c r="E64" s="36" t="s">
        <v>144</v>
      </c>
      <c r="F64" s="124" t="s">
        <v>85</v>
      </c>
      <c r="G64" s="84">
        <v>35000.0</v>
      </c>
      <c r="H64" s="127">
        <v>1.0</v>
      </c>
      <c r="I64" s="84">
        <f t="shared" si="7"/>
        <v>35000</v>
      </c>
      <c r="J64" s="38"/>
      <c r="K64" s="48"/>
      <c r="L64" s="126">
        <f t="shared" si="16"/>
        <v>58333.33333</v>
      </c>
      <c r="M64" s="20">
        <f t="shared" si="10"/>
        <v>15.35087719</v>
      </c>
      <c r="N64" s="38"/>
      <c r="O64" s="21"/>
      <c r="P64" s="101"/>
      <c r="Q64" s="101"/>
      <c r="R64" s="101"/>
      <c r="S64" s="101"/>
      <c r="T64" s="60"/>
      <c r="U64" s="88"/>
      <c r="V64" s="89"/>
      <c r="W64" s="11"/>
      <c r="X64" s="90"/>
      <c r="Y64" s="91"/>
      <c r="Z64" s="92"/>
      <c r="AA64" s="92"/>
      <c r="AB64" s="92"/>
      <c r="AC64" s="92"/>
      <c r="AD64" s="92"/>
      <c r="AE64" s="11"/>
      <c r="AF64" s="50"/>
      <c r="AG64" s="50"/>
      <c r="AH64" s="50"/>
      <c r="AI64" s="50"/>
      <c r="AJ64" s="50"/>
    </row>
    <row r="65">
      <c r="A65" s="11"/>
      <c r="B65" s="11"/>
      <c r="C65" s="109"/>
      <c r="D65" s="81" t="s">
        <v>120</v>
      </c>
      <c r="E65" s="36" t="s">
        <v>145</v>
      </c>
      <c r="F65" s="124" t="s">
        <v>85</v>
      </c>
      <c r="G65" s="128">
        <v>50000.0</v>
      </c>
      <c r="H65" s="127">
        <v>1.0</v>
      </c>
      <c r="I65" s="38"/>
      <c r="J65" s="125">
        <f t="shared" ref="J65:J67" si="17">G65*H65</f>
        <v>50000</v>
      </c>
      <c r="K65" s="48"/>
      <c r="L65" s="126">
        <f t="shared" ref="L65:L67" si="18">J65/0.7</f>
        <v>71428.57143</v>
      </c>
      <c r="M65" s="38"/>
      <c r="N65" s="20">
        <f t="shared" ref="N65:N67" si="19">L65/$H$93</f>
        <v>18.79699248</v>
      </c>
      <c r="O65" s="21"/>
      <c r="P65" s="101"/>
      <c r="Q65" s="101"/>
      <c r="R65" s="101"/>
      <c r="S65" s="101"/>
      <c r="T65" s="60"/>
      <c r="U65" s="88"/>
      <c r="V65" s="89"/>
      <c r="W65" s="11"/>
      <c r="X65" s="90"/>
      <c r="Y65" s="91"/>
      <c r="Z65" s="92"/>
      <c r="AA65" s="92"/>
      <c r="AB65" s="92"/>
      <c r="AC65" s="92"/>
      <c r="AD65" s="92"/>
      <c r="AE65" s="11"/>
      <c r="AF65" s="50"/>
      <c r="AG65" s="50"/>
      <c r="AH65" s="50"/>
      <c r="AI65" s="50"/>
      <c r="AJ65" s="50"/>
    </row>
    <row r="66">
      <c r="A66" s="11"/>
      <c r="B66" s="11"/>
      <c r="C66" s="109"/>
      <c r="D66" s="81" t="s">
        <v>120</v>
      </c>
      <c r="E66" s="36" t="s">
        <v>146</v>
      </c>
      <c r="F66" s="124" t="s">
        <v>85</v>
      </c>
      <c r="G66" s="128">
        <v>50000.0</v>
      </c>
      <c r="H66" s="127">
        <v>1.0</v>
      </c>
      <c r="I66" s="38"/>
      <c r="J66" s="125">
        <f t="shared" si="17"/>
        <v>50000</v>
      </c>
      <c r="K66" s="48"/>
      <c r="L66" s="126">
        <f t="shared" si="18"/>
        <v>71428.57143</v>
      </c>
      <c r="M66" s="38"/>
      <c r="N66" s="20">
        <f t="shared" si="19"/>
        <v>18.79699248</v>
      </c>
      <c r="O66" s="21"/>
      <c r="P66" s="101"/>
      <c r="Q66" s="101"/>
      <c r="R66" s="101"/>
      <c r="S66" s="101"/>
      <c r="T66" s="60"/>
      <c r="U66" s="88"/>
      <c r="V66" s="89"/>
      <c r="W66" s="11"/>
      <c r="X66" s="90"/>
      <c r="Y66" s="91"/>
      <c r="Z66" s="92"/>
      <c r="AA66" s="92"/>
      <c r="AB66" s="92"/>
      <c r="AC66" s="92"/>
      <c r="AD66" s="92"/>
      <c r="AE66" s="11"/>
      <c r="AF66" s="50"/>
      <c r="AG66" s="50"/>
      <c r="AH66" s="50"/>
      <c r="AI66" s="50"/>
      <c r="AJ66" s="50"/>
    </row>
    <row r="67">
      <c r="A67" s="11"/>
      <c r="B67" s="11"/>
      <c r="C67" s="109"/>
      <c r="D67" s="81" t="s">
        <v>120</v>
      </c>
      <c r="E67" s="37" t="s">
        <v>147</v>
      </c>
      <c r="F67" s="124" t="s">
        <v>85</v>
      </c>
      <c r="G67" s="84">
        <v>30000.0</v>
      </c>
      <c r="H67" s="127">
        <v>1.0</v>
      </c>
      <c r="I67" s="38"/>
      <c r="J67" s="125">
        <f t="shared" si="17"/>
        <v>30000</v>
      </c>
      <c r="K67" s="48"/>
      <c r="L67" s="126">
        <f t="shared" si="18"/>
        <v>42857.14286</v>
      </c>
      <c r="M67" s="38"/>
      <c r="N67" s="20">
        <f t="shared" si="19"/>
        <v>11.27819549</v>
      </c>
      <c r="O67" s="21"/>
      <c r="P67" s="101"/>
      <c r="Q67" s="101"/>
      <c r="R67" s="101"/>
      <c r="S67" s="101"/>
      <c r="T67" s="60"/>
      <c r="U67" s="88"/>
      <c r="V67" s="89"/>
      <c r="W67" s="11"/>
      <c r="X67" s="90"/>
      <c r="Y67" s="91"/>
      <c r="Z67" s="92"/>
      <c r="AA67" s="92"/>
      <c r="AB67" s="92"/>
      <c r="AC67" s="92"/>
      <c r="AD67" s="92"/>
      <c r="AE67" s="11"/>
      <c r="AF67" s="50"/>
      <c r="AG67" s="50"/>
      <c r="AH67" s="50"/>
      <c r="AI67" s="50"/>
      <c r="AJ67" s="50"/>
    </row>
    <row r="68">
      <c r="A68" s="11"/>
      <c r="B68" s="11"/>
      <c r="C68" s="109"/>
      <c r="D68" s="119" t="s">
        <v>117</v>
      </c>
      <c r="E68" s="37" t="s">
        <v>148</v>
      </c>
      <c r="F68" s="124" t="s">
        <v>85</v>
      </c>
      <c r="G68" s="128">
        <v>75600.0</v>
      </c>
      <c r="H68" s="127">
        <v>1.0</v>
      </c>
      <c r="I68" s="84">
        <f t="shared" ref="I68:I71" si="20">G68*H68</f>
        <v>75600</v>
      </c>
      <c r="J68" s="38"/>
      <c r="K68" s="48"/>
      <c r="L68" s="126">
        <f t="shared" ref="L68:L69" si="21">I68/0.6</f>
        <v>126000</v>
      </c>
      <c r="M68" s="20">
        <f t="shared" ref="M68:M71" si="22">L68/$H$93</f>
        <v>33.15789474</v>
      </c>
      <c r="N68" s="38"/>
      <c r="O68" s="21"/>
      <c r="P68" s="101"/>
      <c r="Q68" s="101"/>
      <c r="R68" s="101"/>
      <c r="S68" s="101"/>
      <c r="T68" s="60"/>
      <c r="U68" s="88"/>
      <c r="V68" s="89"/>
      <c r="W68" s="11"/>
      <c r="X68" s="90"/>
      <c r="Y68" s="91"/>
      <c r="Z68" s="92"/>
      <c r="AA68" s="92"/>
      <c r="AB68" s="92"/>
      <c r="AC68" s="92"/>
      <c r="AD68" s="92"/>
      <c r="AE68" s="11"/>
      <c r="AF68" s="50"/>
      <c r="AG68" s="50"/>
      <c r="AH68" s="50"/>
      <c r="AI68" s="50"/>
      <c r="AJ68" s="50"/>
    </row>
    <row r="69">
      <c r="A69" s="11"/>
      <c r="B69" s="11"/>
      <c r="C69" s="109"/>
      <c r="D69" s="119" t="s">
        <v>117</v>
      </c>
      <c r="E69" s="37" t="s">
        <v>149</v>
      </c>
      <c r="F69" s="124" t="s">
        <v>85</v>
      </c>
      <c r="G69" s="128">
        <v>75600.0</v>
      </c>
      <c r="H69" s="127">
        <v>1.0</v>
      </c>
      <c r="I69" s="84">
        <f t="shared" si="20"/>
        <v>75600</v>
      </c>
      <c r="J69" s="38"/>
      <c r="K69" s="48"/>
      <c r="L69" s="126">
        <f t="shared" si="21"/>
        <v>126000</v>
      </c>
      <c r="M69" s="20">
        <f t="shared" si="22"/>
        <v>33.15789474</v>
      </c>
      <c r="N69" s="38"/>
      <c r="O69" s="21"/>
      <c r="P69" s="101"/>
      <c r="Q69" s="101"/>
      <c r="R69" s="101"/>
      <c r="S69" s="101"/>
      <c r="T69" s="60"/>
      <c r="U69" s="88"/>
      <c r="V69" s="89"/>
      <c r="W69" s="11"/>
      <c r="X69" s="90"/>
      <c r="Y69" s="91"/>
      <c r="Z69" s="92"/>
      <c r="AA69" s="92"/>
      <c r="AB69" s="92"/>
      <c r="AC69" s="92"/>
      <c r="AD69" s="92"/>
      <c r="AE69" s="11"/>
      <c r="AF69" s="50"/>
      <c r="AG69" s="50"/>
      <c r="AH69" s="50"/>
      <c r="AI69" s="50"/>
      <c r="AJ69" s="50"/>
    </row>
    <row r="70">
      <c r="A70" s="11"/>
      <c r="B70" s="11"/>
      <c r="C70" s="109"/>
      <c r="D70" s="81" t="s">
        <v>117</v>
      </c>
      <c r="E70" s="39" t="s">
        <v>150</v>
      </c>
      <c r="F70" s="92"/>
      <c r="G70" s="84">
        <v>320000.0</v>
      </c>
      <c r="H70" s="97">
        <v>1.0</v>
      </c>
      <c r="I70" s="84">
        <f t="shared" si="20"/>
        <v>320000</v>
      </c>
      <c r="J70" s="38"/>
      <c r="K70" s="48"/>
      <c r="L70" s="126">
        <f t="shared" ref="L70:L71" si="23">I70/0.85</f>
        <v>376470.5882</v>
      </c>
      <c r="M70" s="20">
        <f t="shared" si="22"/>
        <v>99.07120743</v>
      </c>
      <c r="N70" s="38"/>
      <c r="O70" s="21"/>
      <c r="P70" s="101"/>
      <c r="Q70" s="101"/>
      <c r="R70" s="101"/>
      <c r="S70" s="101"/>
      <c r="T70" s="60"/>
      <c r="U70" s="88"/>
      <c r="V70" s="89"/>
      <c r="W70" s="11"/>
      <c r="X70" s="90"/>
      <c r="Y70" s="91"/>
      <c r="Z70" s="92"/>
      <c r="AA70" s="92"/>
      <c r="AB70" s="92"/>
      <c r="AC70" s="92"/>
      <c r="AD70" s="92"/>
      <c r="AE70" s="11"/>
      <c r="AF70" s="50"/>
      <c r="AG70" s="50"/>
      <c r="AH70" s="50"/>
      <c r="AI70" s="50"/>
      <c r="AJ70" s="50"/>
    </row>
    <row r="71">
      <c r="A71" s="11"/>
      <c r="B71" s="11"/>
      <c r="C71" s="109"/>
      <c r="D71" s="81" t="s">
        <v>117</v>
      </c>
      <c r="E71" s="39" t="s">
        <v>151</v>
      </c>
      <c r="F71" s="92"/>
      <c r="G71" s="84">
        <v>240000.0</v>
      </c>
      <c r="H71" s="97">
        <v>1.0</v>
      </c>
      <c r="I71" s="84">
        <f t="shared" si="20"/>
        <v>240000</v>
      </c>
      <c r="J71" s="38"/>
      <c r="K71" s="48"/>
      <c r="L71" s="126">
        <f t="shared" si="23"/>
        <v>282352.9412</v>
      </c>
      <c r="M71" s="20">
        <f t="shared" si="22"/>
        <v>74.30340557</v>
      </c>
      <c r="N71" s="38"/>
      <c r="O71" s="21"/>
      <c r="P71" s="101"/>
      <c r="Q71" s="101"/>
      <c r="R71" s="101"/>
      <c r="S71" s="101"/>
      <c r="T71" s="60"/>
      <c r="U71" s="88"/>
      <c r="V71" s="89"/>
      <c r="W71" s="11"/>
      <c r="X71" s="90"/>
      <c r="Y71" s="91"/>
      <c r="Z71" s="92"/>
      <c r="AA71" s="92"/>
      <c r="AB71" s="92"/>
      <c r="AC71" s="92"/>
      <c r="AD71" s="92"/>
      <c r="AE71" s="11"/>
      <c r="AF71" s="50"/>
      <c r="AG71" s="50"/>
      <c r="AH71" s="50"/>
      <c r="AI71" s="50"/>
      <c r="AJ71" s="50"/>
    </row>
    <row r="72" ht="15.75" customHeight="1">
      <c r="A72" s="11"/>
      <c r="B72" s="11"/>
      <c r="C72" s="109"/>
      <c r="D72" s="81" t="s">
        <v>120</v>
      </c>
      <c r="E72" s="39" t="s">
        <v>152</v>
      </c>
      <c r="F72" s="92"/>
      <c r="G72" s="84">
        <v>45000.0</v>
      </c>
      <c r="H72" s="127">
        <v>1.0</v>
      </c>
      <c r="I72" s="38"/>
      <c r="J72" s="125">
        <f t="shared" ref="J72:J76" si="24">G72*H72</f>
        <v>45000</v>
      </c>
      <c r="K72" s="48"/>
      <c r="L72" s="126">
        <f>J72/0.7</f>
        <v>64285.71429</v>
      </c>
      <c r="M72" s="38"/>
      <c r="N72" s="20">
        <f t="shared" ref="N72:N76" si="25">L72/$H$93</f>
        <v>16.91729323</v>
      </c>
      <c r="O72" s="21"/>
      <c r="P72" s="101"/>
      <c r="Q72" s="101"/>
      <c r="R72" s="101"/>
      <c r="S72" s="101"/>
      <c r="T72" s="60"/>
      <c r="U72" s="88"/>
      <c r="V72" s="89"/>
      <c r="W72" s="11"/>
      <c r="X72" s="90"/>
      <c r="Y72" s="91"/>
      <c r="Z72" s="92"/>
      <c r="AA72" s="92"/>
      <c r="AB72" s="92"/>
      <c r="AC72" s="92"/>
      <c r="AD72" s="92"/>
      <c r="AE72" s="11"/>
      <c r="AF72" s="50"/>
      <c r="AG72" s="50"/>
      <c r="AH72" s="50"/>
      <c r="AI72" s="50"/>
      <c r="AJ72" s="50"/>
    </row>
    <row r="73" ht="15.75" customHeight="1">
      <c r="A73" s="11"/>
      <c r="B73" s="11"/>
      <c r="C73" s="109"/>
      <c r="D73" s="81" t="s">
        <v>120</v>
      </c>
      <c r="E73" s="39" t="s">
        <v>153</v>
      </c>
      <c r="F73" s="92"/>
      <c r="G73" s="84">
        <v>335000.0</v>
      </c>
      <c r="H73" s="127">
        <v>1.0</v>
      </c>
      <c r="I73" s="38"/>
      <c r="J73" s="125">
        <f t="shared" si="24"/>
        <v>335000</v>
      </c>
      <c r="K73" s="48"/>
      <c r="L73" s="126">
        <f t="shared" ref="L73:L74" si="26">J73/0.9</f>
        <v>372222.2222</v>
      </c>
      <c r="M73" s="38"/>
      <c r="N73" s="20">
        <f t="shared" si="25"/>
        <v>97.95321637</v>
      </c>
      <c r="O73" s="21"/>
      <c r="P73" s="101"/>
      <c r="Q73" s="101"/>
      <c r="R73" s="101"/>
      <c r="S73" s="101"/>
      <c r="T73" s="60"/>
      <c r="U73" s="88"/>
      <c r="V73" s="89"/>
      <c r="W73" s="11"/>
      <c r="X73" s="90"/>
      <c r="Y73" s="91"/>
      <c r="Z73" s="92"/>
      <c r="AA73" s="92"/>
      <c r="AB73" s="92"/>
      <c r="AC73" s="92"/>
      <c r="AD73" s="92"/>
      <c r="AE73" s="11"/>
      <c r="AF73" s="50"/>
      <c r="AG73" s="50"/>
      <c r="AH73" s="50"/>
      <c r="AI73" s="50"/>
      <c r="AJ73" s="50"/>
    </row>
    <row r="74" ht="15.75" customHeight="1">
      <c r="A74" s="11"/>
      <c r="B74" s="11"/>
      <c r="C74" s="109"/>
      <c r="D74" s="81" t="s">
        <v>120</v>
      </c>
      <c r="E74" s="39" t="s">
        <v>154</v>
      </c>
      <c r="F74" s="92"/>
      <c r="G74" s="84">
        <v>335000.0</v>
      </c>
      <c r="H74" s="127">
        <v>1.0</v>
      </c>
      <c r="I74" s="38"/>
      <c r="J74" s="125">
        <f t="shared" si="24"/>
        <v>335000</v>
      </c>
      <c r="K74" s="48"/>
      <c r="L74" s="126">
        <f t="shared" si="26"/>
        <v>372222.2222</v>
      </c>
      <c r="M74" s="38"/>
      <c r="N74" s="20">
        <f t="shared" si="25"/>
        <v>97.95321637</v>
      </c>
      <c r="O74" s="21"/>
      <c r="P74" s="101"/>
      <c r="Q74" s="101"/>
      <c r="R74" s="101"/>
      <c r="S74" s="101"/>
      <c r="T74" s="60"/>
      <c r="U74" s="88"/>
      <c r="V74" s="89"/>
      <c r="W74" s="11"/>
      <c r="X74" s="90"/>
      <c r="Y74" s="91"/>
      <c r="Z74" s="92"/>
      <c r="AA74" s="92"/>
      <c r="AB74" s="92"/>
      <c r="AC74" s="92"/>
      <c r="AD74" s="92"/>
      <c r="AE74" s="11"/>
      <c r="AF74" s="50"/>
      <c r="AG74" s="50"/>
      <c r="AH74" s="50"/>
      <c r="AI74" s="50"/>
      <c r="AJ74" s="50"/>
    </row>
    <row r="75" ht="15.75" customHeight="1">
      <c r="A75" s="11"/>
      <c r="B75" s="11"/>
      <c r="C75" s="109"/>
      <c r="D75" s="81" t="s">
        <v>120</v>
      </c>
      <c r="E75" s="39" t="s">
        <v>155</v>
      </c>
      <c r="F75" s="124" t="s">
        <v>83</v>
      </c>
      <c r="G75" s="128">
        <v>80000.0</v>
      </c>
      <c r="H75" s="127">
        <v>1.0</v>
      </c>
      <c r="I75" s="38"/>
      <c r="J75" s="125">
        <f t="shared" si="24"/>
        <v>80000</v>
      </c>
      <c r="K75" s="48"/>
      <c r="L75" s="126">
        <f>J75/0.7</f>
        <v>114285.7143</v>
      </c>
      <c r="M75" s="38"/>
      <c r="N75" s="20">
        <f t="shared" si="25"/>
        <v>30.07518797</v>
      </c>
      <c r="O75" s="21"/>
      <c r="P75" s="101"/>
      <c r="Q75" s="129">
        <v>60000.0</v>
      </c>
      <c r="R75" s="101"/>
      <c r="S75" s="101"/>
      <c r="T75" s="60"/>
      <c r="U75" s="88"/>
      <c r="V75" s="89"/>
      <c r="W75" s="11"/>
      <c r="X75" s="90"/>
      <c r="Y75" s="91"/>
      <c r="Z75" s="92"/>
      <c r="AA75" s="92"/>
      <c r="AB75" s="92"/>
      <c r="AC75" s="92"/>
      <c r="AD75" s="92"/>
      <c r="AE75" s="11"/>
      <c r="AF75" s="50"/>
      <c r="AG75" s="50"/>
      <c r="AH75" s="50"/>
      <c r="AI75" s="50"/>
      <c r="AJ75" s="50"/>
    </row>
    <row r="76" ht="15.75" customHeight="1">
      <c r="A76" s="11"/>
      <c r="B76" s="11"/>
      <c r="C76" s="109"/>
      <c r="D76" s="81" t="s">
        <v>120</v>
      </c>
      <c r="E76" s="39" t="s">
        <v>156</v>
      </c>
      <c r="F76" s="124" t="s">
        <v>157</v>
      </c>
      <c r="G76" s="128">
        <v>220000.0</v>
      </c>
      <c r="H76" s="127">
        <v>1.0</v>
      </c>
      <c r="I76" s="38"/>
      <c r="J76" s="125">
        <f t="shared" si="24"/>
        <v>220000</v>
      </c>
      <c r="K76" s="48"/>
      <c r="L76" s="126">
        <f>J76/0.75</f>
        <v>293333.3333</v>
      </c>
      <c r="M76" s="38"/>
      <c r="N76" s="20">
        <f t="shared" si="25"/>
        <v>77.19298246</v>
      </c>
      <c r="O76" s="21"/>
      <c r="P76" s="101"/>
      <c r="Q76" s="86">
        <v>195040.0</v>
      </c>
      <c r="R76" s="101"/>
      <c r="S76" s="101"/>
      <c r="T76" s="60"/>
      <c r="U76" s="88"/>
      <c r="V76" s="89"/>
      <c r="W76" s="11"/>
      <c r="X76" s="90"/>
      <c r="Y76" s="91"/>
      <c r="Z76" s="92"/>
      <c r="AA76" s="92"/>
      <c r="AB76" s="92"/>
      <c r="AC76" s="92"/>
      <c r="AD76" s="92"/>
      <c r="AE76" s="11"/>
      <c r="AF76" s="50"/>
      <c r="AG76" s="50"/>
      <c r="AH76" s="50"/>
      <c r="AI76" s="50"/>
      <c r="AJ76" s="50"/>
    </row>
    <row r="77" ht="15.75" customHeight="1">
      <c r="A77" s="11"/>
      <c r="B77" s="130"/>
      <c r="C77" s="130"/>
      <c r="D77" s="131"/>
      <c r="E77" s="132" t="s">
        <v>158</v>
      </c>
      <c r="F77" s="133"/>
      <c r="G77" s="134"/>
      <c r="H77" s="135"/>
      <c r="I77" s="135"/>
      <c r="J77" s="135"/>
      <c r="K77" s="48"/>
      <c r="L77" s="135"/>
      <c r="M77" s="135"/>
      <c r="N77" s="135"/>
      <c r="O77" s="21"/>
      <c r="P77" s="136"/>
      <c r="Q77" s="136"/>
      <c r="R77" s="136"/>
      <c r="S77" s="136"/>
      <c r="T77" s="60"/>
      <c r="U77" s="88"/>
      <c r="V77" s="89"/>
      <c r="W77" s="11"/>
      <c r="X77" s="90"/>
      <c r="Y77" s="91"/>
      <c r="Z77" s="92"/>
      <c r="AA77" s="92"/>
      <c r="AB77" s="92"/>
      <c r="AC77" s="92"/>
      <c r="AD77" s="92"/>
      <c r="AE77" s="11"/>
      <c r="AF77" s="50"/>
      <c r="AG77" s="50"/>
      <c r="AH77" s="50"/>
      <c r="AI77" s="50"/>
      <c r="AJ77" s="50"/>
    </row>
    <row r="78" ht="27.75" customHeight="1">
      <c r="A78" s="11"/>
      <c r="B78" s="11"/>
      <c r="C78" s="11"/>
      <c r="D78" s="81" t="s">
        <v>120</v>
      </c>
      <c r="E78" s="137" t="s">
        <v>159</v>
      </c>
      <c r="F78" s="138"/>
      <c r="G78" s="139"/>
      <c r="H78" s="127">
        <v>1.0</v>
      </c>
      <c r="I78" s="38"/>
      <c r="J78" s="125">
        <f>G78*H78</f>
        <v>0</v>
      </c>
      <c r="K78" s="48"/>
      <c r="L78" s="126">
        <f>J78/0.7</f>
        <v>0</v>
      </c>
      <c r="M78" s="38"/>
      <c r="N78" s="20">
        <f>L78/$H$93</f>
        <v>0</v>
      </c>
      <c r="O78" s="21"/>
      <c r="P78" s="112"/>
      <c r="Q78" s="101"/>
      <c r="R78" s="101"/>
      <c r="S78" s="101"/>
      <c r="T78" s="60"/>
      <c r="U78" s="88"/>
      <c r="V78" s="89"/>
      <c r="W78" s="11"/>
      <c r="X78" s="90"/>
      <c r="Y78" s="91"/>
      <c r="Z78" s="92"/>
      <c r="AA78" s="92"/>
      <c r="AB78" s="92"/>
      <c r="AC78" s="92"/>
      <c r="AD78" s="92"/>
      <c r="AE78" s="11"/>
      <c r="AF78" s="50"/>
      <c r="AG78" s="50"/>
      <c r="AH78" s="50"/>
      <c r="AI78" s="50"/>
      <c r="AJ78" s="50"/>
    </row>
    <row r="79" ht="15.75" customHeight="1">
      <c r="A79" s="11"/>
      <c r="B79" s="140"/>
      <c r="C79" s="140"/>
      <c r="D79" s="141"/>
      <c r="E79" s="142" t="s">
        <v>160</v>
      </c>
      <c r="F79" s="40"/>
      <c r="G79" s="136"/>
      <c r="H79" s="143"/>
      <c r="I79" s="143"/>
      <c r="J79" s="143"/>
      <c r="K79" s="48"/>
      <c r="L79" s="143"/>
      <c r="M79" s="143"/>
      <c r="N79" s="143"/>
      <c r="O79" s="21"/>
      <c r="P79" s="136"/>
      <c r="Q79" s="136"/>
      <c r="R79" s="136"/>
      <c r="S79" s="136"/>
      <c r="T79" s="60"/>
      <c r="U79" s="88"/>
      <c r="V79" s="89"/>
      <c r="W79" s="11"/>
      <c r="X79" s="90"/>
      <c r="Y79" s="91"/>
      <c r="Z79" s="92"/>
      <c r="AA79" s="92"/>
      <c r="AB79" s="92"/>
      <c r="AC79" s="92"/>
      <c r="AD79" s="92"/>
      <c r="AE79" s="11"/>
      <c r="AF79" s="50"/>
      <c r="AG79" s="50"/>
      <c r="AH79" s="50"/>
      <c r="AI79" s="50"/>
      <c r="AJ79" s="50"/>
    </row>
    <row r="80" ht="15.75" customHeight="1">
      <c r="A80" s="11"/>
      <c r="B80" s="11"/>
      <c r="C80" s="109"/>
      <c r="D80" s="81" t="s">
        <v>117</v>
      </c>
      <c r="E80" s="42" t="s">
        <v>161</v>
      </c>
      <c r="F80" s="83" t="s">
        <v>125</v>
      </c>
      <c r="G80" s="84">
        <v>250000.0</v>
      </c>
      <c r="H80" s="97">
        <v>1.0</v>
      </c>
      <c r="I80" s="84">
        <f>G80*H80</f>
        <v>250000</v>
      </c>
      <c r="J80" s="38"/>
      <c r="K80" s="48"/>
      <c r="L80" s="126">
        <f>I80/0.8</f>
        <v>312500</v>
      </c>
      <c r="M80" s="20">
        <f>L80/$H$93</f>
        <v>82.23684211</v>
      </c>
      <c r="N80" s="38"/>
      <c r="O80" s="21"/>
      <c r="P80" s="101"/>
      <c r="Q80" s="101"/>
      <c r="R80" s="101"/>
      <c r="S80" s="101"/>
      <c r="T80" s="60"/>
      <c r="U80" s="88"/>
      <c r="V80" s="89"/>
      <c r="W80" s="11"/>
      <c r="X80" s="90"/>
      <c r="Y80" s="91"/>
      <c r="Z80" s="92"/>
      <c r="AA80" s="92"/>
      <c r="AB80" s="92"/>
      <c r="AC80" s="92"/>
      <c r="AD80" s="92"/>
      <c r="AE80" s="11"/>
      <c r="AF80" s="50"/>
      <c r="AG80" s="50"/>
      <c r="AH80" s="50"/>
      <c r="AI80" s="50"/>
      <c r="AJ80" s="50"/>
    </row>
    <row r="81" ht="15.75" customHeight="1">
      <c r="A81" s="11"/>
      <c r="B81" s="11"/>
      <c r="C81" s="109"/>
      <c r="D81" s="81" t="s">
        <v>120</v>
      </c>
      <c r="E81" s="42" t="s">
        <v>162</v>
      </c>
      <c r="F81" s="83" t="s">
        <v>125</v>
      </c>
      <c r="G81" s="84">
        <v>250000.0</v>
      </c>
      <c r="H81" s="127">
        <v>1.0</v>
      </c>
      <c r="I81" s="38"/>
      <c r="J81" s="125">
        <f t="shared" ref="J81:J84" si="27">G81*H81</f>
        <v>250000</v>
      </c>
      <c r="K81" s="48"/>
      <c r="L81" s="126">
        <f t="shared" ref="L81:L82" si="28">J81/0.8</f>
        <v>312500</v>
      </c>
      <c r="M81" s="38"/>
      <c r="N81" s="20">
        <f t="shared" ref="N81:N87" si="29">L81/$H$93</f>
        <v>82.23684211</v>
      </c>
      <c r="O81" s="21"/>
      <c r="P81" s="101"/>
      <c r="Q81" s="101"/>
      <c r="R81" s="101"/>
      <c r="S81" s="101"/>
      <c r="T81" s="60"/>
      <c r="U81" s="88"/>
      <c r="V81" s="89"/>
      <c r="W81" s="11"/>
      <c r="X81" s="90"/>
      <c r="Y81" s="91"/>
      <c r="Z81" s="92"/>
      <c r="AA81" s="92"/>
      <c r="AB81" s="92"/>
      <c r="AC81" s="92"/>
      <c r="AD81" s="92"/>
      <c r="AE81" s="11"/>
      <c r="AF81" s="50"/>
      <c r="AG81" s="50"/>
      <c r="AH81" s="50"/>
      <c r="AI81" s="50"/>
      <c r="AJ81" s="50"/>
    </row>
    <row r="82" ht="15.75" customHeight="1">
      <c r="A82" s="11"/>
      <c r="B82" s="11"/>
      <c r="C82" s="109"/>
      <c r="D82" s="81" t="s">
        <v>120</v>
      </c>
      <c r="E82" s="43" t="s">
        <v>163</v>
      </c>
      <c r="F82" s="83" t="s">
        <v>125</v>
      </c>
      <c r="G82" s="84">
        <v>250000.0</v>
      </c>
      <c r="H82" s="127">
        <v>1.0</v>
      </c>
      <c r="I82" s="38"/>
      <c r="J82" s="125">
        <f t="shared" si="27"/>
        <v>250000</v>
      </c>
      <c r="K82" s="48"/>
      <c r="L82" s="126">
        <f t="shared" si="28"/>
        <v>312500</v>
      </c>
      <c r="M82" s="38"/>
      <c r="N82" s="20">
        <f t="shared" si="29"/>
        <v>82.23684211</v>
      </c>
      <c r="O82" s="21"/>
      <c r="P82" s="101"/>
      <c r="Q82" s="101"/>
      <c r="R82" s="101"/>
      <c r="S82" s="101"/>
      <c r="T82" s="60"/>
      <c r="U82" s="88"/>
      <c r="V82" s="89"/>
      <c r="W82" s="11"/>
      <c r="X82" s="90"/>
      <c r="Y82" s="91"/>
      <c r="Z82" s="92"/>
      <c r="AA82" s="92"/>
      <c r="AB82" s="92"/>
      <c r="AC82" s="92"/>
      <c r="AD82" s="92"/>
      <c r="AE82" s="11"/>
      <c r="AF82" s="50"/>
      <c r="AG82" s="50"/>
      <c r="AH82" s="50"/>
      <c r="AI82" s="50"/>
      <c r="AJ82" s="50"/>
    </row>
    <row r="83" ht="15.75" customHeight="1">
      <c r="A83" s="11"/>
      <c r="B83" s="11"/>
      <c r="C83" s="109"/>
      <c r="D83" s="81" t="s">
        <v>120</v>
      </c>
      <c r="E83" s="42" t="s">
        <v>164</v>
      </c>
      <c r="F83" s="144" t="s">
        <v>165</v>
      </c>
      <c r="G83" s="84">
        <v>0.0</v>
      </c>
      <c r="H83" s="127">
        <v>1.0</v>
      </c>
      <c r="I83" s="38"/>
      <c r="J83" s="125">
        <f t="shared" si="27"/>
        <v>0</v>
      </c>
      <c r="K83" s="48"/>
      <c r="L83" s="126">
        <f>J83/0.7</f>
        <v>0</v>
      </c>
      <c r="M83" s="38"/>
      <c r="N83" s="20">
        <f t="shared" si="29"/>
        <v>0</v>
      </c>
      <c r="O83" s="21"/>
      <c r="P83" s="101"/>
      <c r="Q83" s="101"/>
      <c r="R83" s="101"/>
      <c r="S83" s="101"/>
      <c r="T83" s="60"/>
      <c r="U83" s="88"/>
      <c r="V83" s="89"/>
      <c r="W83" s="11"/>
      <c r="X83" s="90"/>
      <c r="Y83" s="91"/>
      <c r="Z83" s="92"/>
      <c r="AA83" s="92"/>
      <c r="AB83" s="92"/>
      <c r="AC83" s="92"/>
      <c r="AD83" s="92"/>
      <c r="AE83" s="11"/>
      <c r="AF83" s="50"/>
      <c r="AG83" s="50"/>
      <c r="AH83" s="50"/>
      <c r="AI83" s="50"/>
      <c r="AJ83" s="50"/>
    </row>
    <row r="84" ht="27.0" customHeight="1">
      <c r="A84" s="11"/>
      <c r="B84" s="11"/>
      <c r="C84" s="109"/>
      <c r="D84" s="81" t="s">
        <v>120</v>
      </c>
      <c r="E84" s="43" t="s">
        <v>166</v>
      </c>
      <c r="F84" s="83" t="s">
        <v>167</v>
      </c>
      <c r="G84" s="128">
        <v>350000.0</v>
      </c>
      <c r="H84" s="127">
        <v>1.0</v>
      </c>
      <c r="I84" s="38"/>
      <c r="J84" s="125">
        <f t="shared" si="27"/>
        <v>350000</v>
      </c>
      <c r="K84" s="48"/>
      <c r="L84" s="126">
        <f>J84/0.9</f>
        <v>388888.8889</v>
      </c>
      <c r="M84" s="38"/>
      <c r="N84" s="20">
        <f t="shared" si="29"/>
        <v>102.3391813</v>
      </c>
      <c r="O84" s="21"/>
      <c r="P84" s="101"/>
      <c r="Q84" s="101"/>
      <c r="R84" s="101"/>
      <c r="S84" s="101"/>
      <c r="T84" s="60"/>
      <c r="U84" s="88"/>
      <c r="V84" s="89"/>
      <c r="W84" s="11"/>
      <c r="X84" s="90"/>
      <c r="Y84" s="91"/>
      <c r="Z84" s="92"/>
      <c r="AA84" s="92"/>
      <c r="AB84" s="92"/>
      <c r="AC84" s="92"/>
      <c r="AD84" s="92"/>
      <c r="AE84" s="11"/>
      <c r="AF84" s="50"/>
      <c r="AG84" s="50"/>
      <c r="AH84" s="50"/>
      <c r="AI84" s="50"/>
      <c r="AJ84" s="50"/>
    </row>
    <row r="85" ht="15.75" customHeight="1">
      <c r="A85" s="11"/>
      <c r="B85" s="11"/>
      <c r="C85" s="11"/>
      <c r="D85" s="81" t="s">
        <v>51</v>
      </c>
      <c r="E85" s="44" t="s">
        <v>168</v>
      </c>
      <c r="F85" s="145" t="s">
        <v>169</v>
      </c>
      <c r="G85" s="128">
        <v>45000.0</v>
      </c>
      <c r="H85" s="97">
        <v>5.0</v>
      </c>
      <c r="I85" s="84">
        <f t="shared" ref="I85:I87" si="30">G85*H85/2</f>
        <v>112500</v>
      </c>
      <c r="J85" s="125">
        <f t="shared" ref="J85:J87" si="31">G85*H85/2</f>
        <v>112500</v>
      </c>
      <c r="K85" s="48"/>
      <c r="L85" s="126">
        <f>I85/0.9</f>
        <v>125000</v>
      </c>
      <c r="M85" s="20">
        <f t="shared" ref="M85:M87" si="32">L85/$H$93</f>
        <v>32.89473684</v>
      </c>
      <c r="N85" s="20">
        <f t="shared" si="29"/>
        <v>32.89473684</v>
      </c>
      <c r="O85" s="21"/>
      <c r="P85" s="101"/>
      <c r="Q85" s="101"/>
      <c r="R85" s="101"/>
      <c r="S85" s="101"/>
      <c r="T85" s="60"/>
      <c r="U85" s="88"/>
      <c r="V85" s="89"/>
      <c r="W85" s="11"/>
      <c r="X85" s="90"/>
      <c r="Y85" s="91"/>
      <c r="Z85" s="92"/>
      <c r="AA85" s="92"/>
      <c r="AB85" s="92"/>
      <c r="AC85" s="92"/>
      <c r="AD85" s="92"/>
      <c r="AE85" s="11"/>
      <c r="AF85" s="50"/>
      <c r="AG85" s="50"/>
      <c r="AH85" s="50"/>
      <c r="AI85" s="50"/>
      <c r="AJ85" s="50"/>
    </row>
    <row r="86" ht="27.0" customHeight="1">
      <c r="A86" s="11"/>
      <c r="B86" s="11"/>
      <c r="C86" s="11"/>
      <c r="D86" s="81" t="s">
        <v>51</v>
      </c>
      <c r="E86" s="44" t="s">
        <v>170</v>
      </c>
      <c r="F86" s="83" t="s">
        <v>171</v>
      </c>
      <c r="G86" s="84">
        <v>250000.0</v>
      </c>
      <c r="H86" s="146">
        <v>1.0</v>
      </c>
      <c r="I86" s="84">
        <f t="shared" si="30"/>
        <v>125000</v>
      </c>
      <c r="J86" s="125">
        <f t="shared" si="31"/>
        <v>125000</v>
      </c>
      <c r="K86" s="48"/>
      <c r="L86" s="126">
        <f t="shared" ref="L86:L87" si="33">I86/0.95</f>
        <v>131578.9474</v>
      </c>
      <c r="M86" s="20">
        <f t="shared" si="32"/>
        <v>34.62603878</v>
      </c>
      <c r="N86" s="20">
        <f t="shared" si="29"/>
        <v>34.62603878</v>
      </c>
      <c r="O86" s="21"/>
      <c r="P86" s="101"/>
      <c r="Q86" s="101"/>
      <c r="R86" s="101"/>
      <c r="S86" s="101"/>
      <c r="T86" s="60"/>
      <c r="U86" s="88"/>
      <c r="V86" s="89"/>
      <c r="W86" s="11"/>
      <c r="X86" s="90"/>
      <c r="Y86" s="91"/>
      <c r="Z86" s="92"/>
      <c r="AA86" s="92"/>
      <c r="AB86" s="92"/>
      <c r="AC86" s="92"/>
      <c r="AD86" s="92"/>
      <c r="AE86" s="11"/>
      <c r="AF86" s="50"/>
      <c r="AG86" s="50"/>
      <c r="AH86" s="50"/>
      <c r="AI86" s="50"/>
      <c r="AJ86" s="50"/>
    </row>
    <row r="87" ht="15.75" customHeight="1">
      <c r="A87" s="11"/>
      <c r="B87" s="11"/>
      <c r="C87" s="11"/>
      <c r="D87" s="81" t="s">
        <v>51</v>
      </c>
      <c r="E87" s="45" t="s">
        <v>172</v>
      </c>
      <c r="F87" s="145" t="s">
        <v>169</v>
      </c>
      <c r="G87" s="84">
        <v>180000.0</v>
      </c>
      <c r="H87" s="147">
        <v>3.2</v>
      </c>
      <c r="I87" s="84">
        <f t="shared" si="30"/>
        <v>288000</v>
      </c>
      <c r="J87" s="125">
        <f t="shared" si="31"/>
        <v>288000</v>
      </c>
      <c r="K87" s="48"/>
      <c r="L87" s="126">
        <f t="shared" si="33"/>
        <v>303157.8947</v>
      </c>
      <c r="M87" s="20">
        <f t="shared" si="32"/>
        <v>79.77839335</v>
      </c>
      <c r="N87" s="20">
        <f t="shared" si="29"/>
        <v>79.77839335</v>
      </c>
      <c r="O87" s="21"/>
      <c r="P87" s="101"/>
      <c r="Q87" s="101"/>
      <c r="R87" s="101"/>
      <c r="S87" s="101"/>
      <c r="T87" s="60"/>
      <c r="U87" s="88"/>
      <c r="V87" s="89"/>
      <c r="W87" s="11"/>
      <c r="X87" s="90"/>
      <c r="Y87" s="91"/>
      <c r="Z87" s="92"/>
      <c r="AA87" s="92"/>
      <c r="AB87" s="92"/>
      <c r="AC87" s="92"/>
      <c r="AD87" s="92"/>
      <c r="AE87" s="11"/>
      <c r="AF87" s="50"/>
      <c r="AG87" s="50"/>
      <c r="AH87" s="50"/>
      <c r="AI87" s="50"/>
      <c r="AJ87" s="50"/>
    </row>
    <row r="88" ht="15.75" customHeight="1">
      <c r="A88" s="11"/>
      <c r="B88" s="11"/>
      <c r="C88" s="11"/>
      <c r="D88" s="81" t="s">
        <v>51</v>
      </c>
      <c r="E88" s="45" t="s">
        <v>173</v>
      </c>
      <c r="F88" s="145" t="s">
        <v>169</v>
      </c>
      <c r="G88" s="84">
        <v>20000.0</v>
      </c>
      <c r="H88" s="147">
        <v>1.0</v>
      </c>
      <c r="I88" s="84">
        <f>G88*H88</f>
        <v>20000</v>
      </c>
      <c r="J88" s="125">
        <f>G88*H88</f>
        <v>20000</v>
      </c>
      <c r="K88" s="48"/>
      <c r="L88" s="38"/>
      <c r="M88" s="38"/>
      <c r="N88" s="38"/>
      <c r="O88" s="21"/>
      <c r="P88" s="101"/>
      <c r="Q88" s="101"/>
      <c r="R88" s="101"/>
      <c r="S88" s="101"/>
      <c r="T88" s="60"/>
      <c r="U88" s="88"/>
      <c r="V88" s="89"/>
      <c r="W88" s="11"/>
      <c r="X88" s="90"/>
      <c r="Y88" s="91"/>
      <c r="Z88" s="92"/>
      <c r="AA88" s="92"/>
      <c r="AB88" s="92"/>
      <c r="AC88" s="92"/>
      <c r="AD88" s="92"/>
      <c r="AE88" s="11"/>
      <c r="AF88" s="50"/>
      <c r="AG88" s="50"/>
      <c r="AH88" s="50"/>
      <c r="AI88" s="50"/>
      <c r="AJ88" s="50"/>
    </row>
    <row r="89" ht="15.75" customHeight="1">
      <c r="A89" s="11"/>
      <c r="B89" s="11"/>
      <c r="C89" s="11"/>
      <c r="D89" s="11"/>
      <c r="E89" s="11"/>
      <c r="F89" s="11"/>
      <c r="G89" s="148"/>
      <c r="H89" s="149" t="s">
        <v>174</v>
      </c>
      <c r="I89" s="150">
        <f t="shared" ref="I89:J89" si="34">SUM(I5:I88)</f>
        <v>3868700</v>
      </c>
      <c r="J89" s="150">
        <f t="shared" si="34"/>
        <v>4714500</v>
      </c>
      <c r="K89" s="48"/>
      <c r="L89" s="48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50"/>
      <c r="AG89" s="50"/>
      <c r="AH89" s="50"/>
      <c r="AI89" s="50"/>
      <c r="AJ89" s="50"/>
    </row>
    <row r="90" ht="15.75" customHeight="1">
      <c r="A90" s="11"/>
      <c r="B90" s="11"/>
      <c r="C90" s="11"/>
      <c r="D90" s="11"/>
      <c r="E90" s="11"/>
      <c r="F90" s="11"/>
      <c r="G90" s="48"/>
      <c r="H90" s="151">
        <v>0.2</v>
      </c>
      <c r="I90" s="150">
        <f>I89/0.778</f>
        <v>4972622.108</v>
      </c>
      <c r="J90" s="150">
        <f>J89/0.801</f>
        <v>5885767.79</v>
      </c>
      <c r="K90" s="48"/>
      <c r="L90" s="48"/>
      <c r="M90" s="150">
        <f t="shared" ref="M90:N90" si="35">SUM(M5:M88)</f>
        <v>1308.423314</v>
      </c>
      <c r="N90" s="150">
        <f t="shared" si="35"/>
        <v>1548.588801</v>
      </c>
      <c r="O90" s="11"/>
      <c r="P90" s="48"/>
      <c r="Q90" s="48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50"/>
      <c r="AG90" s="50"/>
      <c r="AH90" s="50"/>
      <c r="AI90" s="50"/>
      <c r="AJ90" s="50"/>
    </row>
    <row r="91" ht="31.5" customHeight="1">
      <c r="A91" s="11"/>
      <c r="B91" s="11"/>
      <c r="C91" s="11"/>
      <c r="D91" s="11"/>
      <c r="E91" s="11"/>
      <c r="F91" s="11"/>
      <c r="G91" s="150" t="s">
        <v>175</v>
      </c>
      <c r="H91" s="152" t="s">
        <v>176</v>
      </c>
      <c r="I91" s="150">
        <f t="shared" ref="I91:J91" si="36">I90*4/1000</f>
        <v>19890.48843</v>
      </c>
      <c r="J91" s="150">
        <f t="shared" si="36"/>
        <v>23543.07116</v>
      </c>
      <c r="K91" s="48"/>
      <c r="L91" s="48"/>
      <c r="M91" s="150">
        <f t="shared" ref="M91:N91" si="37">I91/$H$93</f>
        <v>5.234339061</v>
      </c>
      <c r="N91" s="150">
        <f t="shared" si="37"/>
        <v>6.195545042</v>
      </c>
      <c r="O91" s="11"/>
      <c r="P91" s="48"/>
      <c r="Q91" s="48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50"/>
      <c r="AG91" s="50"/>
      <c r="AH91" s="50"/>
      <c r="AI91" s="50"/>
      <c r="AJ91" s="50"/>
    </row>
    <row r="92" ht="30.0" customHeight="1">
      <c r="A92" s="11"/>
      <c r="B92" s="11"/>
      <c r="C92" s="11"/>
      <c r="D92" s="11"/>
      <c r="E92" s="11"/>
      <c r="F92" s="11"/>
      <c r="G92" s="150" t="s">
        <v>175</v>
      </c>
      <c r="H92" s="153" t="s">
        <v>177</v>
      </c>
      <c r="I92" s="48"/>
      <c r="J92" s="48"/>
      <c r="K92" s="48"/>
      <c r="L92" s="48"/>
      <c r="M92" s="48"/>
      <c r="N92" s="48"/>
      <c r="O92" s="11"/>
      <c r="P92" s="48"/>
      <c r="Q92" s="48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50"/>
      <c r="AG92" s="50"/>
      <c r="AH92" s="50"/>
      <c r="AI92" s="50"/>
      <c r="AJ92" s="50"/>
    </row>
    <row r="93" ht="28.5" customHeight="1">
      <c r="A93" s="11"/>
      <c r="B93" s="11"/>
      <c r="C93" s="11"/>
      <c r="D93" s="11"/>
      <c r="E93" s="11"/>
      <c r="F93" s="11"/>
      <c r="G93" s="150" t="s">
        <v>178</v>
      </c>
      <c r="H93" s="152">
        <v>3800.0</v>
      </c>
      <c r="I93" s="154">
        <f t="shared" ref="I93:J93" si="38">SUM(I90:I92)</f>
        <v>4992512.596</v>
      </c>
      <c r="J93" s="154">
        <f t="shared" si="38"/>
        <v>5909310.861</v>
      </c>
      <c r="K93" s="48"/>
      <c r="L93" s="48"/>
      <c r="M93" s="154">
        <f t="shared" ref="M93:N93" si="39">SUM(M90:M92)</f>
        <v>1313.657653</v>
      </c>
      <c r="N93" s="154">
        <f t="shared" si="39"/>
        <v>1554.784346</v>
      </c>
      <c r="O93" s="11"/>
      <c r="P93" s="48"/>
      <c r="Q93" s="48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50"/>
      <c r="AG93" s="50"/>
      <c r="AH93" s="50"/>
      <c r="AI93" s="50"/>
      <c r="AJ93" s="50"/>
    </row>
    <row r="94" ht="25.5" customHeight="1">
      <c r="A94" s="11"/>
      <c r="B94" s="11"/>
      <c r="C94" s="11"/>
      <c r="D94" s="11"/>
      <c r="E94" s="11"/>
      <c r="F94" s="11"/>
      <c r="G94" s="48"/>
      <c r="H94" s="11"/>
      <c r="I94" s="155">
        <f t="shared" ref="I94:J94" si="40">I93/$H$93</f>
        <v>1313.819104</v>
      </c>
      <c r="J94" s="155">
        <f t="shared" si="40"/>
        <v>1555.081806</v>
      </c>
      <c r="K94" s="48"/>
      <c r="L94" s="48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50"/>
      <c r="AG94" s="50"/>
      <c r="AH94" s="50"/>
      <c r="AI94" s="50"/>
      <c r="AJ94" s="50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50"/>
      <c r="AG95" s="50"/>
      <c r="AH95" s="50"/>
      <c r="AI95" s="50"/>
      <c r="AJ95" s="50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50"/>
      <c r="AG96" s="50"/>
      <c r="AH96" s="50"/>
      <c r="AI96" s="50"/>
      <c r="AJ96" s="50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50"/>
      <c r="AG97" s="50"/>
      <c r="AH97" s="50"/>
      <c r="AI97" s="50"/>
      <c r="AJ97" s="50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50"/>
      <c r="AG98" s="50"/>
      <c r="AH98" s="50"/>
      <c r="AI98" s="50"/>
      <c r="AJ98" s="50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50"/>
      <c r="AG99" s="50"/>
      <c r="AH99" s="50"/>
      <c r="AI99" s="50"/>
      <c r="AJ99" s="50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50"/>
      <c r="AG100" s="50"/>
      <c r="AH100" s="50"/>
      <c r="AI100" s="50"/>
      <c r="AJ100" s="50"/>
    </row>
  </sheetData>
  <mergeCells count="1">
    <mergeCell ref="X3:AA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38"/>
    <col customWidth="1" min="2" max="2" width="12.75"/>
    <col customWidth="1" min="3" max="3" width="12.13"/>
    <col customWidth="1" min="4" max="4" width="8.25"/>
    <col customWidth="1" min="5" max="5" width="10.5"/>
    <col customWidth="1" min="6" max="6" width="45.13"/>
    <col customWidth="1" min="7" max="7" width="8.5"/>
    <col customWidth="1" min="8" max="8" width="11.38"/>
    <col customWidth="1" min="9" max="9" width="13.5"/>
    <col customWidth="1" min="10" max="11" width="12.25"/>
  </cols>
  <sheetData>
    <row r="1" ht="23.25" customHeight="1">
      <c r="A1" s="156"/>
      <c r="B1" s="157"/>
      <c r="C1" s="158"/>
      <c r="D1" s="156"/>
      <c r="E1" s="158"/>
      <c r="F1" s="156"/>
      <c r="G1" s="156"/>
      <c r="H1" s="156"/>
      <c r="I1" s="159"/>
      <c r="J1" s="156"/>
      <c r="K1" s="156"/>
    </row>
    <row r="2" ht="23.25" customHeight="1">
      <c r="A2" s="156"/>
      <c r="B2" s="157"/>
      <c r="C2" s="158"/>
      <c r="D2" s="156"/>
      <c r="E2" s="158"/>
      <c r="F2" s="156"/>
      <c r="G2" s="156"/>
      <c r="H2" s="156"/>
      <c r="I2" s="159"/>
      <c r="J2" s="156"/>
      <c r="K2" s="156"/>
    </row>
    <row r="3" ht="23.25" customHeight="1">
      <c r="A3" s="156"/>
      <c r="B3" s="157"/>
      <c r="C3" s="160" t="s">
        <v>179</v>
      </c>
      <c r="D3" s="161"/>
      <c r="E3" s="162"/>
      <c r="F3" s="161"/>
      <c r="G3" s="161"/>
      <c r="H3" s="161"/>
      <c r="I3" s="161"/>
      <c r="J3" s="156"/>
      <c r="K3" s="156"/>
    </row>
    <row r="4">
      <c r="A4" s="156"/>
      <c r="B4" s="157"/>
      <c r="C4" s="163" t="s">
        <v>180</v>
      </c>
      <c r="D4" s="164" t="s">
        <v>181</v>
      </c>
      <c r="E4" s="165" t="s">
        <v>182</v>
      </c>
      <c r="F4" s="164" t="s">
        <v>183</v>
      </c>
      <c r="G4" s="166" t="s">
        <v>184</v>
      </c>
      <c r="H4" s="166" t="s">
        <v>185</v>
      </c>
      <c r="I4" s="166" t="s">
        <v>186</v>
      </c>
      <c r="J4" s="156"/>
      <c r="K4" s="156"/>
    </row>
    <row r="5">
      <c r="A5" s="156"/>
      <c r="B5" s="157"/>
      <c r="C5" s="167"/>
      <c r="D5" s="168">
        <v>1.0</v>
      </c>
      <c r="E5" s="169">
        <v>45934.0</v>
      </c>
      <c r="F5" s="170" t="s">
        <v>187</v>
      </c>
      <c r="G5" s="171"/>
      <c r="H5" s="172"/>
      <c r="I5" s="172"/>
      <c r="J5" s="156"/>
      <c r="K5" s="156"/>
    </row>
    <row r="6">
      <c r="A6" s="156"/>
      <c r="B6" s="157"/>
      <c r="C6" s="173"/>
      <c r="D6" s="174"/>
      <c r="E6" s="173"/>
      <c r="F6" s="175" t="s">
        <v>188</v>
      </c>
      <c r="G6" s="176"/>
      <c r="H6" s="177"/>
      <c r="I6" s="177"/>
      <c r="J6" s="156"/>
      <c r="K6" s="156"/>
    </row>
    <row r="7">
      <c r="A7" s="156"/>
      <c r="B7" s="157"/>
      <c r="C7" s="173"/>
      <c r="D7" s="174"/>
      <c r="E7" s="173"/>
      <c r="F7" s="178" t="s">
        <v>189</v>
      </c>
      <c r="G7" s="176"/>
      <c r="H7" s="177"/>
      <c r="I7" s="177"/>
      <c r="J7" s="156"/>
      <c r="K7" s="156"/>
    </row>
    <row r="8">
      <c r="A8" s="156"/>
      <c r="B8" s="157"/>
      <c r="C8" s="173"/>
      <c r="D8" s="174"/>
      <c r="E8" s="173"/>
      <c r="F8" s="179" t="s">
        <v>190</v>
      </c>
      <c r="G8" s="174"/>
      <c r="H8" s="176"/>
      <c r="I8" s="176"/>
      <c r="J8" s="156"/>
      <c r="K8" s="156"/>
    </row>
    <row r="9">
      <c r="A9" s="156"/>
      <c r="B9" s="157"/>
      <c r="C9" s="167"/>
      <c r="D9" s="180">
        <v>2.0</v>
      </c>
      <c r="E9" s="169">
        <v>45935.0</v>
      </c>
      <c r="F9" s="170" t="s">
        <v>191</v>
      </c>
      <c r="G9" s="171"/>
      <c r="H9" s="172"/>
      <c r="I9" s="172"/>
      <c r="J9" s="156"/>
      <c r="K9" s="156"/>
    </row>
    <row r="10">
      <c r="A10" s="156"/>
      <c r="B10" s="157"/>
      <c r="C10" s="173"/>
      <c r="D10" s="173"/>
      <c r="E10" s="173"/>
      <c r="F10" s="181" t="s">
        <v>192</v>
      </c>
      <c r="G10" s="173"/>
      <c r="H10" s="173"/>
      <c r="I10" s="173"/>
      <c r="J10" s="156"/>
      <c r="K10" s="156"/>
    </row>
    <row r="11">
      <c r="A11" s="156"/>
      <c r="B11" s="157"/>
      <c r="C11" s="167"/>
      <c r="D11" s="180">
        <v>3.0</v>
      </c>
      <c r="E11" s="169">
        <v>45936.0</v>
      </c>
      <c r="F11" s="170" t="s">
        <v>193</v>
      </c>
      <c r="G11" s="171"/>
      <c r="H11" s="172"/>
      <c r="I11" s="172"/>
      <c r="J11" s="156"/>
      <c r="K11" s="156"/>
    </row>
    <row r="12">
      <c r="A12" s="156"/>
      <c r="B12" s="157"/>
      <c r="C12" s="173"/>
      <c r="D12" s="174"/>
      <c r="E12" s="173"/>
      <c r="F12" s="175" t="s">
        <v>194</v>
      </c>
      <c r="G12" s="174"/>
      <c r="H12" s="182"/>
      <c r="I12" s="182"/>
      <c r="J12" s="156"/>
      <c r="K12" s="156"/>
    </row>
    <row r="13">
      <c r="A13" s="156"/>
      <c r="B13" s="183" t="s">
        <v>195</v>
      </c>
      <c r="C13" s="184" t="s">
        <v>196</v>
      </c>
      <c r="D13" s="81" t="s">
        <v>51</v>
      </c>
      <c r="E13" s="184" t="s">
        <v>197</v>
      </c>
      <c r="F13" s="185" t="s">
        <v>198</v>
      </c>
      <c r="G13" s="186"/>
      <c r="H13" s="187"/>
      <c r="I13" s="182"/>
      <c r="J13" s="156"/>
      <c r="K13" s="156"/>
    </row>
    <row r="14">
      <c r="A14" s="156"/>
      <c r="B14" s="157"/>
      <c r="C14" s="173"/>
      <c r="D14" s="174"/>
      <c r="E14" s="184"/>
      <c r="F14" s="188" t="s">
        <v>199</v>
      </c>
      <c r="G14" s="186"/>
      <c r="H14" s="187"/>
      <c r="I14" s="182"/>
      <c r="J14" s="156"/>
      <c r="K14" s="156"/>
    </row>
    <row r="15">
      <c r="A15" s="156"/>
      <c r="B15" s="157"/>
      <c r="C15" s="173"/>
      <c r="D15" s="174"/>
      <c r="E15" s="184" t="s">
        <v>200</v>
      </c>
      <c r="F15" s="178" t="s">
        <v>201</v>
      </c>
      <c r="G15" s="189">
        <v>0.7</v>
      </c>
      <c r="H15" s="189">
        <v>1.0</v>
      </c>
      <c r="I15" s="182"/>
      <c r="J15" s="156"/>
      <c r="K15" s="156"/>
    </row>
    <row r="16">
      <c r="A16" s="156"/>
      <c r="B16" s="190" t="s">
        <v>202</v>
      </c>
      <c r="C16" s="30" t="s">
        <v>203</v>
      </c>
      <c r="D16" s="30" t="s">
        <v>120</v>
      </c>
      <c r="E16" s="184" t="s">
        <v>204</v>
      </c>
      <c r="F16" s="185" t="s">
        <v>152</v>
      </c>
      <c r="G16" s="186"/>
      <c r="H16" s="187"/>
      <c r="I16" s="182"/>
      <c r="J16" s="156"/>
      <c r="K16" s="156"/>
    </row>
    <row r="17">
      <c r="A17" s="156"/>
      <c r="B17" s="190" t="s">
        <v>202</v>
      </c>
      <c r="C17" s="30" t="s">
        <v>205</v>
      </c>
      <c r="D17" s="30" t="s">
        <v>120</v>
      </c>
      <c r="E17" s="184" t="s">
        <v>206</v>
      </c>
      <c r="F17" s="185" t="s">
        <v>207</v>
      </c>
      <c r="G17" s="186"/>
      <c r="H17" s="187"/>
      <c r="I17" s="182"/>
      <c r="J17" s="191" t="s">
        <v>208</v>
      </c>
      <c r="K17" s="156"/>
    </row>
    <row r="18">
      <c r="A18" s="156"/>
      <c r="B18" s="157"/>
      <c r="C18" s="173"/>
      <c r="D18" s="174"/>
      <c r="E18" s="173"/>
      <c r="F18" s="188" t="s">
        <v>209</v>
      </c>
      <c r="G18" s="186"/>
      <c r="H18" s="187"/>
      <c r="I18" s="182"/>
      <c r="J18" s="192" t="s">
        <v>210</v>
      </c>
      <c r="K18" s="156"/>
    </row>
    <row r="19">
      <c r="A19" s="156"/>
      <c r="B19" s="190" t="s">
        <v>202</v>
      </c>
      <c r="C19" s="184" t="s">
        <v>211</v>
      </c>
      <c r="D19" s="30" t="s">
        <v>120</v>
      </c>
      <c r="E19" s="184" t="s">
        <v>212</v>
      </c>
      <c r="F19" s="185" t="s">
        <v>213</v>
      </c>
      <c r="G19" s="186"/>
      <c r="H19" s="187"/>
      <c r="I19" s="182"/>
      <c r="J19" s="192" t="s">
        <v>214</v>
      </c>
      <c r="K19" s="156"/>
    </row>
    <row r="20">
      <c r="A20" s="156"/>
      <c r="B20" s="190" t="s">
        <v>202</v>
      </c>
      <c r="C20" s="184" t="s">
        <v>211</v>
      </c>
      <c r="D20" s="30" t="s">
        <v>120</v>
      </c>
      <c r="E20" s="173"/>
      <c r="F20" s="185" t="s">
        <v>215</v>
      </c>
      <c r="G20" s="186"/>
      <c r="H20" s="187"/>
      <c r="I20" s="182"/>
      <c r="J20" s="174"/>
      <c r="K20" s="156"/>
    </row>
    <row r="21">
      <c r="A21" s="156"/>
      <c r="B21" s="157"/>
      <c r="C21" s="173"/>
      <c r="D21" s="174"/>
      <c r="E21" s="184" t="s">
        <v>216</v>
      </c>
      <c r="F21" s="178" t="s">
        <v>217</v>
      </c>
      <c r="G21" s="186"/>
      <c r="H21" s="189">
        <v>1.0</v>
      </c>
      <c r="I21" s="182"/>
      <c r="J21" s="156"/>
      <c r="K21" s="156"/>
    </row>
    <row r="22">
      <c r="A22" s="156"/>
      <c r="B22" s="157"/>
      <c r="C22" s="167"/>
      <c r="D22" s="180">
        <v>4.0</v>
      </c>
      <c r="E22" s="169">
        <v>45937.0</v>
      </c>
      <c r="F22" s="170" t="s">
        <v>218</v>
      </c>
      <c r="G22" s="171"/>
      <c r="H22" s="172"/>
      <c r="I22" s="172"/>
      <c r="J22" s="156"/>
      <c r="K22" s="156"/>
    </row>
    <row r="23">
      <c r="A23" s="156"/>
      <c r="B23" s="157"/>
      <c r="C23" s="173"/>
      <c r="D23" s="191"/>
      <c r="E23" s="173"/>
      <c r="F23" s="175" t="s">
        <v>194</v>
      </c>
      <c r="G23" s="174"/>
      <c r="H23" s="174"/>
      <c r="I23" s="193"/>
      <c r="J23" s="156"/>
      <c r="K23" s="156"/>
    </row>
    <row r="24">
      <c r="A24" s="156"/>
      <c r="B24" s="157"/>
      <c r="C24" s="184"/>
      <c r="D24" s="191"/>
      <c r="E24" s="184" t="s">
        <v>219</v>
      </c>
      <c r="F24" s="178" t="s">
        <v>201</v>
      </c>
      <c r="G24" s="189">
        <v>1.0</v>
      </c>
      <c r="H24" s="189">
        <v>1.0</v>
      </c>
      <c r="I24" s="193"/>
      <c r="J24" s="156"/>
      <c r="K24" s="156"/>
    </row>
    <row r="25">
      <c r="A25" s="156"/>
      <c r="B25" s="190" t="s">
        <v>220</v>
      </c>
      <c r="C25" s="194" t="s">
        <v>83</v>
      </c>
      <c r="D25" s="81" t="s">
        <v>51</v>
      </c>
      <c r="E25" s="184" t="s">
        <v>221</v>
      </c>
      <c r="F25" s="195" t="s">
        <v>122</v>
      </c>
      <c r="G25" s="174"/>
      <c r="H25" s="176"/>
      <c r="I25" s="182"/>
      <c r="J25" s="156"/>
      <c r="K25" s="156"/>
    </row>
    <row r="26">
      <c r="A26" s="156"/>
      <c r="B26" s="190" t="s">
        <v>220</v>
      </c>
      <c r="C26" s="194" t="s">
        <v>83</v>
      </c>
      <c r="D26" s="30" t="s">
        <v>120</v>
      </c>
      <c r="E26" s="173"/>
      <c r="F26" s="185" t="s">
        <v>121</v>
      </c>
      <c r="G26" s="174"/>
      <c r="H26" s="176"/>
      <c r="I26" s="182"/>
      <c r="J26" s="156"/>
      <c r="K26" s="156"/>
    </row>
    <row r="27">
      <c r="A27" s="156"/>
      <c r="B27" s="190" t="s">
        <v>220</v>
      </c>
      <c r="C27" s="194" t="s">
        <v>83</v>
      </c>
      <c r="D27" s="18" t="s">
        <v>51</v>
      </c>
      <c r="E27" s="184" t="s">
        <v>222</v>
      </c>
      <c r="F27" s="185" t="s">
        <v>223</v>
      </c>
      <c r="G27" s="174"/>
      <c r="H27" s="176"/>
      <c r="I27" s="182"/>
      <c r="J27" s="156"/>
      <c r="K27" s="156"/>
    </row>
    <row r="28">
      <c r="A28" s="156"/>
      <c r="B28" s="190" t="s">
        <v>220</v>
      </c>
      <c r="C28" s="194" t="s">
        <v>83</v>
      </c>
      <c r="D28" s="18" t="s">
        <v>51</v>
      </c>
      <c r="E28" s="196"/>
      <c r="F28" s="185" t="s">
        <v>137</v>
      </c>
      <c r="G28" s="174"/>
      <c r="H28" s="176"/>
      <c r="I28" s="182"/>
      <c r="J28" s="156"/>
      <c r="K28" s="156"/>
    </row>
    <row r="29">
      <c r="A29" s="156"/>
      <c r="B29" s="190" t="s">
        <v>220</v>
      </c>
      <c r="C29" s="194" t="s">
        <v>83</v>
      </c>
      <c r="D29" s="30" t="s">
        <v>117</v>
      </c>
      <c r="E29" s="184" t="s">
        <v>224</v>
      </c>
      <c r="F29" s="195" t="s">
        <v>119</v>
      </c>
      <c r="G29" s="174"/>
      <c r="H29" s="176"/>
      <c r="I29" s="182"/>
      <c r="J29" s="156"/>
      <c r="K29" s="156"/>
    </row>
    <row r="30">
      <c r="A30" s="156"/>
      <c r="B30" s="190" t="s">
        <v>220</v>
      </c>
      <c r="C30" s="194" t="s">
        <v>83</v>
      </c>
      <c r="D30" s="30" t="s">
        <v>117</v>
      </c>
      <c r="E30" s="173"/>
      <c r="F30" s="195" t="s">
        <v>118</v>
      </c>
      <c r="G30" s="174"/>
      <c r="H30" s="176"/>
      <c r="I30" s="182"/>
      <c r="J30" s="156"/>
      <c r="K30" s="156"/>
    </row>
    <row r="31">
      <c r="A31" s="156"/>
      <c r="B31" s="190" t="s">
        <v>220</v>
      </c>
      <c r="C31" s="194" t="s">
        <v>83</v>
      </c>
      <c r="D31" s="30" t="s">
        <v>117</v>
      </c>
      <c r="E31" s="184" t="s">
        <v>225</v>
      </c>
      <c r="F31" s="185" t="s">
        <v>155</v>
      </c>
      <c r="G31" s="174"/>
      <c r="H31" s="176"/>
      <c r="I31" s="182"/>
      <c r="J31" s="156"/>
      <c r="K31" s="156"/>
    </row>
    <row r="32">
      <c r="A32" s="156"/>
      <c r="B32" s="190" t="s">
        <v>220</v>
      </c>
      <c r="C32" s="194" t="s">
        <v>83</v>
      </c>
      <c r="D32" s="18" t="s">
        <v>51</v>
      </c>
      <c r="E32" s="184" t="s">
        <v>226</v>
      </c>
      <c r="F32" s="195" t="s">
        <v>123</v>
      </c>
      <c r="G32" s="174"/>
      <c r="H32" s="176"/>
      <c r="I32" s="182"/>
      <c r="J32" s="156"/>
      <c r="K32" s="156"/>
    </row>
    <row r="33">
      <c r="A33" s="156"/>
      <c r="B33" s="190" t="s">
        <v>220</v>
      </c>
      <c r="C33" s="194" t="s">
        <v>83</v>
      </c>
      <c r="D33" s="30" t="s">
        <v>117</v>
      </c>
      <c r="E33" s="173"/>
      <c r="F33" s="185" t="s">
        <v>227</v>
      </c>
      <c r="G33" s="174"/>
      <c r="H33" s="176"/>
      <c r="I33" s="182"/>
      <c r="J33" s="156"/>
      <c r="K33" s="156"/>
    </row>
    <row r="34">
      <c r="A34" s="156"/>
      <c r="B34" s="190" t="s">
        <v>220</v>
      </c>
      <c r="C34" s="194" t="s">
        <v>83</v>
      </c>
      <c r="D34" s="30" t="s">
        <v>117</v>
      </c>
      <c r="E34" s="173"/>
      <c r="F34" s="185" t="s">
        <v>228</v>
      </c>
      <c r="G34" s="174"/>
      <c r="H34" s="176"/>
      <c r="I34" s="182"/>
      <c r="J34" s="156"/>
      <c r="K34" s="156"/>
    </row>
    <row r="35">
      <c r="A35" s="156"/>
      <c r="B35" s="157"/>
      <c r="C35" s="173"/>
      <c r="D35" s="174"/>
      <c r="E35" s="184" t="s">
        <v>200</v>
      </c>
      <c r="F35" s="188" t="s">
        <v>229</v>
      </c>
      <c r="G35" s="193"/>
      <c r="H35" s="186"/>
      <c r="I35" s="193"/>
      <c r="J35" s="156"/>
      <c r="K35" s="156"/>
    </row>
    <row r="36">
      <c r="A36" s="156"/>
      <c r="B36" s="157"/>
      <c r="C36" s="173"/>
      <c r="D36" s="174"/>
      <c r="E36" s="184" t="s">
        <v>204</v>
      </c>
      <c r="F36" s="197" t="s">
        <v>230</v>
      </c>
      <c r="G36" s="193"/>
      <c r="H36" s="189">
        <v>1.0</v>
      </c>
      <c r="I36" s="193"/>
      <c r="J36" s="156"/>
      <c r="K36" s="156"/>
    </row>
    <row r="37">
      <c r="A37" s="156"/>
      <c r="B37" s="190" t="s">
        <v>231</v>
      </c>
      <c r="C37" s="194" t="s">
        <v>157</v>
      </c>
      <c r="D37" s="30" t="s">
        <v>120</v>
      </c>
      <c r="E37" s="184" t="s">
        <v>232</v>
      </c>
      <c r="F37" s="185" t="s">
        <v>156</v>
      </c>
      <c r="G37" s="193"/>
      <c r="H37" s="174"/>
      <c r="I37" s="193"/>
      <c r="J37" s="156"/>
      <c r="K37" s="156"/>
    </row>
    <row r="38">
      <c r="A38" s="156"/>
      <c r="B38" s="157"/>
      <c r="C38" s="173"/>
      <c r="D38" s="30"/>
      <c r="E38" s="184" t="s">
        <v>233</v>
      </c>
      <c r="F38" s="197" t="s">
        <v>234</v>
      </c>
      <c r="G38" s="193"/>
      <c r="H38" s="189">
        <v>1.0</v>
      </c>
      <c r="I38" s="193"/>
      <c r="J38" s="156"/>
      <c r="K38" s="156"/>
    </row>
    <row r="39">
      <c r="A39" s="156"/>
      <c r="B39" s="157"/>
      <c r="C39" s="173"/>
      <c r="D39" s="174"/>
      <c r="E39" s="173"/>
      <c r="F39" s="198" t="s">
        <v>235</v>
      </c>
      <c r="G39" s="174"/>
      <c r="H39" s="174"/>
      <c r="I39" s="193"/>
      <c r="J39" s="156"/>
      <c r="K39" s="156"/>
    </row>
    <row r="40">
      <c r="A40" s="156"/>
      <c r="B40" s="157"/>
      <c r="C40" s="167"/>
      <c r="D40" s="180">
        <v>5.0</v>
      </c>
      <c r="E40" s="169">
        <v>45938.0</v>
      </c>
      <c r="F40" s="170" t="s">
        <v>236</v>
      </c>
      <c r="G40" s="171"/>
      <c r="H40" s="172"/>
      <c r="I40" s="172"/>
      <c r="J40" s="156"/>
      <c r="K40" s="156"/>
    </row>
    <row r="41">
      <c r="A41" s="156"/>
      <c r="B41" s="157"/>
      <c r="C41" s="173"/>
      <c r="D41" s="191"/>
      <c r="E41" s="173"/>
      <c r="F41" s="199" t="s">
        <v>237</v>
      </c>
      <c r="G41" s="174"/>
      <c r="H41" s="173"/>
      <c r="I41" s="173"/>
      <c r="J41" s="156"/>
      <c r="K41" s="156"/>
    </row>
    <row r="42">
      <c r="A42" s="156"/>
      <c r="B42" s="157"/>
      <c r="C42" s="173"/>
      <c r="D42" s="173"/>
      <c r="E42" s="184" t="s">
        <v>238</v>
      </c>
      <c r="F42" s="178" t="s">
        <v>201</v>
      </c>
      <c r="G42" s="189">
        <v>1.0</v>
      </c>
      <c r="H42" s="173"/>
      <c r="I42" s="189">
        <v>1.0</v>
      </c>
      <c r="J42" s="156"/>
      <c r="K42" s="156"/>
    </row>
    <row r="43">
      <c r="A43" s="156"/>
      <c r="B43" s="190" t="s">
        <v>239</v>
      </c>
      <c r="C43" s="200" t="s">
        <v>240</v>
      </c>
      <c r="D43" s="30" t="s">
        <v>120</v>
      </c>
      <c r="E43" s="184" t="s">
        <v>200</v>
      </c>
      <c r="F43" s="185" t="s">
        <v>241</v>
      </c>
      <c r="G43" s="173"/>
      <c r="H43" s="173"/>
      <c r="I43" s="173"/>
      <c r="J43" s="156"/>
      <c r="K43" s="156"/>
    </row>
    <row r="44">
      <c r="A44" s="156"/>
      <c r="B44" s="190" t="s">
        <v>239</v>
      </c>
      <c r="C44" s="200" t="s">
        <v>240</v>
      </c>
      <c r="D44" s="30" t="s">
        <v>120</v>
      </c>
      <c r="E44" s="173"/>
      <c r="F44" s="185" t="s">
        <v>242</v>
      </c>
      <c r="G44" s="173"/>
      <c r="H44" s="173"/>
      <c r="I44" s="173"/>
      <c r="J44" s="156"/>
      <c r="K44" s="156"/>
    </row>
    <row r="45">
      <c r="A45" s="156"/>
      <c r="B45" s="190" t="s">
        <v>239</v>
      </c>
      <c r="C45" s="200" t="s">
        <v>240</v>
      </c>
      <c r="D45" s="30" t="s">
        <v>120</v>
      </c>
      <c r="E45" s="173"/>
      <c r="F45" s="185" t="s">
        <v>243</v>
      </c>
      <c r="G45" s="173"/>
      <c r="H45" s="173"/>
      <c r="I45" s="173"/>
      <c r="J45" s="156"/>
      <c r="K45" s="156"/>
    </row>
    <row r="46">
      <c r="A46" s="156"/>
      <c r="B46" s="157"/>
      <c r="C46" s="173"/>
      <c r="D46" s="173"/>
      <c r="E46" s="184" t="s">
        <v>244</v>
      </c>
      <c r="F46" s="188" t="s">
        <v>209</v>
      </c>
      <c r="G46" s="173"/>
      <c r="H46" s="173"/>
      <c r="I46" s="173"/>
      <c r="J46" s="156"/>
      <c r="K46" s="156"/>
    </row>
    <row r="47">
      <c r="A47" s="156"/>
      <c r="B47" s="157"/>
      <c r="C47" s="173"/>
      <c r="D47" s="173"/>
      <c r="E47" s="173"/>
      <c r="F47" s="201" t="s">
        <v>245</v>
      </c>
      <c r="G47" s="173"/>
      <c r="H47" s="173"/>
      <c r="I47" s="173"/>
      <c r="J47" s="156"/>
      <c r="K47" s="156"/>
    </row>
    <row r="48">
      <c r="A48" s="156"/>
      <c r="B48" s="157"/>
      <c r="C48" s="173"/>
      <c r="D48" s="173"/>
      <c r="E48" s="184"/>
      <c r="F48" s="197" t="s">
        <v>234</v>
      </c>
      <c r="G48" s="173"/>
      <c r="H48" s="173"/>
      <c r="I48" s="189">
        <v>1.0</v>
      </c>
      <c r="J48" s="156"/>
      <c r="K48" s="156"/>
    </row>
    <row r="49">
      <c r="A49" s="156"/>
      <c r="B49" s="157"/>
      <c r="C49" s="173"/>
      <c r="D49" s="173"/>
      <c r="E49" s="173"/>
      <c r="F49" s="198" t="s">
        <v>235</v>
      </c>
      <c r="G49" s="173"/>
      <c r="H49" s="173"/>
      <c r="I49" s="173"/>
      <c r="J49" s="156"/>
      <c r="K49" s="156"/>
    </row>
    <row r="50">
      <c r="A50" s="156"/>
      <c r="B50" s="157"/>
      <c r="C50" s="167"/>
      <c r="D50" s="180">
        <v>6.0</v>
      </c>
      <c r="E50" s="169">
        <v>45939.0</v>
      </c>
      <c r="F50" s="170" t="s">
        <v>246</v>
      </c>
      <c r="G50" s="171"/>
      <c r="H50" s="172"/>
      <c r="I50" s="172"/>
      <c r="J50" s="156"/>
      <c r="K50" s="156"/>
    </row>
    <row r="51">
      <c r="A51" s="156"/>
      <c r="B51" s="157"/>
      <c r="C51" s="173"/>
      <c r="D51" s="173"/>
      <c r="E51" s="173"/>
      <c r="F51" s="199" t="s">
        <v>237</v>
      </c>
      <c r="G51" s="173"/>
      <c r="H51" s="127"/>
      <c r="I51" s="127"/>
      <c r="J51" s="156"/>
      <c r="K51" s="156"/>
    </row>
    <row r="52">
      <c r="A52" s="156"/>
      <c r="B52" s="157"/>
      <c r="C52" s="173"/>
      <c r="D52" s="173"/>
      <c r="E52" s="184"/>
      <c r="F52" s="178" t="s">
        <v>201</v>
      </c>
      <c r="G52" s="184">
        <v>0.5</v>
      </c>
      <c r="H52" s="127"/>
      <c r="I52" s="189">
        <v>1.0</v>
      </c>
      <c r="J52" s="156"/>
      <c r="K52" s="156"/>
    </row>
    <row r="53">
      <c r="A53" s="156"/>
      <c r="B53" s="190" t="s">
        <v>247</v>
      </c>
      <c r="C53" s="200" t="s">
        <v>125</v>
      </c>
      <c r="D53" s="18" t="s">
        <v>51</v>
      </c>
      <c r="E53" s="184" t="s">
        <v>224</v>
      </c>
      <c r="F53" s="185" t="s">
        <v>248</v>
      </c>
      <c r="G53" s="173"/>
      <c r="H53" s="127"/>
      <c r="I53" s="127"/>
      <c r="J53" s="156"/>
      <c r="K53" s="156"/>
    </row>
    <row r="54">
      <c r="A54" s="156"/>
      <c r="B54" s="190" t="s">
        <v>247</v>
      </c>
      <c r="C54" s="200" t="s">
        <v>125</v>
      </c>
      <c r="D54" s="30" t="s">
        <v>117</v>
      </c>
      <c r="E54" s="184" t="s">
        <v>200</v>
      </c>
      <c r="F54" s="185" t="s">
        <v>249</v>
      </c>
      <c r="G54" s="173"/>
      <c r="H54" s="127"/>
      <c r="I54" s="127"/>
      <c r="J54" s="156"/>
      <c r="K54" s="156"/>
    </row>
    <row r="55">
      <c r="A55" s="156"/>
      <c r="B55" s="190" t="s">
        <v>247</v>
      </c>
      <c r="C55" s="200" t="s">
        <v>125</v>
      </c>
      <c r="D55" s="30" t="s">
        <v>120</v>
      </c>
      <c r="E55" s="184" t="s">
        <v>206</v>
      </c>
      <c r="F55" s="185" t="s">
        <v>250</v>
      </c>
      <c r="G55" s="173"/>
      <c r="H55" s="127"/>
      <c r="I55" s="127"/>
      <c r="J55" s="156"/>
      <c r="K55" s="156"/>
    </row>
    <row r="56">
      <c r="A56" s="156"/>
      <c r="B56" s="157"/>
      <c r="C56" s="173"/>
      <c r="D56" s="173"/>
      <c r="E56" s="173"/>
      <c r="F56" s="197" t="s">
        <v>234</v>
      </c>
      <c r="G56" s="173"/>
      <c r="H56" s="127"/>
      <c r="I56" s="189">
        <v>1.0</v>
      </c>
      <c r="J56" s="156"/>
      <c r="K56" s="156"/>
    </row>
    <row r="57">
      <c r="A57" s="156"/>
      <c r="B57" s="157"/>
      <c r="C57" s="173"/>
      <c r="D57" s="173"/>
      <c r="E57" s="173"/>
      <c r="F57" s="198" t="s">
        <v>235</v>
      </c>
      <c r="G57" s="173"/>
      <c r="H57" s="127"/>
      <c r="I57" s="127"/>
      <c r="J57" s="156"/>
      <c r="K57" s="156"/>
    </row>
    <row r="58">
      <c r="A58" s="156"/>
      <c r="B58" s="157"/>
      <c r="C58" s="167"/>
      <c r="D58" s="180">
        <v>7.0</v>
      </c>
      <c r="E58" s="169">
        <v>45940.0</v>
      </c>
      <c r="F58" s="170" t="s">
        <v>251</v>
      </c>
      <c r="G58" s="171"/>
      <c r="H58" s="172"/>
      <c r="I58" s="172"/>
      <c r="J58" s="156"/>
      <c r="K58" s="156"/>
    </row>
    <row r="59">
      <c r="A59" s="156"/>
      <c r="B59" s="157"/>
      <c r="C59" s="173"/>
      <c r="D59" s="173"/>
      <c r="E59" s="173"/>
      <c r="F59" s="198" t="s">
        <v>192</v>
      </c>
      <c r="G59" s="173"/>
      <c r="H59" s="127"/>
      <c r="I59" s="127"/>
      <c r="J59" s="156"/>
      <c r="K59" s="156"/>
    </row>
    <row r="60">
      <c r="A60" s="156"/>
      <c r="B60" s="157"/>
      <c r="C60" s="167"/>
      <c r="D60" s="180">
        <v>8.0</v>
      </c>
      <c r="E60" s="169">
        <v>45941.0</v>
      </c>
      <c r="F60" s="170" t="s">
        <v>252</v>
      </c>
      <c r="G60" s="171"/>
      <c r="H60" s="172"/>
      <c r="I60" s="172"/>
      <c r="J60" s="156"/>
      <c r="K60" s="156"/>
    </row>
    <row r="61">
      <c r="A61" s="156"/>
      <c r="B61" s="157"/>
      <c r="C61" s="173"/>
      <c r="D61" s="174"/>
      <c r="E61" s="173"/>
      <c r="F61" s="199" t="s">
        <v>237</v>
      </c>
      <c r="G61" s="174"/>
      <c r="H61" s="174"/>
      <c r="I61" s="174"/>
      <c r="J61" s="156"/>
      <c r="K61" s="156"/>
    </row>
    <row r="62">
      <c r="A62" s="156"/>
      <c r="B62" s="157"/>
      <c r="C62" s="173"/>
      <c r="D62" s="174"/>
      <c r="E62" s="173"/>
      <c r="F62" s="178" t="s">
        <v>253</v>
      </c>
      <c r="G62" s="174"/>
      <c r="H62" s="174"/>
      <c r="I62" s="174"/>
      <c r="J62" s="156"/>
      <c r="K62" s="156"/>
    </row>
    <row r="63">
      <c r="A63" s="156"/>
      <c r="B63" s="157"/>
      <c r="C63" s="173"/>
      <c r="D63" s="174"/>
      <c r="E63" s="173"/>
      <c r="F63" s="199" t="s">
        <v>254</v>
      </c>
      <c r="G63" s="174"/>
      <c r="H63" s="174"/>
      <c r="I63" s="174"/>
      <c r="J63" s="156"/>
      <c r="K63" s="156"/>
    </row>
    <row r="64">
      <c r="A64" s="156"/>
      <c r="B64" s="157"/>
      <c r="C64" s="158"/>
      <c r="D64" s="202"/>
      <c r="E64" s="158"/>
      <c r="F64" s="156"/>
      <c r="G64" s="203">
        <f t="shared" ref="G64:I64" si="1">SUM(G5:G63)</f>
        <v>3.2</v>
      </c>
      <c r="H64" s="203">
        <f t="shared" si="1"/>
        <v>5</v>
      </c>
      <c r="I64" s="203">
        <f t="shared" si="1"/>
        <v>4</v>
      </c>
      <c r="J64" s="156"/>
      <c r="K64" s="156"/>
    </row>
    <row r="65">
      <c r="A65" s="156"/>
      <c r="B65" s="157"/>
      <c r="C65" s="158"/>
      <c r="D65" s="202"/>
      <c r="E65" s="158"/>
      <c r="F65" s="156"/>
      <c r="G65" s="156"/>
      <c r="H65" s="156"/>
      <c r="I65" s="156"/>
      <c r="J65" s="156"/>
      <c r="K65" s="156"/>
    </row>
    <row r="66">
      <c r="A66" s="156"/>
      <c r="B66" s="157"/>
      <c r="C66" s="158"/>
      <c r="D66" s="202"/>
      <c r="E66" s="158"/>
      <c r="F66" s="156"/>
      <c r="G66" s="156"/>
      <c r="H66" s="156"/>
      <c r="I66" s="156"/>
      <c r="J66" s="156"/>
      <c r="K66" s="15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3.0"/>
    <col customWidth="1" min="11" max="11" width="0.38"/>
    <col customWidth="1" min="13" max="13" width="4.88"/>
    <col customWidth="1" min="15" max="15" width="14.75"/>
    <col customWidth="1" min="16" max="16" width="7.5"/>
  </cols>
  <sheetData>
    <row r="1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5"/>
      <c r="N1" s="206" t="s">
        <v>255</v>
      </c>
      <c r="O1" s="205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N2" s="207">
        <f>2872668/8</f>
        <v>359083.5</v>
      </c>
      <c r="O2" s="208" t="s">
        <v>256</v>
      </c>
      <c r="Q2" s="204"/>
      <c r="R2" s="204"/>
      <c r="S2" s="204"/>
      <c r="T2" s="204"/>
      <c r="U2" s="204"/>
      <c r="V2" s="204"/>
      <c r="W2" s="204"/>
      <c r="X2" s="204"/>
      <c r="Y2" s="204"/>
      <c r="Z2" s="204"/>
    </row>
    <row r="3">
      <c r="A3" s="204"/>
      <c r="B3" s="204"/>
      <c r="C3" s="204"/>
      <c r="D3" s="204"/>
      <c r="E3" s="204"/>
      <c r="F3" s="204"/>
      <c r="G3" s="204"/>
      <c r="H3" s="204"/>
      <c r="I3" s="204"/>
      <c r="J3" s="204"/>
      <c r="K3" s="204"/>
      <c r="Q3" s="204"/>
      <c r="R3" s="204"/>
      <c r="S3" s="204"/>
      <c r="T3" s="204"/>
      <c r="U3" s="204"/>
      <c r="V3" s="204"/>
      <c r="W3" s="204"/>
      <c r="X3" s="204"/>
      <c r="Y3" s="204"/>
      <c r="Z3" s="204"/>
    </row>
    <row r="4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  <c r="Q4" s="204"/>
      <c r="R4" s="204"/>
      <c r="S4" s="204"/>
      <c r="T4" s="204"/>
      <c r="U4" s="204"/>
      <c r="V4" s="204"/>
      <c r="W4" s="204"/>
      <c r="X4" s="204"/>
      <c r="Y4" s="204"/>
      <c r="Z4" s="204"/>
    </row>
    <row r="5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Q5" s="204"/>
      <c r="R5" s="204"/>
      <c r="S5" s="204"/>
      <c r="T5" s="204"/>
      <c r="U5" s="204"/>
      <c r="V5" s="204"/>
      <c r="W5" s="204"/>
      <c r="X5" s="204"/>
      <c r="Y5" s="204"/>
      <c r="Z5" s="204"/>
    </row>
    <row r="6">
      <c r="A6" s="204"/>
      <c r="B6" s="204"/>
      <c r="C6" s="204"/>
      <c r="D6" s="204"/>
      <c r="E6" s="204"/>
      <c r="F6" s="204"/>
      <c r="G6" s="204"/>
      <c r="H6" s="204"/>
      <c r="I6" s="204"/>
      <c r="J6" s="204"/>
      <c r="K6" s="204"/>
      <c r="Q6" s="204"/>
      <c r="R6" s="204"/>
      <c r="S6" s="204"/>
      <c r="T6" s="204"/>
      <c r="U6" s="204"/>
      <c r="V6" s="204"/>
      <c r="W6" s="204"/>
      <c r="X6" s="204"/>
      <c r="Y6" s="204"/>
      <c r="Z6" s="204"/>
    </row>
    <row r="7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5"/>
      <c r="N7" s="204"/>
      <c r="O7" s="205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>
      <c r="A8" s="204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5"/>
      <c r="N8" s="204"/>
      <c r="O8" s="205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</row>
    <row r="9">
      <c r="A9" s="204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5"/>
      <c r="N9" s="204"/>
      <c r="O9" s="205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</row>
    <row r="10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5"/>
      <c r="N10" s="204"/>
      <c r="O10" s="205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</row>
    <row r="11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5"/>
      <c r="N11" s="204"/>
      <c r="O11" s="205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5"/>
      <c r="N12" s="204"/>
      <c r="O12" s="205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</row>
    <row r="13">
      <c r="A13" s="204"/>
      <c r="B13" s="204"/>
      <c r="C13" s="208" t="s">
        <v>257</v>
      </c>
      <c r="D13" s="205"/>
      <c r="E13" s="204"/>
      <c r="F13" s="208" t="s">
        <v>258</v>
      </c>
      <c r="G13" s="204"/>
      <c r="H13" s="204"/>
      <c r="I13" s="204"/>
      <c r="J13" s="204"/>
      <c r="K13" s="204"/>
      <c r="L13" s="204"/>
      <c r="M13" s="205"/>
      <c r="N13" s="204"/>
      <c r="O13" s="205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</row>
    <row r="14">
      <c r="A14" s="204"/>
      <c r="B14" s="204"/>
      <c r="C14" s="209">
        <v>400000.0</v>
      </c>
      <c r="D14" s="208">
        <v>6.0</v>
      </c>
      <c r="E14" s="210">
        <f t="shared" ref="E14:E15" si="1">C14*D14</f>
        <v>2400000</v>
      </c>
      <c r="F14" s="208" t="s">
        <v>259</v>
      </c>
      <c r="G14" s="209">
        <f t="shared" ref="G14:G15" si="2">E14/4000</f>
        <v>600</v>
      </c>
      <c r="H14" s="204"/>
      <c r="I14" s="204"/>
      <c r="J14" s="204"/>
      <c r="K14" s="204"/>
      <c r="L14" s="204"/>
      <c r="M14" s="205"/>
      <c r="N14" s="204"/>
      <c r="O14" s="205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</row>
    <row r="15">
      <c r="A15" s="204"/>
      <c r="B15" s="204"/>
      <c r="C15" s="209">
        <v>490000.0</v>
      </c>
      <c r="D15" s="208">
        <v>2.0</v>
      </c>
      <c r="E15" s="210">
        <f t="shared" si="1"/>
        <v>980000</v>
      </c>
      <c r="F15" s="208" t="s">
        <v>260</v>
      </c>
      <c r="G15" s="209">
        <f t="shared" si="2"/>
        <v>245</v>
      </c>
      <c r="H15" s="204"/>
      <c r="I15" s="204"/>
      <c r="J15" s="204"/>
      <c r="K15" s="204"/>
      <c r="L15" s="204"/>
      <c r="M15" s="205"/>
      <c r="N15" s="204"/>
      <c r="O15" s="205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</row>
    <row r="16">
      <c r="A16" s="204"/>
      <c r="B16" s="204"/>
      <c r="C16" s="211" t="s">
        <v>261</v>
      </c>
      <c r="D16" s="212"/>
      <c r="E16" s="213">
        <f>SUM(E14:E15)</f>
        <v>3380000</v>
      </c>
      <c r="F16" s="214" t="s">
        <v>262</v>
      </c>
      <c r="G16" s="215">
        <f>SUM(G14:G15)</f>
        <v>845</v>
      </c>
      <c r="H16" s="210">
        <f>G16/8</f>
        <v>105.625</v>
      </c>
      <c r="I16" s="204"/>
      <c r="J16" s="204"/>
      <c r="K16" s="204"/>
      <c r="L16" s="204"/>
      <c r="M16" s="205"/>
      <c r="N16" s="204"/>
      <c r="O16" s="205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>
      <c r="A17" s="204"/>
      <c r="B17" s="204"/>
      <c r="C17" s="204"/>
      <c r="D17" s="205"/>
      <c r="E17" s="204"/>
      <c r="F17" s="208" t="s">
        <v>263</v>
      </c>
      <c r="G17" s="204"/>
      <c r="H17" s="204"/>
      <c r="I17" s="204"/>
      <c r="J17" s="204"/>
      <c r="K17" s="204"/>
      <c r="L17" s="204"/>
      <c r="M17" s="205"/>
      <c r="N17" s="204"/>
      <c r="O17" s="205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</row>
    <row r="18">
      <c r="A18" s="20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5"/>
      <c r="N18" s="204"/>
      <c r="O18" s="205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</row>
    <row r="19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5"/>
      <c r="N19" s="204"/>
      <c r="O19" s="205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</row>
    <row r="20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5"/>
      <c r="N20" s="204"/>
      <c r="O20" s="205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</row>
    <row r="2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5"/>
      <c r="N21" s="204"/>
      <c r="O21" s="205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</row>
    <row r="22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5"/>
      <c r="N22" s="204"/>
      <c r="O22" s="205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</row>
    <row r="23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5"/>
      <c r="N23" s="204"/>
      <c r="O23" s="205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5"/>
      <c r="N24" s="204"/>
      <c r="O24" s="205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</row>
    <row r="25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5"/>
      <c r="N25" s="204"/>
      <c r="O25" s="205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</row>
    <row r="26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5"/>
      <c r="N26" s="204"/>
      <c r="O26" s="205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</row>
    <row r="27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5"/>
      <c r="N27" s="204"/>
      <c r="O27" s="205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</row>
    <row r="28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5"/>
      <c r="N28" s="204"/>
      <c r="O28" s="205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</row>
    <row r="29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5"/>
      <c r="N29" s="204"/>
      <c r="O29" s="205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</row>
    <row r="30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5"/>
      <c r="N30" s="204"/>
      <c r="O30" s="205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</row>
    <row r="31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5"/>
      <c r="N31" s="204"/>
      <c r="O31" s="205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</row>
    <row r="32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5"/>
      <c r="N32" s="204"/>
      <c r="O32" s="205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</row>
    <row r="33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5"/>
      <c r="N33" s="204"/>
      <c r="O33" s="205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</row>
    <row r="34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5"/>
      <c r="N34" s="204"/>
      <c r="O34" s="205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</row>
    <row r="35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5"/>
      <c r="N35" s="204"/>
      <c r="O35" s="205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</row>
    <row r="36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5"/>
      <c r="N36" s="204"/>
      <c r="O36" s="205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</row>
    <row r="37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5"/>
      <c r="N37" s="204"/>
      <c r="O37" s="205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</row>
    <row r="38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5"/>
      <c r="N38" s="204"/>
      <c r="O38" s="205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</row>
    <row r="39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5"/>
      <c r="N39" s="204"/>
      <c r="O39" s="205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</row>
    <row r="40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5"/>
      <c r="N40" s="204"/>
      <c r="O40" s="205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</row>
    <row r="41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5"/>
      <c r="N41" s="204"/>
      <c r="O41" s="205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</row>
    <row r="42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5"/>
      <c r="N42" s="204"/>
      <c r="O42" s="205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</row>
    <row r="43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5"/>
      <c r="N43" s="204"/>
      <c r="O43" s="205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</row>
    <row r="44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5"/>
      <c r="N44" s="204"/>
      <c r="O44" s="205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</row>
    <row r="45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5"/>
      <c r="N45" s="204"/>
      <c r="O45" s="205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</row>
    <row r="46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5"/>
      <c r="N46" s="204"/>
      <c r="O46" s="205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</row>
    <row r="47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5"/>
      <c r="N47" s="204"/>
      <c r="O47" s="205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</row>
    <row r="48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5"/>
      <c r="N48" s="204"/>
      <c r="O48" s="205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</row>
    <row r="49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5"/>
      <c r="N49" s="204"/>
      <c r="O49" s="205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</row>
    <row r="50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5"/>
      <c r="N50" s="204"/>
      <c r="O50" s="205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</row>
    <row r="51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5"/>
      <c r="N51" s="204"/>
      <c r="O51" s="205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5"/>
      <c r="N52" s="204"/>
      <c r="O52" s="205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</row>
    <row r="53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5"/>
      <c r="N53" s="204"/>
      <c r="O53" s="205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</row>
    <row r="54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5"/>
      <c r="N54" s="204"/>
      <c r="O54" s="205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</row>
    <row r="55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5"/>
      <c r="N55" s="204"/>
      <c r="O55" s="205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</row>
    <row r="56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5"/>
      <c r="N56" s="204"/>
      <c r="O56" s="205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</row>
    <row r="57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5"/>
      <c r="N57" s="204"/>
      <c r="O57" s="205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</row>
    <row r="58">
      <c r="A58" s="204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5"/>
      <c r="N58" s="204"/>
      <c r="O58" s="205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</row>
    <row r="59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5"/>
      <c r="N59" s="204"/>
      <c r="O59" s="205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</row>
    <row r="60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5"/>
      <c r="N60" s="204"/>
      <c r="O60" s="205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</row>
    <row r="61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5"/>
      <c r="N61" s="204"/>
      <c r="O61" s="205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</row>
    <row r="62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5"/>
      <c r="N62" s="204"/>
      <c r="O62" s="205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</row>
    <row r="63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5"/>
      <c r="N63" s="204"/>
      <c r="O63" s="205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</row>
    <row r="64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5"/>
      <c r="N64" s="204"/>
      <c r="O64" s="205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</row>
    <row r="65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5"/>
      <c r="N65" s="204"/>
      <c r="O65" s="205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</row>
    <row r="66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5"/>
      <c r="N66" s="204"/>
      <c r="O66" s="205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</row>
    <row r="67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5"/>
      <c r="N67" s="204"/>
      <c r="O67" s="205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</row>
    <row r="68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5"/>
      <c r="N68" s="204"/>
      <c r="O68" s="205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</row>
    <row r="69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5"/>
      <c r="N69" s="204"/>
      <c r="O69" s="205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</row>
    <row r="70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5"/>
      <c r="N70" s="204"/>
      <c r="O70" s="205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</row>
    <row r="7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5"/>
      <c r="N71" s="204"/>
      <c r="O71" s="205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</row>
    <row r="72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5"/>
      <c r="N72" s="204"/>
      <c r="O72" s="205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</row>
    <row r="73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5"/>
      <c r="N73" s="204"/>
      <c r="O73" s="205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5"/>
      <c r="N74" s="204"/>
      <c r="O74" s="205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</row>
    <row r="75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5"/>
      <c r="N75" s="204"/>
      <c r="O75" s="205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</row>
    <row r="76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5"/>
      <c r="N76" s="204"/>
      <c r="O76" s="205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</row>
    <row r="77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5"/>
      <c r="N77" s="204"/>
      <c r="O77" s="205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</row>
    <row r="7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5"/>
      <c r="N78" s="204"/>
      <c r="O78" s="205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</row>
    <row r="79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5"/>
      <c r="N79" s="204"/>
      <c r="O79" s="205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</row>
    <row r="80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5"/>
      <c r="N80" s="204"/>
      <c r="O80" s="205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</row>
    <row r="8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5"/>
      <c r="N81" s="204"/>
      <c r="O81" s="205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</row>
    <row r="82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5"/>
      <c r="N82" s="204"/>
      <c r="O82" s="205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</row>
    <row r="83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5"/>
      <c r="N83" s="204"/>
      <c r="O83" s="205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</row>
    <row r="84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5"/>
      <c r="N84" s="204"/>
      <c r="O84" s="205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</row>
    <row r="85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5"/>
      <c r="N85" s="204"/>
      <c r="O85" s="205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</row>
    <row r="86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5"/>
      <c r="N86" s="204"/>
      <c r="O86" s="205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</row>
    <row r="87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5"/>
      <c r="N87" s="204"/>
      <c r="O87" s="205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</row>
    <row r="88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5"/>
      <c r="N88" s="204"/>
      <c r="O88" s="205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</row>
    <row r="89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5"/>
      <c r="N89" s="204"/>
      <c r="O89" s="205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</row>
    <row r="90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5"/>
      <c r="N90" s="204"/>
      <c r="O90" s="205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</row>
    <row r="9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5"/>
      <c r="N91" s="204"/>
      <c r="O91" s="205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</row>
    <row r="92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5"/>
      <c r="N92" s="204"/>
      <c r="O92" s="205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</row>
    <row r="93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5"/>
      <c r="N93" s="204"/>
      <c r="O93" s="205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</row>
    <row r="94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5"/>
      <c r="N94" s="204"/>
      <c r="O94" s="205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</row>
    <row r="95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5"/>
      <c r="N95" s="204"/>
      <c r="O95" s="205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</row>
    <row r="96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5"/>
      <c r="N96" s="204"/>
      <c r="O96" s="205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</row>
    <row r="97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5"/>
      <c r="N97" s="204"/>
      <c r="O97" s="205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</row>
    <row r="98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5"/>
      <c r="N98" s="204"/>
      <c r="O98" s="205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</row>
    <row r="99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5"/>
      <c r="N99" s="204"/>
      <c r="O99" s="205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</row>
    <row r="100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5"/>
      <c r="N100" s="204"/>
      <c r="O100" s="205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</row>
    <row r="10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5"/>
      <c r="N101" s="204"/>
      <c r="O101" s="205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</row>
    <row r="102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5"/>
      <c r="N102" s="204"/>
      <c r="O102" s="205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</row>
    <row r="103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5"/>
      <c r="N103" s="204"/>
      <c r="O103" s="205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</row>
    <row r="104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5"/>
      <c r="N104" s="204"/>
      <c r="O104" s="205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</row>
    <row r="105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5"/>
      <c r="N105" s="204"/>
      <c r="O105" s="205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</row>
    <row r="106">
      <c r="A106" s="204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5"/>
      <c r="N106" s="204"/>
      <c r="O106" s="205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</row>
    <row r="107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5"/>
      <c r="N107" s="204"/>
      <c r="O107" s="205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</row>
    <row r="108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5"/>
      <c r="N108" s="204"/>
      <c r="O108" s="205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</row>
    <row r="109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5"/>
      <c r="N109" s="204"/>
      <c r="O109" s="205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</row>
    <row r="110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5"/>
      <c r="N110" s="204"/>
      <c r="O110" s="205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</row>
    <row r="11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5"/>
      <c r="N111" s="204"/>
      <c r="O111" s="205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</row>
    <row r="112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5"/>
      <c r="N112" s="204"/>
      <c r="O112" s="205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</row>
    <row r="113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5"/>
      <c r="N113" s="204"/>
      <c r="O113" s="205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</row>
    <row r="114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5"/>
      <c r="N114" s="204"/>
      <c r="O114" s="205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</row>
    <row r="115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5"/>
      <c r="N115" s="204"/>
      <c r="O115" s="205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</row>
    <row r="116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5"/>
      <c r="N116" s="204"/>
      <c r="O116" s="205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</row>
    <row r="117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5"/>
      <c r="N117" s="204"/>
      <c r="O117" s="205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</row>
    <row r="118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5"/>
      <c r="N118" s="204"/>
      <c r="O118" s="205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</row>
    <row r="119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5"/>
      <c r="N119" s="204"/>
      <c r="O119" s="205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</row>
    <row r="120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5"/>
      <c r="N120" s="204"/>
      <c r="O120" s="205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</row>
    <row r="12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5"/>
      <c r="N121" s="204"/>
      <c r="O121" s="205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</row>
    <row r="122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5"/>
      <c r="N122" s="204"/>
      <c r="O122" s="205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</row>
    <row r="123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5"/>
      <c r="N123" s="204"/>
      <c r="O123" s="205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</row>
    <row r="124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5"/>
      <c r="N124" s="204"/>
      <c r="O124" s="205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</row>
    <row r="125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5"/>
      <c r="N125" s="204"/>
      <c r="O125" s="205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</row>
    <row r="126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5"/>
      <c r="N126" s="204"/>
      <c r="O126" s="205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</row>
    <row r="127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5"/>
      <c r="N127" s="204"/>
      <c r="O127" s="205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</row>
    <row r="128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5"/>
      <c r="N128" s="204"/>
      <c r="O128" s="205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</row>
    <row r="129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5"/>
      <c r="N129" s="204"/>
      <c r="O129" s="205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</row>
    <row r="130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5"/>
      <c r="N130" s="204"/>
      <c r="O130" s="205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</row>
    <row r="13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5"/>
      <c r="N131" s="204"/>
      <c r="O131" s="205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</row>
    <row r="132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5"/>
      <c r="N132" s="204"/>
      <c r="O132" s="205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</row>
    <row r="133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5"/>
      <c r="N133" s="204"/>
      <c r="O133" s="205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5"/>
      <c r="N134" s="204"/>
      <c r="O134" s="205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5"/>
      <c r="N135" s="204"/>
      <c r="O135" s="205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</row>
    <row r="136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5"/>
      <c r="N136" s="204"/>
      <c r="O136" s="205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</row>
    <row r="137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5"/>
      <c r="N137" s="204"/>
      <c r="O137" s="205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</row>
    <row r="138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5"/>
      <c r="N138" s="204"/>
      <c r="O138" s="205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</row>
    <row r="139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5"/>
      <c r="N139" s="204"/>
      <c r="O139" s="205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</row>
    <row r="140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5"/>
      <c r="N140" s="204"/>
      <c r="O140" s="205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</row>
    <row r="14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5"/>
      <c r="N141" s="204"/>
      <c r="O141" s="205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</row>
    <row r="142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5"/>
      <c r="N142" s="204"/>
      <c r="O142" s="205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</row>
    <row r="143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5"/>
      <c r="N143" s="204"/>
      <c r="O143" s="205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</row>
    <row r="144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5"/>
      <c r="N144" s="204"/>
      <c r="O144" s="205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</row>
    <row r="145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5"/>
      <c r="N145" s="204"/>
      <c r="O145" s="205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</row>
    <row r="146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5"/>
      <c r="N146" s="204"/>
      <c r="O146" s="205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</row>
    <row r="147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5"/>
      <c r="N147" s="204"/>
      <c r="O147" s="205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</row>
    <row r="148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5"/>
      <c r="N148" s="204"/>
      <c r="O148" s="205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</row>
    <row r="149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5"/>
      <c r="N149" s="204"/>
      <c r="O149" s="205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</row>
    <row r="150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5"/>
      <c r="N150" s="204"/>
      <c r="O150" s="205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</row>
    <row r="15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5"/>
      <c r="N151" s="204"/>
      <c r="O151" s="205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</row>
    <row r="152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5"/>
      <c r="N152" s="204"/>
      <c r="O152" s="205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</row>
    <row r="153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5"/>
      <c r="N153" s="204"/>
      <c r="O153" s="205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</row>
    <row r="154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5"/>
      <c r="N154" s="204"/>
      <c r="O154" s="205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</row>
    <row r="155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5"/>
      <c r="N155" s="204"/>
      <c r="O155" s="205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</row>
    <row r="156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5"/>
      <c r="N156" s="204"/>
      <c r="O156" s="205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</row>
    <row r="157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5"/>
      <c r="N157" s="204"/>
      <c r="O157" s="205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</row>
    <row r="158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5"/>
      <c r="N158" s="204"/>
      <c r="O158" s="205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</row>
    <row r="159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5"/>
      <c r="N159" s="204"/>
      <c r="O159" s="205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</row>
    <row r="160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5"/>
      <c r="N160" s="204"/>
      <c r="O160" s="205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</row>
    <row r="16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5"/>
      <c r="N161" s="204"/>
      <c r="O161" s="205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</row>
    <row r="162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5"/>
      <c r="N162" s="204"/>
      <c r="O162" s="205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</row>
    <row r="163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5"/>
      <c r="N163" s="204"/>
      <c r="O163" s="205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</row>
    <row r="164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5"/>
      <c r="N164" s="204"/>
      <c r="O164" s="205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</row>
    <row r="165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5"/>
      <c r="N165" s="204"/>
      <c r="O165" s="205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</row>
    <row r="166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5"/>
      <c r="N166" s="204"/>
      <c r="O166" s="205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</row>
    <row r="167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5"/>
      <c r="N167" s="204"/>
      <c r="O167" s="205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</row>
    <row r="168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5"/>
      <c r="N168" s="204"/>
      <c r="O168" s="205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</row>
    <row r="169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5"/>
      <c r="N169" s="204"/>
      <c r="O169" s="205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</row>
    <row r="170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5"/>
      <c r="N170" s="204"/>
      <c r="O170" s="205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</row>
    <row r="17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5"/>
      <c r="N171" s="204"/>
      <c r="O171" s="205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</row>
    <row r="172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5"/>
      <c r="N172" s="204"/>
      <c r="O172" s="205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</row>
    <row r="173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5"/>
      <c r="N173" s="204"/>
      <c r="O173" s="205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</row>
    <row r="174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5"/>
      <c r="N174" s="204"/>
      <c r="O174" s="205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</row>
    <row r="175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5"/>
      <c r="N175" s="204"/>
      <c r="O175" s="205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</row>
    <row r="176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5"/>
      <c r="N176" s="204"/>
      <c r="O176" s="205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</row>
    <row r="177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5"/>
      <c r="N177" s="204"/>
      <c r="O177" s="205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</row>
    <row r="178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5"/>
      <c r="N178" s="204"/>
      <c r="O178" s="205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</row>
    <row r="179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5"/>
      <c r="N179" s="204"/>
      <c r="O179" s="205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</row>
    <row r="180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5"/>
      <c r="N180" s="204"/>
      <c r="O180" s="205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</row>
    <row r="18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5"/>
      <c r="N181" s="204"/>
      <c r="O181" s="205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</row>
    <row r="182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5"/>
      <c r="N182" s="204"/>
      <c r="O182" s="205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</row>
    <row r="183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5"/>
      <c r="N183" s="204"/>
      <c r="O183" s="205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</row>
    <row r="184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5"/>
      <c r="N184" s="204"/>
      <c r="O184" s="205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</row>
    <row r="185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5"/>
      <c r="N185" s="204"/>
      <c r="O185" s="205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</row>
    <row r="186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5"/>
      <c r="N186" s="204"/>
      <c r="O186" s="205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</row>
    <row r="187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5"/>
      <c r="N187" s="204"/>
      <c r="O187" s="205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</row>
    <row r="188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5"/>
      <c r="N188" s="204"/>
      <c r="O188" s="205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</row>
    <row r="189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5"/>
      <c r="N189" s="204"/>
      <c r="O189" s="205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</row>
    <row r="190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5"/>
      <c r="N190" s="204"/>
      <c r="O190" s="205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</row>
    <row r="19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5"/>
      <c r="N191" s="204"/>
      <c r="O191" s="205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</row>
    <row r="192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5"/>
      <c r="N192" s="204"/>
      <c r="O192" s="205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</row>
    <row r="193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5"/>
      <c r="N193" s="204"/>
      <c r="O193" s="205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</row>
    <row r="194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5"/>
      <c r="N194" s="204"/>
      <c r="O194" s="205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</row>
    <row r="195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5"/>
      <c r="N195" s="204"/>
      <c r="O195" s="205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</row>
    <row r="196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5"/>
      <c r="N196" s="204"/>
      <c r="O196" s="205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</row>
    <row r="197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5"/>
      <c r="N197" s="204"/>
      <c r="O197" s="205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</row>
    <row r="198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5"/>
      <c r="N198" s="204"/>
      <c r="O198" s="205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</row>
    <row r="199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5"/>
      <c r="N199" s="204"/>
      <c r="O199" s="205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</row>
    <row r="200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5"/>
      <c r="N200" s="204"/>
      <c r="O200" s="205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</row>
    <row r="20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5"/>
      <c r="N201" s="204"/>
      <c r="O201" s="205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</row>
    <row r="202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5"/>
      <c r="N202" s="204"/>
      <c r="O202" s="205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</row>
    <row r="203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5"/>
      <c r="N203" s="204"/>
      <c r="O203" s="205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</row>
    <row r="204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5"/>
      <c r="N204" s="204"/>
      <c r="O204" s="205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</row>
    <row r="205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5"/>
      <c r="N205" s="204"/>
      <c r="O205" s="205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</row>
    <row r="206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5"/>
      <c r="N206" s="204"/>
      <c r="O206" s="205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</row>
    <row r="207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5"/>
      <c r="N207" s="204"/>
      <c r="O207" s="205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</row>
    <row r="208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5"/>
      <c r="N208" s="204"/>
      <c r="O208" s="205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</row>
    <row r="209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5"/>
      <c r="N209" s="204"/>
      <c r="O209" s="205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</row>
    <row r="210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5"/>
      <c r="N210" s="204"/>
      <c r="O210" s="205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</row>
    <row r="21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5"/>
      <c r="N211" s="204"/>
      <c r="O211" s="205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</row>
    <row r="212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5"/>
      <c r="N212" s="204"/>
      <c r="O212" s="205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</row>
    <row r="213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5"/>
      <c r="N213" s="204"/>
      <c r="O213" s="205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</row>
    <row r="214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5"/>
      <c r="N214" s="204"/>
      <c r="O214" s="205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</row>
    <row r="215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5"/>
      <c r="N215" s="204"/>
      <c r="O215" s="205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</row>
    <row r="216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5"/>
      <c r="N216" s="204"/>
      <c r="O216" s="205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</row>
    <row r="217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5"/>
      <c r="N217" s="204"/>
      <c r="O217" s="205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</row>
    <row r="218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5"/>
      <c r="N218" s="204"/>
      <c r="O218" s="205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</row>
    <row r="219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5"/>
      <c r="N219" s="204"/>
      <c r="O219" s="205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</row>
    <row r="220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5"/>
      <c r="N220" s="204"/>
      <c r="O220" s="205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</row>
    <row r="22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5"/>
      <c r="N221" s="204"/>
      <c r="O221" s="205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</row>
    <row r="222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5"/>
      <c r="N222" s="204"/>
      <c r="O222" s="205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</row>
    <row r="223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5"/>
      <c r="N223" s="204"/>
      <c r="O223" s="205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</row>
    <row r="224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5"/>
      <c r="N224" s="204"/>
      <c r="O224" s="205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</row>
    <row r="225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5"/>
      <c r="N225" s="204"/>
      <c r="O225" s="205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</row>
    <row r="226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5"/>
      <c r="N226" s="204"/>
      <c r="O226" s="205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</row>
    <row r="227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5"/>
      <c r="N227" s="204"/>
      <c r="O227" s="205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</row>
    <row r="228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5"/>
      <c r="N228" s="204"/>
      <c r="O228" s="205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</row>
    <row r="229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5"/>
      <c r="N229" s="204"/>
      <c r="O229" s="205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</row>
    <row r="230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5"/>
      <c r="N230" s="204"/>
      <c r="O230" s="205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</row>
    <row r="23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5"/>
      <c r="N231" s="204"/>
      <c r="O231" s="205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</row>
    <row r="232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5"/>
      <c r="N232" s="204"/>
      <c r="O232" s="205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</row>
    <row r="233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5"/>
      <c r="N233" s="204"/>
      <c r="O233" s="205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</row>
    <row r="234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5"/>
      <c r="N234" s="204"/>
      <c r="O234" s="205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</row>
    <row r="235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5"/>
      <c r="N235" s="204"/>
      <c r="O235" s="205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</row>
    <row r="236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5"/>
      <c r="N236" s="204"/>
      <c r="O236" s="205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</row>
    <row r="237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5"/>
      <c r="N237" s="204"/>
      <c r="O237" s="205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</row>
    <row r="238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5"/>
      <c r="N238" s="204"/>
      <c r="O238" s="205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</row>
    <row r="239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5"/>
      <c r="N239" s="204"/>
      <c r="O239" s="205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</row>
    <row r="240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5"/>
      <c r="N240" s="204"/>
      <c r="O240" s="205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</row>
    <row r="24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5"/>
      <c r="N241" s="204"/>
      <c r="O241" s="205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</row>
    <row r="242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5"/>
      <c r="N242" s="204"/>
      <c r="O242" s="205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</row>
    <row r="243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5"/>
      <c r="N243" s="204"/>
      <c r="O243" s="205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</row>
    <row r="244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5"/>
      <c r="N244" s="204"/>
      <c r="O244" s="205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</row>
    <row r="245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5"/>
      <c r="N245" s="204"/>
      <c r="O245" s="205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</row>
    <row r="246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5"/>
      <c r="N246" s="204"/>
      <c r="O246" s="205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</row>
    <row r="247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5"/>
      <c r="N247" s="204"/>
      <c r="O247" s="205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</row>
    <row r="248">
      <c r="A248" s="204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5"/>
      <c r="N248" s="204"/>
      <c r="O248" s="205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</row>
    <row r="249">
      <c r="A249" s="204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5"/>
      <c r="N249" s="204"/>
      <c r="O249" s="205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</row>
    <row r="250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5"/>
      <c r="N250" s="204"/>
      <c r="O250" s="205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</row>
    <row r="251">
      <c r="A251" s="204"/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5"/>
      <c r="N251" s="204"/>
      <c r="O251" s="205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</row>
    <row r="252">
      <c r="A252" s="204"/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5"/>
      <c r="N252" s="204"/>
      <c r="O252" s="205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</row>
    <row r="253">
      <c r="A253" s="204"/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5"/>
      <c r="N253" s="204"/>
      <c r="O253" s="205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</row>
    <row r="254">
      <c r="A254" s="204"/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5"/>
      <c r="N254" s="204"/>
      <c r="O254" s="205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</row>
    <row r="255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5"/>
      <c r="N255" s="204"/>
      <c r="O255" s="205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</row>
    <row r="256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5"/>
      <c r="N256" s="204"/>
      <c r="O256" s="205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</row>
    <row r="257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5"/>
      <c r="N257" s="204"/>
      <c r="O257" s="205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</row>
    <row r="258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5"/>
      <c r="N258" s="204"/>
      <c r="O258" s="205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</row>
    <row r="259">
      <c r="A259" s="204"/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5"/>
      <c r="N259" s="204"/>
      <c r="O259" s="205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</row>
    <row r="260">
      <c r="A260" s="204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5"/>
      <c r="N260" s="204"/>
      <c r="O260" s="205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</row>
    <row r="261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5"/>
      <c r="N261" s="204"/>
      <c r="O261" s="205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</row>
    <row r="262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5"/>
      <c r="N262" s="204"/>
      <c r="O262" s="205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</row>
    <row r="263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5"/>
      <c r="N263" s="204"/>
      <c r="O263" s="205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</row>
    <row r="264">
      <c r="A264" s="204"/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5"/>
      <c r="N264" s="204"/>
      <c r="O264" s="205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</row>
    <row r="265">
      <c r="A265" s="204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5"/>
      <c r="N265" s="204"/>
      <c r="O265" s="205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</row>
    <row r="266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5"/>
      <c r="N266" s="204"/>
      <c r="O266" s="205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</row>
    <row r="267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5"/>
      <c r="N267" s="204"/>
      <c r="O267" s="205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</row>
    <row r="268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5"/>
      <c r="N268" s="204"/>
      <c r="O268" s="205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</row>
    <row r="269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5"/>
      <c r="N269" s="204"/>
      <c r="O269" s="205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</row>
    <row r="270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5"/>
      <c r="N270" s="204"/>
      <c r="O270" s="205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</row>
    <row r="271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5"/>
      <c r="N271" s="204"/>
      <c r="O271" s="205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</row>
    <row r="272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5"/>
      <c r="N272" s="204"/>
      <c r="O272" s="205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</row>
    <row r="273">
      <c r="A273" s="204"/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5"/>
      <c r="N273" s="204"/>
      <c r="O273" s="205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</row>
    <row r="274">
      <c r="A274" s="204"/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5"/>
      <c r="N274" s="204"/>
      <c r="O274" s="205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</row>
    <row r="275">
      <c r="A275" s="204"/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5"/>
      <c r="N275" s="204"/>
      <c r="O275" s="205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</row>
    <row r="276">
      <c r="A276" s="204"/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5"/>
      <c r="N276" s="204"/>
      <c r="O276" s="205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</row>
    <row r="277">
      <c r="A277" s="204"/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5"/>
      <c r="N277" s="204"/>
      <c r="O277" s="205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</row>
    <row r="278">
      <c r="A278" s="204"/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5"/>
      <c r="N278" s="204"/>
      <c r="O278" s="205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</row>
    <row r="279">
      <c r="A279" s="204"/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5"/>
      <c r="N279" s="204"/>
      <c r="O279" s="205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</row>
    <row r="280">
      <c r="A280" s="204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5"/>
      <c r="N280" s="204"/>
      <c r="O280" s="205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</row>
    <row r="281">
      <c r="A281" s="204"/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5"/>
      <c r="N281" s="204"/>
      <c r="O281" s="205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</row>
    <row r="282">
      <c r="A282" s="204"/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5"/>
      <c r="N282" s="204"/>
      <c r="O282" s="205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</row>
    <row r="283">
      <c r="A283" s="204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5"/>
      <c r="N283" s="204"/>
      <c r="O283" s="205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</row>
    <row r="284">
      <c r="A284" s="204"/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5"/>
      <c r="N284" s="204"/>
      <c r="O284" s="205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</row>
    <row r="285">
      <c r="A285" s="204"/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5"/>
      <c r="N285" s="204"/>
      <c r="O285" s="205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</row>
    <row r="286">
      <c r="A286" s="204"/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5"/>
      <c r="N286" s="204"/>
      <c r="O286" s="205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</row>
    <row r="287">
      <c r="A287" s="204"/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5"/>
      <c r="N287" s="204"/>
      <c r="O287" s="205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</row>
    <row r="288">
      <c r="A288" s="204"/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5"/>
      <c r="N288" s="204"/>
      <c r="O288" s="205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</row>
    <row r="289">
      <c r="A289" s="204"/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5"/>
      <c r="N289" s="204"/>
      <c r="O289" s="205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</row>
    <row r="290">
      <c r="A290" s="204"/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5"/>
      <c r="N290" s="204"/>
      <c r="O290" s="205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</row>
    <row r="291">
      <c r="A291" s="204"/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5"/>
      <c r="N291" s="204"/>
      <c r="O291" s="205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</row>
    <row r="292">
      <c r="A292" s="204"/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5"/>
      <c r="N292" s="204"/>
      <c r="O292" s="205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</row>
    <row r="293">
      <c r="A293" s="204"/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5"/>
      <c r="N293" s="204"/>
      <c r="O293" s="205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</row>
    <row r="294">
      <c r="A294" s="204"/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5"/>
      <c r="N294" s="204"/>
      <c r="O294" s="205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</row>
    <row r="295">
      <c r="A295" s="204"/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5"/>
      <c r="N295" s="204"/>
      <c r="O295" s="205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</row>
    <row r="296">
      <c r="A296" s="204"/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5"/>
      <c r="N296" s="204"/>
      <c r="O296" s="205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</row>
    <row r="297">
      <c r="A297" s="204"/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5"/>
      <c r="N297" s="204"/>
      <c r="O297" s="205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</row>
    <row r="298">
      <c r="A298" s="204"/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5"/>
      <c r="N298" s="204"/>
      <c r="O298" s="205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</row>
    <row r="299">
      <c r="A299" s="204"/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5"/>
      <c r="N299" s="204"/>
      <c r="O299" s="205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</row>
    <row r="300">
      <c r="A300" s="204"/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5"/>
      <c r="N300" s="204"/>
      <c r="O300" s="205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</row>
    <row r="301">
      <c r="A301" s="204"/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5"/>
      <c r="N301" s="204"/>
      <c r="O301" s="205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</row>
    <row r="302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5"/>
      <c r="N302" s="204"/>
      <c r="O302" s="205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</row>
    <row r="303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5"/>
      <c r="N303" s="204"/>
      <c r="O303" s="205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</row>
    <row r="304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5"/>
      <c r="N304" s="204"/>
      <c r="O304" s="205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</row>
    <row r="305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5"/>
      <c r="N305" s="204"/>
      <c r="O305" s="205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</row>
    <row r="306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5"/>
      <c r="N306" s="204"/>
      <c r="O306" s="205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</row>
    <row r="307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5"/>
      <c r="N307" s="204"/>
      <c r="O307" s="205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</row>
    <row r="308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5"/>
      <c r="N308" s="204"/>
      <c r="O308" s="205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</row>
    <row r="309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5"/>
      <c r="N309" s="204"/>
      <c r="O309" s="205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</row>
    <row r="310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5"/>
      <c r="N310" s="204"/>
      <c r="O310" s="205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</row>
    <row r="31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5"/>
      <c r="N311" s="204"/>
      <c r="O311" s="205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</row>
    <row r="312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5"/>
      <c r="N312" s="204"/>
      <c r="O312" s="205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</row>
    <row r="313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5"/>
      <c r="N313" s="204"/>
      <c r="O313" s="205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</row>
    <row r="314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5"/>
      <c r="N314" s="204"/>
      <c r="O314" s="205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</row>
    <row r="315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5"/>
      <c r="N315" s="204"/>
      <c r="O315" s="205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</row>
    <row r="316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5"/>
      <c r="N316" s="204"/>
      <c r="O316" s="205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</row>
    <row r="317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5"/>
      <c r="N317" s="204"/>
      <c r="O317" s="205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</row>
    <row r="318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5"/>
      <c r="N318" s="204"/>
      <c r="O318" s="205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</row>
    <row r="319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5"/>
      <c r="N319" s="204"/>
      <c r="O319" s="205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</row>
    <row r="320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5"/>
      <c r="N320" s="204"/>
      <c r="O320" s="205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</row>
    <row r="32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5"/>
      <c r="N321" s="204"/>
      <c r="O321" s="205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</row>
    <row r="322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5"/>
      <c r="N322" s="204"/>
      <c r="O322" s="205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</row>
    <row r="323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5"/>
      <c r="N323" s="204"/>
      <c r="O323" s="205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</row>
    <row r="324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5"/>
      <c r="N324" s="204"/>
      <c r="O324" s="205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</row>
    <row r="325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5"/>
      <c r="N325" s="204"/>
      <c r="O325" s="205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</row>
    <row r="326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5"/>
      <c r="N326" s="204"/>
      <c r="O326" s="205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</row>
    <row r="327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5"/>
      <c r="N327" s="204"/>
      <c r="O327" s="205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</row>
    <row r="328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5"/>
      <c r="N328" s="204"/>
      <c r="O328" s="205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</row>
    <row r="329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5"/>
      <c r="N329" s="204"/>
      <c r="O329" s="205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</row>
    <row r="330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5"/>
      <c r="N330" s="204"/>
      <c r="O330" s="205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</row>
    <row r="33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5"/>
      <c r="N331" s="204"/>
      <c r="O331" s="205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</row>
    <row r="332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5"/>
      <c r="N332" s="204"/>
      <c r="O332" s="205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</row>
    <row r="333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5"/>
      <c r="N333" s="204"/>
      <c r="O333" s="205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</row>
    <row r="334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5"/>
      <c r="N334" s="204"/>
      <c r="O334" s="205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</row>
    <row r="335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5"/>
      <c r="N335" s="204"/>
      <c r="O335" s="205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</row>
    <row r="336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5"/>
      <c r="N336" s="204"/>
      <c r="O336" s="205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</row>
    <row r="337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5"/>
      <c r="N337" s="204"/>
      <c r="O337" s="205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</row>
    <row r="338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5"/>
      <c r="N338" s="204"/>
      <c r="O338" s="205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</row>
    <row r="339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5"/>
      <c r="N339" s="204"/>
      <c r="O339" s="205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</row>
    <row r="340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5"/>
      <c r="N340" s="204"/>
      <c r="O340" s="205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</row>
    <row r="34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5"/>
      <c r="N341" s="204"/>
      <c r="O341" s="205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</row>
    <row r="342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5"/>
      <c r="N342" s="204"/>
      <c r="O342" s="205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</row>
    <row r="343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5"/>
      <c r="N343" s="204"/>
      <c r="O343" s="205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</row>
    <row r="344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5"/>
      <c r="N344" s="204"/>
      <c r="O344" s="205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</row>
    <row r="345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5"/>
      <c r="N345" s="204"/>
      <c r="O345" s="205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</row>
    <row r="346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5"/>
      <c r="N346" s="204"/>
      <c r="O346" s="205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</row>
    <row r="347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5"/>
      <c r="N347" s="204"/>
      <c r="O347" s="205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</row>
    <row r="348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5"/>
      <c r="N348" s="204"/>
      <c r="O348" s="205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</row>
    <row r="349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5"/>
      <c r="N349" s="204"/>
      <c r="O349" s="205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</row>
    <row r="350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5"/>
      <c r="N350" s="204"/>
      <c r="O350" s="205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</row>
    <row r="35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5"/>
      <c r="N351" s="204"/>
      <c r="O351" s="205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</row>
    <row r="352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5"/>
      <c r="N352" s="204"/>
      <c r="O352" s="205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</row>
    <row r="353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5"/>
      <c r="N353" s="204"/>
      <c r="O353" s="205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</row>
    <row r="354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5"/>
      <c r="N354" s="204"/>
      <c r="O354" s="205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</row>
    <row r="355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5"/>
      <c r="N355" s="204"/>
      <c r="O355" s="205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</row>
    <row r="356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5"/>
      <c r="N356" s="204"/>
      <c r="O356" s="205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</row>
    <row r="357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5"/>
      <c r="N357" s="204"/>
      <c r="O357" s="205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</row>
    <row r="358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5"/>
      <c r="N358" s="204"/>
      <c r="O358" s="205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</row>
    <row r="359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5"/>
      <c r="N359" s="204"/>
      <c r="O359" s="205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</row>
    <row r="360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5"/>
      <c r="N360" s="204"/>
      <c r="O360" s="205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</row>
    <row r="36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5"/>
      <c r="N361" s="204"/>
      <c r="O361" s="205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</row>
    <row r="362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5"/>
      <c r="N362" s="204"/>
      <c r="O362" s="205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</row>
    <row r="363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5"/>
      <c r="N363" s="204"/>
      <c r="O363" s="205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</row>
    <row r="364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5"/>
      <c r="N364" s="204"/>
      <c r="O364" s="205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</row>
    <row r="365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5"/>
      <c r="N365" s="204"/>
      <c r="O365" s="205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</row>
    <row r="366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5"/>
      <c r="N366" s="204"/>
      <c r="O366" s="205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</row>
    <row r="367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5"/>
      <c r="N367" s="204"/>
      <c r="O367" s="205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</row>
    <row r="368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5"/>
      <c r="N368" s="204"/>
      <c r="O368" s="205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</row>
    <row r="369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5"/>
      <c r="N369" s="204"/>
      <c r="O369" s="205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</row>
    <row r="370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5"/>
      <c r="N370" s="204"/>
      <c r="O370" s="205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</row>
    <row r="37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5"/>
      <c r="N371" s="204"/>
      <c r="O371" s="205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</row>
    <row r="372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5"/>
      <c r="N372" s="204"/>
      <c r="O372" s="205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</row>
    <row r="373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5"/>
      <c r="N373" s="204"/>
      <c r="O373" s="205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</row>
    <row r="374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5"/>
      <c r="N374" s="204"/>
      <c r="O374" s="205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</row>
    <row r="375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5"/>
      <c r="N375" s="204"/>
      <c r="O375" s="205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</row>
    <row r="376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5"/>
      <c r="N376" s="204"/>
      <c r="O376" s="205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</row>
    <row r="377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5"/>
      <c r="N377" s="204"/>
      <c r="O377" s="205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</row>
    <row r="378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5"/>
      <c r="N378" s="204"/>
      <c r="O378" s="205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</row>
    <row r="379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5"/>
      <c r="N379" s="204"/>
      <c r="O379" s="205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</row>
    <row r="380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5"/>
      <c r="N380" s="204"/>
      <c r="O380" s="205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</row>
    <row r="38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5"/>
      <c r="N381" s="204"/>
      <c r="O381" s="205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</row>
    <row r="382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5"/>
      <c r="N382" s="204"/>
      <c r="O382" s="205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</row>
    <row r="383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5"/>
      <c r="N383" s="204"/>
      <c r="O383" s="205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</row>
    <row r="384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5"/>
      <c r="N384" s="204"/>
      <c r="O384" s="205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</row>
    <row r="385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5"/>
      <c r="N385" s="204"/>
      <c r="O385" s="205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</row>
    <row r="386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5"/>
      <c r="N386" s="204"/>
      <c r="O386" s="205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</row>
    <row r="387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5"/>
      <c r="N387" s="204"/>
      <c r="O387" s="205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</row>
    <row r="388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5"/>
      <c r="N388" s="204"/>
      <c r="O388" s="205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</row>
    <row r="389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5"/>
      <c r="N389" s="204"/>
      <c r="O389" s="205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</row>
    <row r="390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5"/>
      <c r="N390" s="204"/>
      <c r="O390" s="205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</row>
    <row r="39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5"/>
      <c r="N391" s="204"/>
      <c r="O391" s="205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</row>
    <row r="392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5"/>
      <c r="N392" s="204"/>
      <c r="O392" s="205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</row>
    <row r="393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5"/>
      <c r="N393" s="204"/>
      <c r="O393" s="205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</row>
    <row r="394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5"/>
      <c r="N394" s="204"/>
      <c r="O394" s="205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</row>
    <row r="395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5"/>
      <c r="N395" s="204"/>
      <c r="O395" s="205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</row>
    <row r="396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5"/>
      <c r="N396" s="204"/>
      <c r="O396" s="205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</row>
    <row r="397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5"/>
      <c r="N397" s="204"/>
      <c r="O397" s="205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</row>
    <row r="398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5"/>
      <c r="N398" s="204"/>
      <c r="O398" s="205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</row>
    <row r="399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5"/>
      <c r="N399" s="204"/>
      <c r="O399" s="205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</row>
    <row r="400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5"/>
      <c r="N400" s="204"/>
      <c r="O400" s="205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</row>
    <row r="40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5"/>
      <c r="N401" s="204"/>
      <c r="O401" s="205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</row>
    <row r="402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5"/>
      <c r="N402" s="204"/>
      <c r="O402" s="205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</row>
    <row r="403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5"/>
      <c r="N403" s="204"/>
      <c r="O403" s="205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</row>
    <row r="404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5"/>
      <c r="N404" s="204"/>
      <c r="O404" s="205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</row>
    <row r="405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5"/>
      <c r="N405" s="204"/>
      <c r="O405" s="205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</row>
    <row r="406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5"/>
      <c r="N406" s="204"/>
      <c r="O406" s="205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</row>
    <row r="407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5"/>
      <c r="N407" s="204"/>
      <c r="O407" s="205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</row>
    <row r="408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5"/>
      <c r="N408" s="204"/>
      <c r="O408" s="205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</row>
    <row r="409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5"/>
      <c r="N409" s="204"/>
      <c r="O409" s="205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</row>
    <row r="410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5"/>
      <c r="N410" s="204"/>
      <c r="O410" s="205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</row>
    <row r="41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5"/>
      <c r="N411" s="204"/>
      <c r="O411" s="205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</row>
    <row r="412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5"/>
      <c r="N412" s="204"/>
      <c r="O412" s="205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</row>
    <row r="413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5"/>
      <c r="N413" s="204"/>
      <c r="O413" s="205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</row>
    <row r="414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5"/>
      <c r="N414" s="204"/>
      <c r="O414" s="205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</row>
    <row r="415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5"/>
      <c r="N415" s="204"/>
      <c r="O415" s="205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</row>
    <row r="416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5"/>
      <c r="N416" s="204"/>
      <c r="O416" s="205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</row>
    <row r="417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5"/>
      <c r="N417" s="204"/>
      <c r="O417" s="205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</row>
    <row r="418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5"/>
      <c r="N418" s="204"/>
      <c r="O418" s="205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</row>
    <row r="419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5"/>
      <c r="N419" s="204"/>
      <c r="O419" s="205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</row>
    <row r="420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5"/>
      <c r="N420" s="204"/>
      <c r="O420" s="205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</row>
    <row r="42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5"/>
      <c r="N421" s="204"/>
      <c r="O421" s="205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</row>
    <row r="422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5"/>
      <c r="N422" s="204"/>
      <c r="O422" s="205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</row>
    <row r="423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5"/>
      <c r="N423" s="204"/>
      <c r="O423" s="205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</row>
    <row r="424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5"/>
      <c r="N424" s="204"/>
      <c r="O424" s="205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</row>
    <row r="425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5"/>
      <c r="N425" s="204"/>
      <c r="O425" s="205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</row>
    <row r="426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5"/>
      <c r="N426" s="204"/>
      <c r="O426" s="205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</row>
    <row r="427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5"/>
      <c r="N427" s="204"/>
      <c r="O427" s="205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</row>
    <row r="428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5"/>
      <c r="N428" s="204"/>
      <c r="O428" s="205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</row>
    <row r="429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5"/>
      <c r="N429" s="204"/>
      <c r="O429" s="205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</row>
    <row r="430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5"/>
      <c r="N430" s="204"/>
      <c r="O430" s="205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</row>
    <row r="43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5"/>
      <c r="N431" s="204"/>
      <c r="O431" s="205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</row>
    <row r="432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5"/>
      <c r="N432" s="204"/>
      <c r="O432" s="205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</row>
    <row r="433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5"/>
      <c r="N433" s="204"/>
      <c r="O433" s="205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</row>
    <row r="434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5"/>
      <c r="N434" s="204"/>
      <c r="O434" s="205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</row>
    <row r="435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5"/>
      <c r="N435" s="204"/>
      <c r="O435" s="205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</row>
    <row r="436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5"/>
      <c r="N436" s="204"/>
      <c r="O436" s="205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</row>
    <row r="437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5"/>
      <c r="N437" s="204"/>
      <c r="O437" s="205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</row>
    <row r="438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5"/>
      <c r="N438" s="204"/>
      <c r="O438" s="205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</row>
    <row r="439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5"/>
      <c r="N439" s="204"/>
      <c r="O439" s="205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</row>
    <row r="440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5"/>
      <c r="N440" s="204"/>
      <c r="O440" s="205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</row>
    <row r="44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5"/>
      <c r="N441" s="204"/>
      <c r="O441" s="205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</row>
    <row r="442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5"/>
      <c r="N442" s="204"/>
      <c r="O442" s="205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</row>
    <row r="443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5"/>
      <c r="N443" s="204"/>
      <c r="O443" s="205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</row>
    <row r="444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5"/>
      <c r="N444" s="204"/>
      <c r="O444" s="205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</row>
    <row r="445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5"/>
      <c r="N445" s="204"/>
      <c r="O445" s="205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</row>
    <row r="446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5"/>
      <c r="N446" s="204"/>
      <c r="O446" s="205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</row>
    <row r="447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5"/>
      <c r="N447" s="204"/>
      <c r="O447" s="205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</row>
    <row r="448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5"/>
      <c r="N448" s="204"/>
      <c r="O448" s="205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</row>
    <row r="449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5"/>
      <c r="N449" s="204"/>
      <c r="O449" s="205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</row>
    <row r="450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5"/>
      <c r="N450" s="204"/>
      <c r="O450" s="205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</row>
    <row r="45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5"/>
      <c r="N451" s="204"/>
      <c r="O451" s="205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</row>
    <row r="452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5"/>
      <c r="N452" s="204"/>
      <c r="O452" s="205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</row>
    <row r="453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5"/>
      <c r="N453" s="204"/>
      <c r="O453" s="205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</row>
    <row r="454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5"/>
      <c r="N454" s="204"/>
      <c r="O454" s="205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</row>
    <row r="455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5"/>
      <c r="N455" s="204"/>
      <c r="O455" s="205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</row>
    <row r="456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5"/>
      <c r="N456" s="204"/>
      <c r="O456" s="205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</row>
    <row r="457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5"/>
      <c r="N457" s="204"/>
      <c r="O457" s="205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</row>
    <row r="458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5"/>
      <c r="N458" s="204"/>
      <c r="O458" s="205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</row>
    <row r="459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5"/>
      <c r="N459" s="204"/>
      <c r="O459" s="205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</row>
    <row r="460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5"/>
      <c r="N460" s="204"/>
      <c r="O460" s="205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</row>
    <row r="46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5"/>
      <c r="N461" s="204"/>
      <c r="O461" s="205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</row>
    <row r="462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5"/>
      <c r="N462" s="204"/>
      <c r="O462" s="205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</row>
    <row r="463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5"/>
      <c r="N463" s="204"/>
      <c r="O463" s="205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</row>
    <row r="464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5"/>
      <c r="N464" s="204"/>
      <c r="O464" s="205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</row>
    <row r="465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5"/>
      <c r="N465" s="204"/>
      <c r="O465" s="205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</row>
    <row r="466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5"/>
      <c r="N466" s="204"/>
      <c r="O466" s="205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</row>
    <row r="467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5"/>
      <c r="N467" s="204"/>
      <c r="O467" s="205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</row>
    <row r="468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5"/>
      <c r="N468" s="204"/>
      <c r="O468" s="205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</row>
    <row r="469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5"/>
      <c r="N469" s="204"/>
      <c r="O469" s="205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</row>
    <row r="470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5"/>
      <c r="N470" s="204"/>
      <c r="O470" s="205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</row>
    <row r="47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5"/>
      <c r="N471" s="204"/>
      <c r="O471" s="205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</row>
    <row r="472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5"/>
      <c r="N472" s="204"/>
      <c r="O472" s="205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</row>
    <row r="473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5"/>
      <c r="N473" s="204"/>
      <c r="O473" s="205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</row>
    <row r="474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5"/>
      <c r="N474" s="204"/>
      <c r="O474" s="205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</row>
    <row r="475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5"/>
      <c r="N475" s="204"/>
      <c r="O475" s="205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</row>
    <row r="476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5"/>
      <c r="N476" s="204"/>
      <c r="O476" s="205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</row>
    <row r="477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5"/>
      <c r="N477" s="204"/>
      <c r="O477" s="205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</row>
    <row r="478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5"/>
      <c r="N478" s="204"/>
      <c r="O478" s="205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</row>
    <row r="479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5"/>
      <c r="N479" s="204"/>
      <c r="O479" s="205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</row>
    <row r="480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5"/>
      <c r="N480" s="204"/>
      <c r="O480" s="205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</row>
    <row r="48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5"/>
      <c r="N481" s="204"/>
      <c r="O481" s="205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</row>
    <row r="482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5"/>
      <c r="N482" s="204"/>
      <c r="O482" s="205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</row>
    <row r="483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5"/>
      <c r="N483" s="204"/>
      <c r="O483" s="205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</row>
    <row r="484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5"/>
      <c r="N484" s="204"/>
      <c r="O484" s="205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</row>
    <row r="485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5"/>
      <c r="N485" s="204"/>
      <c r="O485" s="205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</row>
    <row r="486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5"/>
      <c r="N486" s="204"/>
      <c r="O486" s="205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</row>
    <row r="487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5"/>
      <c r="N487" s="204"/>
      <c r="O487" s="205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</row>
    <row r="488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5"/>
      <c r="N488" s="204"/>
      <c r="O488" s="205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</row>
    <row r="489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5"/>
      <c r="N489" s="204"/>
      <c r="O489" s="205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</row>
    <row r="490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5"/>
      <c r="N490" s="204"/>
      <c r="O490" s="205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</row>
    <row r="49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5"/>
      <c r="N491" s="204"/>
      <c r="O491" s="205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</row>
    <row r="492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5"/>
      <c r="N492" s="204"/>
      <c r="O492" s="205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</row>
    <row r="493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5"/>
      <c r="N493" s="204"/>
      <c r="O493" s="205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</row>
    <row r="494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5"/>
      <c r="N494" s="204"/>
      <c r="O494" s="205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</row>
    <row r="495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5"/>
      <c r="N495" s="204"/>
      <c r="O495" s="205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</row>
    <row r="496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5"/>
      <c r="N496" s="204"/>
      <c r="O496" s="205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</row>
    <row r="497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5"/>
      <c r="N497" s="204"/>
      <c r="O497" s="205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</row>
    <row r="498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5"/>
      <c r="N498" s="204"/>
      <c r="O498" s="205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</row>
    <row r="499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5"/>
      <c r="N499" s="204"/>
      <c r="O499" s="205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</row>
    <row r="500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5"/>
      <c r="N500" s="204"/>
      <c r="O500" s="205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</row>
    <row r="50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5"/>
      <c r="N501" s="204"/>
      <c r="O501" s="205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</row>
    <row r="502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5"/>
      <c r="N502" s="204"/>
      <c r="O502" s="205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</row>
    <row r="503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5"/>
      <c r="N503" s="204"/>
      <c r="O503" s="205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</row>
    <row r="504">
      <c r="A504" s="204"/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5"/>
      <c r="N504" s="204"/>
      <c r="O504" s="205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</row>
    <row r="505">
      <c r="A505" s="204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5"/>
      <c r="N505" s="204"/>
      <c r="O505" s="205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</row>
    <row r="506">
      <c r="A506" s="204"/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5"/>
      <c r="N506" s="204"/>
      <c r="O506" s="205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</row>
    <row r="507">
      <c r="A507" s="204"/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5"/>
      <c r="N507" s="204"/>
      <c r="O507" s="205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</row>
    <row r="508">
      <c r="A508" s="204"/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5"/>
      <c r="N508" s="204"/>
      <c r="O508" s="205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</row>
    <row r="509">
      <c r="A509" s="204"/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5"/>
      <c r="N509" s="204"/>
      <c r="O509" s="205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</row>
    <row r="510">
      <c r="A510" s="204"/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5"/>
      <c r="N510" s="204"/>
      <c r="O510" s="205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</row>
    <row r="511">
      <c r="A511" s="204"/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5"/>
      <c r="N511" s="204"/>
      <c r="O511" s="205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</row>
    <row r="512">
      <c r="A512" s="204"/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5"/>
      <c r="N512" s="204"/>
      <c r="O512" s="205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</row>
    <row r="513">
      <c r="A513" s="204"/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5"/>
      <c r="N513" s="204"/>
      <c r="O513" s="205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</row>
    <row r="514">
      <c r="A514" s="204"/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5"/>
      <c r="N514" s="204"/>
      <c r="O514" s="205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</row>
    <row r="515">
      <c r="A515" s="204"/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5"/>
      <c r="N515" s="204"/>
      <c r="O515" s="205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</row>
    <row r="516">
      <c r="A516" s="204"/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5"/>
      <c r="N516" s="204"/>
      <c r="O516" s="205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</row>
    <row r="517">
      <c r="A517" s="204"/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5"/>
      <c r="N517" s="204"/>
      <c r="O517" s="205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</row>
    <row r="518">
      <c r="A518" s="204"/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5"/>
      <c r="N518" s="204"/>
      <c r="O518" s="205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</row>
    <row r="519">
      <c r="A519" s="204"/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5"/>
      <c r="N519" s="204"/>
      <c r="O519" s="205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</row>
    <row r="520">
      <c r="A520" s="204"/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5"/>
      <c r="N520" s="204"/>
      <c r="O520" s="205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</row>
    <row r="521">
      <c r="A521" s="204"/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5"/>
      <c r="N521" s="204"/>
      <c r="O521" s="205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</row>
    <row r="522">
      <c r="A522" s="204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5"/>
      <c r="N522" s="204"/>
      <c r="O522" s="205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</row>
    <row r="523">
      <c r="A523" s="204"/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5"/>
      <c r="N523" s="204"/>
      <c r="O523" s="205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</row>
    <row r="524">
      <c r="A524" s="204"/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5"/>
      <c r="N524" s="204"/>
      <c r="O524" s="205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</row>
    <row r="525">
      <c r="A525" s="204"/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5"/>
      <c r="N525" s="204"/>
      <c r="O525" s="205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</row>
    <row r="526">
      <c r="A526" s="204"/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5"/>
      <c r="N526" s="204"/>
      <c r="O526" s="205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</row>
    <row r="527">
      <c r="A527" s="204"/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5"/>
      <c r="N527" s="204"/>
      <c r="O527" s="205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</row>
    <row r="528">
      <c r="A528" s="204"/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5"/>
      <c r="N528" s="204"/>
      <c r="O528" s="205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</row>
    <row r="529">
      <c r="A529" s="204"/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5"/>
      <c r="N529" s="204"/>
      <c r="O529" s="205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</row>
    <row r="530">
      <c r="A530" s="204"/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5"/>
      <c r="N530" s="204"/>
      <c r="O530" s="205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</row>
    <row r="531">
      <c r="A531" s="204"/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5"/>
      <c r="N531" s="204"/>
      <c r="O531" s="205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</row>
    <row r="532">
      <c r="A532" s="204"/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5"/>
      <c r="N532" s="204"/>
      <c r="O532" s="205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</row>
    <row r="533">
      <c r="A533" s="204"/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5"/>
      <c r="N533" s="204"/>
      <c r="O533" s="205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</row>
    <row r="534">
      <c r="A534" s="204"/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5"/>
      <c r="N534" s="204"/>
      <c r="O534" s="205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</row>
    <row r="535">
      <c r="A535" s="204"/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5"/>
      <c r="N535" s="204"/>
      <c r="O535" s="205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</row>
    <row r="536">
      <c r="A536" s="204"/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5"/>
      <c r="N536" s="204"/>
      <c r="O536" s="205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</row>
    <row r="537">
      <c r="A537" s="204"/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5"/>
      <c r="N537" s="204"/>
      <c r="O537" s="205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</row>
    <row r="538">
      <c r="A538" s="204"/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5"/>
      <c r="N538" s="204"/>
      <c r="O538" s="205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</row>
    <row r="539">
      <c r="A539" s="204"/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5"/>
      <c r="N539" s="204"/>
      <c r="O539" s="205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</row>
    <row r="540">
      <c r="A540" s="204"/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5"/>
      <c r="N540" s="204"/>
      <c r="O540" s="205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</row>
    <row r="541">
      <c r="A541" s="204"/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5"/>
      <c r="N541" s="204"/>
      <c r="O541" s="205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</row>
    <row r="542">
      <c r="A542" s="204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5"/>
      <c r="N542" s="204"/>
      <c r="O542" s="205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</row>
    <row r="543">
      <c r="A543" s="204"/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5"/>
      <c r="N543" s="204"/>
      <c r="O543" s="205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</row>
    <row r="544">
      <c r="A544" s="204"/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5"/>
      <c r="N544" s="204"/>
      <c r="O544" s="205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</row>
    <row r="545">
      <c r="A545" s="204"/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5"/>
      <c r="N545" s="204"/>
      <c r="O545" s="205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</row>
    <row r="546">
      <c r="A546" s="204"/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5"/>
      <c r="N546" s="204"/>
      <c r="O546" s="205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</row>
    <row r="547">
      <c r="A547" s="204"/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5"/>
      <c r="N547" s="204"/>
      <c r="O547" s="205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</row>
    <row r="548">
      <c r="A548" s="204"/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5"/>
      <c r="N548" s="204"/>
      <c r="O548" s="205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</row>
    <row r="549">
      <c r="A549" s="204"/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5"/>
      <c r="N549" s="204"/>
      <c r="O549" s="205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</row>
    <row r="550">
      <c r="A550" s="204"/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5"/>
      <c r="N550" s="204"/>
      <c r="O550" s="205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</row>
    <row r="551">
      <c r="A551" s="204"/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5"/>
      <c r="N551" s="204"/>
      <c r="O551" s="205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</row>
    <row r="552">
      <c r="A552" s="204"/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5"/>
      <c r="N552" s="204"/>
      <c r="O552" s="205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</row>
    <row r="553">
      <c r="A553" s="204"/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5"/>
      <c r="N553" s="204"/>
      <c r="O553" s="205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</row>
    <row r="554">
      <c r="A554" s="204"/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5"/>
      <c r="N554" s="204"/>
      <c r="O554" s="205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</row>
    <row r="555">
      <c r="A555" s="204"/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5"/>
      <c r="N555" s="204"/>
      <c r="O555" s="205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</row>
    <row r="556">
      <c r="A556" s="204"/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5"/>
      <c r="N556" s="204"/>
      <c r="O556" s="205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</row>
    <row r="557">
      <c r="A557" s="204"/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5"/>
      <c r="N557" s="204"/>
      <c r="O557" s="205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</row>
    <row r="558">
      <c r="A558" s="204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5"/>
      <c r="N558" s="204"/>
      <c r="O558" s="205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</row>
    <row r="559">
      <c r="A559" s="204"/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5"/>
      <c r="N559" s="204"/>
      <c r="O559" s="205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</row>
    <row r="560">
      <c r="A560" s="204"/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5"/>
      <c r="N560" s="204"/>
      <c r="O560" s="205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</row>
    <row r="561">
      <c r="A561" s="204"/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5"/>
      <c r="N561" s="204"/>
      <c r="O561" s="205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</row>
    <row r="562">
      <c r="A562" s="204"/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5"/>
      <c r="N562" s="204"/>
      <c r="O562" s="205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</row>
    <row r="563">
      <c r="A563" s="204"/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5"/>
      <c r="N563" s="204"/>
      <c r="O563" s="205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</row>
    <row r="564">
      <c r="A564" s="204"/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5"/>
      <c r="N564" s="204"/>
      <c r="O564" s="205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</row>
    <row r="565">
      <c r="A565" s="204"/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5"/>
      <c r="N565" s="204"/>
      <c r="O565" s="205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</row>
    <row r="566">
      <c r="A566" s="204"/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5"/>
      <c r="N566" s="204"/>
      <c r="O566" s="205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</row>
    <row r="567">
      <c r="A567" s="204"/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5"/>
      <c r="N567" s="204"/>
      <c r="O567" s="205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</row>
    <row r="568">
      <c r="A568" s="204"/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5"/>
      <c r="N568" s="204"/>
      <c r="O568" s="205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</row>
    <row r="569">
      <c r="A569" s="204"/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5"/>
      <c r="N569" s="204"/>
      <c r="O569" s="205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</row>
    <row r="570">
      <c r="A570" s="204"/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5"/>
      <c r="N570" s="204"/>
      <c r="O570" s="205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</row>
    <row r="571">
      <c r="A571" s="204"/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5"/>
      <c r="N571" s="204"/>
      <c r="O571" s="205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</row>
    <row r="572">
      <c r="A572" s="204"/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5"/>
      <c r="N572" s="204"/>
      <c r="O572" s="205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</row>
    <row r="573">
      <c r="A573" s="204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5"/>
      <c r="N573" s="204"/>
      <c r="O573" s="205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</row>
    <row r="574">
      <c r="A574" s="204"/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5"/>
      <c r="N574" s="204"/>
      <c r="O574" s="205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</row>
    <row r="575">
      <c r="A575" s="204"/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5"/>
      <c r="N575" s="204"/>
      <c r="O575" s="205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</row>
    <row r="576">
      <c r="A576" s="204"/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5"/>
      <c r="N576" s="204"/>
      <c r="O576" s="205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</row>
    <row r="577">
      <c r="A577" s="204"/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5"/>
      <c r="N577" s="204"/>
      <c r="O577" s="205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</row>
    <row r="578">
      <c r="A578" s="204"/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5"/>
      <c r="N578" s="204"/>
      <c r="O578" s="205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</row>
    <row r="579">
      <c r="A579" s="204"/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5"/>
      <c r="N579" s="204"/>
      <c r="O579" s="205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</row>
    <row r="580">
      <c r="A580" s="204"/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5"/>
      <c r="N580" s="204"/>
      <c r="O580" s="205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</row>
    <row r="581">
      <c r="A581" s="204"/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5"/>
      <c r="N581" s="204"/>
      <c r="O581" s="205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</row>
    <row r="582">
      <c r="A582" s="204"/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5"/>
      <c r="N582" s="204"/>
      <c r="O582" s="205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</row>
    <row r="583">
      <c r="A583" s="204"/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5"/>
      <c r="N583" s="204"/>
      <c r="O583" s="205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</row>
    <row r="584">
      <c r="A584" s="204"/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5"/>
      <c r="N584" s="204"/>
      <c r="O584" s="205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</row>
    <row r="585">
      <c r="A585" s="204"/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5"/>
      <c r="N585" s="204"/>
      <c r="O585" s="205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</row>
    <row r="586">
      <c r="A586" s="204"/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5"/>
      <c r="N586" s="204"/>
      <c r="O586" s="205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</row>
    <row r="587">
      <c r="A587" s="204"/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5"/>
      <c r="N587" s="204"/>
      <c r="O587" s="205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</row>
    <row r="588">
      <c r="A588" s="204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5"/>
      <c r="N588" s="204"/>
      <c r="O588" s="205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</row>
    <row r="589">
      <c r="A589" s="204"/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5"/>
      <c r="N589" s="204"/>
      <c r="O589" s="205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</row>
    <row r="590">
      <c r="A590" s="204"/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5"/>
      <c r="N590" s="204"/>
      <c r="O590" s="205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</row>
    <row r="591">
      <c r="A591" s="204"/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5"/>
      <c r="N591" s="204"/>
      <c r="O591" s="205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</row>
    <row r="592">
      <c r="A592" s="204"/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5"/>
      <c r="N592" s="204"/>
      <c r="O592" s="205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</row>
    <row r="593">
      <c r="A593" s="204"/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5"/>
      <c r="N593" s="204"/>
      <c r="O593" s="205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</row>
    <row r="594">
      <c r="A594" s="204"/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5"/>
      <c r="N594" s="204"/>
      <c r="O594" s="205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</row>
    <row r="595">
      <c r="A595" s="204"/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5"/>
      <c r="N595" s="204"/>
      <c r="O595" s="205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</row>
    <row r="596">
      <c r="A596" s="204"/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5"/>
      <c r="N596" s="204"/>
      <c r="O596" s="205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</row>
    <row r="597">
      <c r="A597" s="204"/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5"/>
      <c r="N597" s="204"/>
      <c r="O597" s="205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</row>
    <row r="598">
      <c r="A598" s="204"/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5"/>
      <c r="N598" s="204"/>
      <c r="O598" s="205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</row>
    <row r="599">
      <c r="A599" s="204"/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5"/>
      <c r="N599" s="204"/>
      <c r="O599" s="205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</row>
    <row r="600">
      <c r="A600" s="204"/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5"/>
      <c r="N600" s="204"/>
      <c r="O600" s="205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</row>
    <row r="601">
      <c r="A601" s="204"/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5"/>
      <c r="N601" s="204"/>
      <c r="O601" s="205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</row>
    <row r="602">
      <c r="A602" s="204"/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5"/>
      <c r="N602" s="204"/>
      <c r="O602" s="205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</row>
    <row r="603">
      <c r="A603" s="204"/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5"/>
      <c r="N603" s="204"/>
      <c r="O603" s="205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</row>
    <row r="604">
      <c r="A604" s="204"/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5"/>
      <c r="N604" s="204"/>
      <c r="O604" s="205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</row>
    <row r="605">
      <c r="A605" s="204"/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5"/>
      <c r="N605" s="204"/>
      <c r="O605" s="205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</row>
    <row r="606">
      <c r="A606" s="204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5"/>
      <c r="N606" s="204"/>
      <c r="O606" s="205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</row>
    <row r="607">
      <c r="A607" s="204"/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5"/>
      <c r="N607" s="204"/>
      <c r="O607" s="205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</row>
    <row r="608">
      <c r="A608" s="204"/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5"/>
      <c r="N608" s="204"/>
      <c r="O608" s="205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</row>
    <row r="609">
      <c r="A609" s="204"/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5"/>
      <c r="N609" s="204"/>
      <c r="O609" s="205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</row>
    <row r="610">
      <c r="A610" s="204"/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5"/>
      <c r="N610" s="204"/>
      <c r="O610" s="205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</row>
    <row r="611">
      <c r="A611" s="204"/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5"/>
      <c r="N611" s="204"/>
      <c r="O611" s="205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</row>
    <row r="612">
      <c r="A612" s="204"/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5"/>
      <c r="N612" s="204"/>
      <c r="O612" s="205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</row>
    <row r="613">
      <c r="A613" s="204"/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5"/>
      <c r="N613" s="204"/>
      <c r="O613" s="205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</row>
    <row r="614">
      <c r="A614" s="204"/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5"/>
      <c r="N614" s="204"/>
      <c r="O614" s="205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</row>
    <row r="615">
      <c r="A615" s="204"/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5"/>
      <c r="N615" s="204"/>
      <c r="O615" s="205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</row>
    <row r="616">
      <c r="A616" s="204"/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5"/>
      <c r="N616" s="204"/>
      <c r="O616" s="205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</row>
    <row r="617">
      <c r="A617" s="204"/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5"/>
      <c r="N617" s="204"/>
      <c r="O617" s="205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</row>
    <row r="618">
      <c r="A618" s="204"/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5"/>
      <c r="N618" s="204"/>
      <c r="O618" s="205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</row>
    <row r="619">
      <c r="A619" s="204"/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5"/>
      <c r="N619" s="204"/>
      <c r="O619" s="205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</row>
    <row r="620">
      <c r="A620" s="204"/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5"/>
      <c r="N620" s="204"/>
      <c r="O620" s="205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</row>
    <row r="621">
      <c r="A621" s="204"/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5"/>
      <c r="N621" s="204"/>
      <c r="O621" s="205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</row>
    <row r="622">
      <c r="A622" s="204"/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5"/>
      <c r="N622" s="204"/>
      <c r="O622" s="205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</row>
    <row r="623">
      <c r="A623" s="204"/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5"/>
      <c r="N623" s="204"/>
      <c r="O623" s="205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</row>
    <row r="624">
      <c r="A624" s="204"/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5"/>
      <c r="N624" s="204"/>
      <c r="O624" s="205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</row>
    <row r="625">
      <c r="A625" s="204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5"/>
      <c r="N625" s="204"/>
      <c r="O625" s="205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</row>
    <row r="626">
      <c r="A626" s="204"/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5"/>
      <c r="N626" s="204"/>
      <c r="O626" s="205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</row>
    <row r="627">
      <c r="A627" s="204"/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5"/>
      <c r="N627" s="204"/>
      <c r="O627" s="205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</row>
    <row r="628">
      <c r="A628" s="204"/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5"/>
      <c r="N628" s="204"/>
      <c r="O628" s="205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</row>
    <row r="629">
      <c r="A629" s="204"/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5"/>
      <c r="N629" s="204"/>
      <c r="O629" s="205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</row>
    <row r="630">
      <c r="A630" s="204"/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5"/>
      <c r="N630" s="204"/>
      <c r="O630" s="205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</row>
    <row r="631">
      <c r="A631" s="204"/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5"/>
      <c r="N631" s="204"/>
      <c r="O631" s="205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</row>
    <row r="632">
      <c r="A632" s="204"/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5"/>
      <c r="N632" s="204"/>
      <c r="O632" s="205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</row>
    <row r="633">
      <c r="A633" s="204"/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5"/>
      <c r="N633" s="204"/>
      <c r="O633" s="205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</row>
    <row r="634">
      <c r="A634" s="204"/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5"/>
      <c r="N634" s="204"/>
      <c r="O634" s="205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</row>
    <row r="635">
      <c r="A635" s="204"/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5"/>
      <c r="N635" s="204"/>
      <c r="O635" s="205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</row>
    <row r="636">
      <c r="A636" s="204"/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5"/>
      <c r="N636" s="204"/>
      <c r="O636" s="205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</row>
    <row r="637">
      <c r="A637" s="204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5"/>
      <c r="N637" s="204"/>
      <c r="O637" s="205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</row>
    <row r="638">
      <c r="A638" s="204"/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5"/>
      <c r="N638" s="204"/>
      <c r="O638" s="205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</row>
    <row r="639">
      <c r="A639" s="204"/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5"/>
      <c r="N639" s="204"/>
      <c r="O639" s="205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</row>
    <row r="640">
      <c r="A640" s="204"/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5"/>
      <c r="N640" s="204"/>
      <c r="O640" s="205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</row>
    <row r="641">
      <c r="A641" s="204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5"/>
      <c r="N641" s="204"/>
      <c r="O641" s="205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</row>
    <row r="642">
      <c r="A642" s="204"/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5"/>
      <c r="N642" s="204"/>
      <c r="O642" s="205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</row>
    <row r="643">
      <c r="A643" s="204"/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5"/>
      <c r="N643" s="204"/>
      <c r="O643" s="205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</row>
    <row r="644">
      <c r="A644" s="204"/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5"/>
      <c r="N644" s="204"/>
      <c r="O644" s="205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</row>
    <row r="645">
      <c r="A645" s="204"/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5"/>
      <c r="N645" s="204"/>
      <c r="O645" s="205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</row>
    <row r="646">
      <c r="A646" s="204"/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5"/>
      <c r="N646" s="204"/>
      <c r="O646" s="205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</row>
    <row r="647">
      <c r="A647" s="204"/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5"/>
      <c r="N647" s="204"/>
      <c r="O647" s="205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</row>
    <row r="648">
      <c r="A648" s="204"/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5"/>
      <c r="N648" s="204"/>
      <c r="O648" s="205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</row>
    <row r="649">
      <c r="A649" s="204"/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5"/>
      <c r="N649" s="204"/>
      <c r="O649" s="205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</row>
    <row r="650">
      <c r="A650" s="204"/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5"/>
      <c r="N650" s="204"/>
      <c r="O650" s="205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</row>
    <row r="651">
      <c r="A651" s="204"/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5"/>
      <c r="N651" s="204"/>
      <c r="O651" s="205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</row>
    <row r="652">
      <c r="A652" s="204"/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5"/>
      <c r="N652" s="204"/>
      <c r="O652" s="205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</row>
    <row r="653">
      <c r="A653" s="204"/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5"/>
      <c r="N653" s="204"/>
      <c r="O653" s="205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</row>
    <row r="654">
      <c r="A654" s="204"/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5"/>
      <c r="N654" s="204"/>
      <c r="O654" s="205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</row>
    <row r="655">
      <c r="A655" s="204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5"/>
      <c r="N655" s="204"/>
      <c r="O655" s="205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</row>
    <row r="656">
      <c r="A656" s="204"/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5"/>
      <c r="N656" s="204"/>
      <c r="O656" s="205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</row>
    <row r="657">
      <c r="A657" s="204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5"/>
      <c r="N657" s="204"/>
      <c r="O657" s="205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</row>
    <row r="658">
      <c r="A658" s="204"/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5"/>
      <c r="N658" s="204"/>
      <c r="O658" s="205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</row>
    <row r="659">
      <c r="A659" s="204"/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5"/>
      <c r="N659" s="204"/>
      <c r="O659" s="205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</row>
    <row r="660">
      <c r="A660" s="204"/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5"/>
      <c r="N660" s="204"/>
      <c r="O660" s="205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</row>
    <row r="661">
      <c r="A661" s="204"/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5"/>
      <c r="N661" s="204"/>
      <c r="O661" s="205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</row>
    <row r="662">
      <c r="A662" s="204"/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5"/>
      <c r="N662" s="204"/>
      <c r="O662" s="205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</row>
    <row r="663">
      <c r="A663" s="204"/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5"/>
      <c r="N663" s="204"/>
      <c r="O663" s="205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</row>
    <row r="664">
      <c r="A664" s="204"/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5"/>
      <c r="N664" s="204"/>
      <c r="O664" s="205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</row>
    <row r="665">
      <c r="A665" s="204"/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5"/>
      <c r="N665" s="204"/>
      <c r="O665" s="205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</row>
    <row r="666">
      <c r="A666" s="204"/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5"/>
      <c r="N666" s="204"/>
      <c r="O666" s="205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</row>
    <row r="667">
      <c r="A667" s="204"/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5"/>
      <c r="N667" s="204"/>
      <c r="O667" s="205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</row>
    <row r="668">
      <c r="A668" s="204"/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5"/>
      <c r="N668" s="204"/>
      <c r="O668" s="205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</row>
    <row r="669">
      <c r="A669" s="204"/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5"/>
      <c r="N669" s="204"/>
      <c r="O669" s="205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</row>
    <row r="670">
      <c r="A670" s="204"/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5"/>
      <c r="N670" s="204"/>
      <c r="O670" s="205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</row>
    <row r="671">
      <c r="A671" s="204"/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5"/>
      <c r="N671" s="204"/>
      <c r="O671" s="205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</row>
    <row r="672">
      <c r="A672" s="204"/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5"/>
      <c r="N672" s="204"/>
      <c r="O672" s="205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</row>
    <row r="673">
      <c r="A673" s="204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5"/>
      <c r="N673" s="204"/>
      <c r="O673" s="205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</row>
    <row r="674">
      <c r="A674" s="204"/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5"/>
      <c r="N674" s="204"/>
      <c r="O674" s="205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</row>
    <row r="675">
      <c r="A675" s="204"/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5"/>
      <c r="N675" s="204"/>
      <c r="O675" s="205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</row>
    <row r="676">
      <c r="A676" s="204"/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5"/>
      <c r="N676" s="204"/>
      <c r="O676" s="205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</row>
    <row r="677">
      <c r="A677" s="204"/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5"/>
      <c r="N677" s="204"/>
      <c r="O677" s="205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</row>
    <row r="678">
      <c r="A678" s="204"/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5"/>
      <c r="N678" s="204"/>
      <c r="O678" s="205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</row>
    <row r="679">
      <c r="A679" s="204"/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5"/>
      <c r="N679" s="204"/>
      <c r="O679" s="205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</row>
    <row r="680">
      <c r="A680" s="204"/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5"/>
      <c r="N680" s="204"/>
      <c r="O680" s="205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</row>
    <row r="681">
      <c r="A681" s="204"/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5"/>
      <c r="N681" s="204"/>
      <c r="O681" s="205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</row>
    <row r="682">
      <c r="A682" s="204"/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5"/>
      <c r="N682" s="204"/>
      <c r="O682" s="205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</row>
    <row r="683">
      <c r="A683" s="204"/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5"/>
      <c r="N683" s="204"/>
      <c r="O683" s="205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</row>
    <row r="684">
      <c r="A684" s="204"/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5"/>
      <c r="N684" s="204"/>
      <c r="O684" s="205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</row>
    <row r="685">
      <c r="A685" s="204"/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5"/>
      <c r="N685" s="204"/>
      <c r="O685" s="205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</row>
    <row r="686">
      <c r="A686" s="204"/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5"/>
      <c r="N686" s="204"/>
      <c r="O686" s="205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</row>
    <row r="687">
      <c r="A687" s="204"/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5"/>
      <c r="N687" s="204"/>
      <c r="O687" s="205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</row>
    <row r="688">
      <c r="A688" s="204"/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5"/>
      <c r="N688" s="204"/>
      <c r="O688" s="205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</row>
    <row r="689">
      <c r="A689" s="204"/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5"/>
      <c r="N689" s="204"/>
      <c r="O689" s="205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</row>
    <row r="690">
      <c r="A690" s="204"/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5"/>
      <c r="N690" s="204"/>
      <c r="O690" s="205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</row>
    <row r="691">
      <c r="A691" s="204"/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5"/>
      <c r="N691" s="204"/>
      <c r="O691" s="205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</row>
    <row r="692">
      <c r="A692" s="204"/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5"/>
      <c r="N692" s="204"/>
      <c r="O692" s="205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</row>
    <row r="693">
      <c r="A693" s="204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5"/>
      <c r="N693" s="204"/>
      <c r="O693" s="205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</row>
    <row r="694">
      <c r="A694" s="204"/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5"/>
      <c r="N694" s="204"/>
      <c r="O694" s="205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</row>
    <row r="695">
      <c r="A695" s="204"/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5"/>
      <c r="N695" s="204"/>
      <c r="O695" s="205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</row>
    <row r="696">
      <c r="A696" s="204"/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5"/>
      <c r="N696" s="204"/>
      <c r="O696" s="205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</row>
    <row r="697">
      <c r="A697" s="204"/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5"/>
      <c r="N697" s="204"/>
      <c r="O697" s="205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</row>
    <row r="698">
      <c r="A698" s="204"/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5"/>
      <c r="N698" s="204"/>
      <c r="O698" s="205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</row>
    <row r="699">
      <c r="A699" s="204"/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5"/>
      <c r="N699" s="204"/>
      <c r="O699" s="205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</row>
    <row r="700">
      <c r="A700" s="204"/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5"/>
      <c r="N700" s="204"/>
      <c r="O700" s="205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</row>
    <row r="701">
      <c r="A701" s="204"/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5"/>
      <c r="N701" s="204"/>
      <c r="O701" s="205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</row>
    <row r="702">
      <c r="A702" s="204"/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5"/>
      <c r="N702" s="204"/>
      <c r="O702" s="205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</row>
    <row r="703">
      <c r="A703" s="204"/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5"/>
      <c r="N703" s="204"/>
      <c r="O703" s="205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</row>
    <row r="704">
      <c r="A704" s="204"/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5"/>
      <c r="N704" s="204"/>
      <c r="O704" s="205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</row>
    <row r="705">
      <c r="A705" s="204"/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5"/>
      <c r="N705" s="204"/>
      <c r="O705" s="205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</row>
    <row r="706">
      <c r="A706" s="204"/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5"/>
      <c r="N706" s="204"/>
      <c r="O706" s="205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</row>
    <row r="707">
      <c r="A707" s="204"/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5"/>
      <c r="N707" s="204"/>
      <c r="O707" s="205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</row>
    <row r="708">
      <c r="A708" s="204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5"/>
      <c r="N708" s="204"/>
      <c r="O708" s="205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</row>
    <row r="709">
      <c r="A709" s="204"/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5"/>
      <c r="N709" s="204"/>
      <c r="O709" s="205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</row>
    <row r="710">
      <c r="A710" s="204"/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5"/>
      <c r="N710" s="204"/>
      <c r="O710" s="205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</row>
    <row r="711">
      <c r="A711" s="204"/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5"/>
      <c r="N711" s="204"/>
      <c r="O711" s="205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</row>
    <row r="712">
      <c r="A712" s="204"/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5"/>
      <c r="N712" s="204"/>
      <c r="O712" s="205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</row>
    <row r="713">
      <c r="A713" s="204"/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5"/>
      <c r="N713" s="204"/>
      <c r="O713" s="205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</row>
    <row r="714">
      <c r="A714" s="204"/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5"/>
      <c r="N714" s="204"/>
      <c r="O714" s="205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</row>
    <row r="715">
      <c r="A715" s="204"/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5"/>
      <c r="N715" s="204"/>
      <c r="O715" s="205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</row>
    <row r="716">
      <c r="A716" s="204"/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5"/>
      <c r="N716" s="204"/>
      <c r="O716" s="205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</row>
    <row r="717">
      <c r="A717" s="204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5"/>
      <c r="N717" s="204"/>
      <c r="O717" s="205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</row>
    <row r="718">
      <c r="A718" s="204"/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5"/>
      <c r="N718" s="204"/>
      <c r="O718" s="205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</row>
    <row r="719">
      <c r="A719" s="204"/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5"/>
      <c r="N719" s="204"/>
      <c r="O719" s="205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</row>
    <row r="720">
      <c r="A720" s="204"/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5"/>
      <c r="N720" s="204"/>
      <c r="O720" s="205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</row>
    <row r="721">
      <c r="A721" s="204"/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5"/>
      <c r="N721" s="204"/>
      <c r="O721" s="205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</row>
    <row r="722">
      <c r="A722" s="204"/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5"/>
      <c r="N722" s="204"/>
      <c r="O722" s="205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</row>
    <row r="723">
      <c r="A723" s="204"/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5"/>
      <c r="N723" s="204"/>
      <c r="O723" s="205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</row>
    <row r="724">
      <c r="A724" s="204"/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5"/>
      <c r="N724" s="204"/>
      <c r="O724" s="205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</row>
    <row r="725">
      <c r="A725" s="204"/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5"/>
      <c r="N725" s="204"/>
      <c r="O725" s="205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</row>
    <row r="726">
      <c r="A726" s="204"/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5"/>
      <c r="N726" s="204"/>
      <c r="O726" s="205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</row>
    <row r="727">
      <c r="A727" s="204"/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5"/>
      <c r="N727" s="204"/>
      <c r="O727" s="205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</row>
    <row r="728">
      <c r="A728" s="204"/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5"/>
      <c r="N728" s="204"/>
      <c r="O728" s="205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</row>
    <row r="729">
      <c r="A729" s="204"/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5"/>
      <c r="N729" s="204"/>
      <c r="O729" s="205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</row>
    <row r="730">
      <c r="A730" s="204"/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5"/>
      <c r="N730" s="204"/>
      <c r="O730" s="205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</row>
    <row r="731">
      <c r="A731" s="204"/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5"/>
      <c r="N731" s="204"/>
      <c r="O731" s="205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</row>
    <row r="732">
      <c r="A732" s="204"/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5"/>
      <c r="N732" s="204"/>
      <c r="O732" s="205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</row>
    <row r="733">
      <c r="A733" s="204"/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5"/>
      <c r="N733" s="204"/>
      <c r="O733" s="205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</row>
    <row r="734">
      <c r="A734" s="204"/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5"/>
      <c r="N734" s="204"/>
      <c r="O734" s="205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</row>
    <row r="735">
      <c r="A735" s="204"/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5"/>
      <c r="N735" s="204"/>
      <c r="O735" s="205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</row>
    <row r="736">
      <c r="A736" s="204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5"/>
      <c r="N736" s="204"/>
      <c r="O736" s="205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</row>
    <row r="737">
      <c r="A737" s="204"/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5"/>
      <c r="N737" s="204"/>
      <c r="O737" s="205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</row>
    <row r="738">
      <c r="A738" s="204"/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5"/>
      <c r="N738" s="204"/>
      <c r="O738" s="205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</row>
    <row r="739">
      <c r="A739" s="204"/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5"/>
      <c r="N739" s="204"/>
      <c r="O739" s="205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</row>
    <row r="740">
      <c r="A740" s="204"/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5"/>
      <c r="N740" s="204"/>
      <c r="O740" s="205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</row>
    <row r="741">
      <c r="A741" s="204"/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5"/>
      <c r="N741" s="204"/>
      <c r="O741" s="205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</row>
    <row r="742">
      <c r="A742" s="204"/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5"/>
      <c r="N742" s="204"/>
      <c r="O742" s="205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</row>
    <row r="743">
      <c r="A743" s="204"/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5"/>
      <c r="N743" s="204"/>
      <c r="O743" s="205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</row>
    <row r="744">
      <c r="A744" s="204"/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5"/>
      <c r="N744" s="204"/>
      <c r="O744" s="205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</row>
    <row r="745">
      <c r="A745" s="204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5"/>
      <c r="N745" s="204"/>
      <c r="O745" s="205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</row>
    <row r="746">
      <c r="A746" s="204"/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5"/>
      <c r="N746" s="204"/>
      <c r="O746" s="205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</row>
    <row r="747">
      <c r="A747" s="204"/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5"/>
      <c r="N747" s="204"/>
      <c r="O747" s="205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</row>
    <row r="748">
      <c r="A748" s="204"/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5"/>
      <c r="N748" s="204"/>
      <c r="O748" s="205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</row>
    <row r="749">
      <c r="A749" s="204"/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5"/>
      <c r="N749" s="204"/>
      <c r="O749" s="205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</row>
    <row r="750">
      <c r="A750" s="204"/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5"/>
      <c r="N750" s="204"/>
      <c r="O750" s="205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</row>
    <row r="751">
      <c r="A751" s="204"/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5"/>
      <c r="N751" s="204"/>
      <c r="O751" s="205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</row>
    <row r="752">
      <c r="A752" s="204"/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5"/>
      <c r="N752" s="204"/>
      <c r="O752" s="205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</row>
    <row r="753">
      <c r="A753" s="204"/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5"/>
      <c r="N753" s="204"/>
      <c r="O753" s="205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</row>
    <row r="754">
      <c r="A754" s="204"/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5"/>
      <c r="N754" s="204"/>
      <c r="O754" s="205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</row>
    <row r="755">
      <c r="A755" s="204"/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5"/>
      <c r="N755" s="204"/>
      <c r="O755" s="205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</row>
    <row r="756">
      <c r="A756" s="204"/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5"/>
      <c r="N756" s="204"/>
      <c r="O756" s="205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</row>
    <row r="757">
      <c r="A757" s="204"/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5"/>
      <c r="N757" s="204"/>
      <c r="O757" s="205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</row>
    <row r="758">
      <c r="A758" s="204"/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5"/>
      <c r="N758" s="204"/>
      <c r="O758" s="205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</row>
    <row r="759">
      <c r="A759" s="204"/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5"/>
      <c r="N759" s="204"/>
      <c r="O759" s="205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</row>
    <row r="760">
      <c r="A760" s="204"/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5"/>
      <c r="N760" s="204"/>
      <c r="O760" s="205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</row>
    <row r="761">
      <c r="A761" s="204"/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5"/>
      <c r="N761" s="204"/>
      <c r="O761" s="205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</row>
    <row r="762">
      <c r="A762" s="204"/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5"/>
      <c r="N762" s="204"/>
      <c r="O762" s="205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</row>
    <row r="763">
      <c r="A763" s="204"/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5"/>
      <c r="N763" s="204"/>
      <c r="O763" s="205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</row>
    <row r="764">
      <c r="A764" s="204"/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5"/>
      <c r="N764" s="204"/>
      <c r="O764" s="205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</row>
    <row r="765">
      <c r="A765" s="204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5"/>
      <c r="N765" s="204"/>
      <c r="O765" s="205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</row>
    <row r="766">
      <c r="A766" s="204"/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5"/>
      <c r="N766" s="204"/>
      <c r="O766" s="205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</row>
    <row r="767">
      <c r="A767" s="204"/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5"/>
      <c r="N767" s="204"/>
      <c r="O767" s="205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</row>
    <row r="768">
      <c r="A768" s="204"/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5"/>
      <c r="N768" s="204"/>
      <c r="O768" s="205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</row>
    <row r="769">
      <c r="A769" s="204"/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5"/>
      <c r="N769" s="204"/>
      <c r="O769" s="205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</row>
    <row r="770">
      <c r="A770" s="204"/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5"/>
      <c r="N770" s="204"/>
      <c r="O770" s="205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</row>
    <row r="771">
      <c r="A771" s="204"/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5"/>
      <c r="N771" s="204"/>
      <c r="O771" s="205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</row>
    <row r="772">
      <c r="A772" s="204"/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5"/>
      <c r="N772" s="204"/>
      <c r="O772" s="205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</row>
    <row r="773">
      <c r="A773" s="204"/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5"/>
      <c r="N773" s="204"/>
      <c r="O773" s="205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</row>
    <row r="774">
      <c r="A774" s="204"/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5"/>
      <c r="N774" s="204"/>
      <c r="O774" s="205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</row>
    <row r="775">
      <c r="A775" s="204"/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5"/>
      <c r="N775" s="204"/>
      <c r="O775" s="205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</row>
    <row r="776">
      <c r="A776" s="204"/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5"/>
      <c r="N776" s="204"/>
      <c r="O776" s="205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</row>
    <row r="777">
      <c r="A777" s="204"/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5"/>
      <c r="N777" s="204"/>
      <c r="O777" s="205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</row>
    <row r="778">
      <c r="A778" s="204"/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5"/>
      <c r="N778" s="204"/>
      <c r="O778" s="205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</row>
    <row r="779">
      <c r="A779" s="204"/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5"/>
      <c r="N779" s="204"/>
      <c r="O779" s="205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</row>
    <row r="780">
      <c r="A780" s="204"/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5"/>
      <c r="N780" s="204"/>
      <c r="O780" s="205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</row>
    <row r="781">
      <c r="A781" s="204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5"/>
      <c r="N781" s="204"/>
      <c r="O781" s="205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</row>
    <row r="782">
      <c r="A782" s="204"/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5"/>
      <c r="N782" s="204"/>
      <c r="O782" s="205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</row>
    <row r="783">
      <c r="A783" s="204"/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5"/>
      <c r="N783" s="204"/>
      <c r="O783" s="205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</row>
    <row r="784">
      <c r="A784" s="204"/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5"/>
      <c r="N784" s="204"/>
      <c r="O784" s="205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</row>
    <row r="785">
      <c r="A785" s="204"/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5"/>
      <c r="N785" s="204"/>
      <c r="O785" s="205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</row>
    <row r="786">
      <c r="A786" s="204"/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5"/>
      <c r="N786" s="204"/>
      <c r="O786" s="205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</row>
    <row r="787">
      <c r="A787" s="204"/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5"/>
      <c r="N787" s="204"/>
      <c r="O787" s="205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</row>
    <row r="788">
      <c r="A788" s="204"/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5"/>
      <c r="N788" s="204"/>
      <c r="O788" s="205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</row>
    <row r="789">
      <c r="A789" s="204"/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5"/>
      <c r="N789" s="204"/>
      <c r="O789" s="205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</row>
    <row r="790">
      <c r="A790" s="204"/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5"/>
      <c r="N790" s="204"/>
      <c r="O790" s="205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</row>
    <row r="791">
      <c r="A791" s="204"/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5"/>
      <c r="N791" s="204"/>
      <c r="O791" s="205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</row>
    <row r="792">
      <c r="A792" s="204"/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5"/>
      <c r="N792" s="204"/>
      <c r="O792" s="205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</row>
    <row r="793">
      <c r="A793" s="204"/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5"/>
      <c r="N793" s="204"/>
      <c r="O793" s="205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</row>
    <row r="794">
      <c r="A794" s="204"/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5"/>
      <c r="N794" s="204"/>
      <c r="O794" s="205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</row>
    <row r="795">
      <c r="A795" s="204"/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5"/>
      <c r="N795" s="204"/>
      <c r="O795" s="205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</row>
    <row r="796">
      <c r="A796" s="204"/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5"/>
      <c r="N796" s="204"/>
      <c r="O796" s="205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</row>
    <row r="797">
      <c r="A797" s="204"/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5"/>
      <c r="N797" s="204"/>
      <c r="O797" s="205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</row>
    <row r="798">
      <c r="A798" s="204"/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5"/>
      <c r="N798" s="204"/>
      <c r="O798" s="205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</row>
    <row r="799">
      <c r="A799" s="204"/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5"/>
      <c r="N799" s="204"/>
      <c r="O799" s="205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</row>
    <row r="800">
      <c r="A800" s="204"/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5"/>
      <c r="N800" s="204"/>
      <c r="O800" s="205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</row>
    <row r="801">
      <c r="A801" s="204"/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5"/>
      <c r="N801" s="204"/>
      <c r="O801" s="205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</row>
    <row r="802">
      <c r="A802" s="204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5"/>
      <c r="N802" s="204"/>
      <c r="O802" s="205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</row>
    <row r="803">
      <c r="A803" s="204"/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5"/>
      <c r="N803" s="204"/>
      <c r="O803" s="205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</row>
    <row r="804">
      <c r="A804" s="204"/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5"/>
      <c r="N804" s="204"/>
      <c r="O804" s="205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</row>
    <row r="805">
      <c r="A805" s="204"/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5"/>
      <c r="N805" s="204"/>
      <c r="O805" s="205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</row>
    <row r="806">
      <c r="A806" s="204"/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5"/>
      <c r="N806" s="204"/>
      <c r="O806" s="205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</row>
    <row r="807">
      <c r="A807" s="204"/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5"/>
      <c r="N807" s="204"/>
      <c r="O807" s="205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</row>
    <row r="808">
      <c r="A808" s="204"/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5"/>
      <c r="N808" s="204"/>
      <c r="O808" s="205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</row>
    <row r="809">
      <c r="A809" s="204"/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5"/>
      <c r="N809" s="204"/>
      <c r="O809" s="205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</row>
    <row r="810">
      <c r="A810" s="204"/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5"/>
      <c r="N810" s="204"/>
      <c r="O810" s="205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</row>
    <row r="811">
      <c r="A811" s="204"/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5"/>
      <c r="N811" s="204"/>
      <c r="O811" s="205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</row>
    <row r="812">
      <c r="A812" s="204"/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5"/>
      <c r="N812" s="204"/>
      <c r="O812" s="205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</row>
    <row r="813">
      <c r="A813" s="204"/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5"/>
      <c r="N813" s="204"/>
      <c r="O813" s="205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</row>
    <row r="814">
      <c r="A814" s="204"/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5"/>
      <c r="N814" s="204"/>
      <c r="O814" s="205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</row>
    <row r="815">
      <c r="A815" s="204"/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5"/>
      <c r="N815" s="204"/>
      <c r="O815" s="205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</row>
    <row r="816">
      <c r="A816" s="204"/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5"/>
      <c r="N816" s="204"/>
      <c r="O816" s="205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</row>
    <row r="817">
      <c r="A817" s="204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5"/>
      <c r="N817" s="204"/>
      <c r="O817" s="205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</row>
    <row r="818">
      <c r="A818" s="204"/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5"/>
      <c r="N818" s="204"/>
      <c r="O818" s="205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</row>
    <row r="819">
      <c r="A819" s="204"/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5"/>
      <c r="N819" s="204"/>
      <c r="O819" s="205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</row>
    <row r="820">
      <c r="A820" s="204"/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5"/>
      <c r="N820" s="204"/>
      <c r="O820" s="205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</row>
    <row r="821">
      <c r="A821" s="204"/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5"/>
      <c r="N821" s="204"/>
      <c r="O821" s="205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</row>
    <row r="822">
      <c r="A822" s="204"/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5"/>
      <c r="N822" s="204"/>
      <c r="O822" s="205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</row>
    <row r="823">
      <c r="A823" s="204"/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5"/>
      <c r="N823" s="204"/>
      <c r="O823" s="205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</row>
    <row r="824">
      <c r="A824" s="204"/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5"/>
      <c r="N824" s="204"/>
      <c r="O824" s="205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</row>
    <row r="825">
      <c r="A825" s="204"/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5"/>
      <c r="N825" s="204"/>
      <c r="O825" s="205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</row>
    <row r="826">
      <c r="A826" s="204"/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5"/>
      <c r="N826" s="204"/>
      <c r="O826" s="205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</row>
    <row r="827">
      <c r="A827" s="204"/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5"/>
      <c r="N827" s="204"/>
      <c r="O827" s="205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</row>
    <row r="828">
      <c r="A828" s="204"/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5"/>
      <c r="N828" s="204"/>
      <c r="O828" s="205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</row>
    <row r="829">
      <c r="A829" s="204"/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5"/>
      <c r="N829" s="204"/>
      <c r="O829" s="205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</row>
    <row r="830">
      <c r="A830" s="204"/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5"/>
      <c r="N830" s="204"/>
      <c r="O830" s="205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</row>
    <row r="831">
      <c r="A831" s="204"/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5"/>
      <c r="N831" s="204"/>
      <c r="O831" s="205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</row>
    <row r="832">
      <c r="A832" s="204"/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5"/>
      <c r="N832" s="204"/>
      <c r="O832" s="205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</row>
    <row r="833">
      <c r="A833" s="204"/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5"/>
      <c r="N833" s="204"/>
      <c r="O833" s="205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</row>
    <row r="834">
      <c r="A834" s="204"/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5"/>
      <c r="N834" s="204"/>
      <c r="O834" s="205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</row>
    <row r="835">
      <c r="A835" s="204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5"/>
      <c r="N835" s="204"/>
      <c r="O835" s="205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</row>
    <row r="836">
      <c r="A836" s="204"/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5"/>
      <c r="N836" s="204"/>
      <c r="O836" s="205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</row>
    <row r="837">
      <c r="A837" s="204"/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5"/>
      <c r="N837" s="204"/>
      <c r="O837" s="205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</row>
    <row r="838">
      <c r="A838" s="204"/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5"/>
      <c r="N838" s="204"/>
      <c r="O838" s="205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</row>
    <row r="839">
      <c r="A839" s="204"/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5"/>
      <c r="N839" s="204"/>
      <c r="O839" s="205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</row>
    <row r="840">
      <c r="A840" s="204"/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5"/>
      <c r="N840" s="204"/>
      <c r="O840" s="205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</row>
    <row r="841">
      <c r="A841" s="204"/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5"/>
      <c r="N841" s="204"/>
      <c r="O841" s="205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</row>
    <row r="842">
      <c r="A842" s="204"/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5"/>
      <c r="N842" s="204"/>
      <c r="O842" s="205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</row>
    <row r="843">
      <c r="A843" s="204"/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5"/>
      <c r="N843" s="204"/>
      <c r="O843" s="205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</row>
    <row r="844">
      <c r="A844" s="204"/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5"/>
      <c r="N844" s="204"/>
      <c r="O844" s="205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</row>
    <row r="845">
      <c r="A845" s="204"/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5"/>
      <c r="N845" s="204"/>
      <c r="O845" s="205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</row>
    <row r="846">
      <c r="A846" s="204"/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5"/>
      <c r="N846" s="204"/>
      <c r="O846" s="205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</row>
    <row r="847">
      <c r="A847" s="204"/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5"/>
      <c r="N847" s="204"/>
      <c r="O847" s="205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</row>
    <row r="848">
      <c r="A848" s="204"/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5"/>
      <c r="N848" s="204"/>
      <c r="O848" s="205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</row>
    <row r="849">
      <c r="A849" s="204"/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5"/>
      <c r="N849" s="204"/>
      <c r="O849" s="205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</row>
    <row r="850">
      <c r="A850" s="204"/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5"/>
      <c r="N850" s="204"/>
      <c r="O850" s="205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</row>
    <row r="851">
      <c r="A851" s="204"/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5"/>
      <c r="N851" s="204"/>
      <c r="O851" s="205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</row>
    <row r="852">
      <c r="A852" s="204"/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5"/>
      <c r="N852" s="204"/>
      <c r="O852" s="205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</row>
    <row r="853">
      <c r="A853" s="204"/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5"/>
      <c r="N853" s="204"/>
      <c r="O853" s="205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</row>
    <row r="854">
      <c r="A854" s="204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5"/>
      <c r="N854" s="204"/>
      <c r="O854" s="205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</row>
    <row r="855">
      <c r="A855" s="204"/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5"/>
      <c r="N855" s="204"/>
      <c r="O855" s="205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</row>
    <row r="856">
      <c r="A856" s="204"/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5"/>
      <c r="N856" s="204"/>
      <c r="O856" s="205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</row>
    <row r="857">
      <c r="A857" s="204"/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5"/>
      <c r="N857" s="204"/>
      <c r="O857" s="205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</row>
    <row r="858">
      <c r="A858" s="204"/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5"/>
      <c r="N858" s="204"/>
      <c r="O858" s="205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</row>
    <row r="859">
      <c r="A859" s="204"/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5"/>
      <c r="N859" s="204"/>
      <c r="O859" s="205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</row>
    <row r="860">
      <c r="A860" s="204"/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5"/>
      <c r="N860" s="204"/>
      <c r="O860" s="205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</row>
    <row r="861">
      <c r="A861" s="204"/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5"/>
      <c r="N861" s="204"/>
      <c r="O861" s="205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</row>
    <row r="862">
      <c r="A862" s="204"/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5"/>
      <c r="N862" s="204"/>
      <c r="O862" s="205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</row>
    <row r="863">
      <c r="A863" s="204"/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5"/>
      <c r="N863" s="204"/>
      <c r="O863" s="205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</row>
    <row r="864">
      <c r="A864" s="204"/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5"/>
      <c r="N864" s="204"/>
      <c r="O864" s="205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</row>
    <row r="865">
      <c r="A865" s="204"/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5"/>
      <c r="N865" s="204"/>
      <c r="O865" s="205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</row>
    <row r="866">
      <c r="A866" s="204"/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5"/>
      <c r="N866" s="204"/>
      <c r="O866" s="205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</row>
    <row r="867">
      <c r="A867" s="204"/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5"/>
      <c r="N867" s="204"/>
      <c r="O867" s="205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</row>
    <row r="868">
      <c r="A868" s="204"/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5"/>
      <c r="N868" s="204"/>
      <c r="O868" s="205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</row>
    <row r="869">
      <c r="A869" s="204"/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5"/>
      <c r="N869" s="204"/>
      <c r="O869" s="205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</row>
    <row r="870">
      <c r="A870" s="204"/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5"/>
      <c r="N870" s="204"/>
      <c r="O870" s="205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</row>
    <row r="871">
      <c r="A871" s="204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5"/>
      <c r="N871" s="204"/>
      <c r="O871" s="205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</row>
    <row r="872">
      <c r="A872" s="204"/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5"/>
      <c r="N872" s="204"/>
      <c r="O872" s="205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</row>
    <row r="873">
      <c r="A873" s="204"/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5"/>
      <c r="N873" s="204"/>
      <c r="O873" s="205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</row>
    <row r="874">
      <c r="A874" s="204"/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5"/>
      <c r="N874" s="204"/>
      <c r="O874" s="205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</row>
    <row r="875">
      <c r="A875" s="204"/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5"/>
      <c r="N875" s="204"/>
      <c r="O875" s="205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</row>
    <row r="876">
      <c r="A876" s="204"/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5"/>
      <c r="N876" s="204"/>
      <c r="O876" s="205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</row>
    <row r="877">
      <c r="A877" s="204"/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5"/>
      <c r="N877" s="204"/>
      <c r="O877" s="205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</row>
    <row r="878">
      <c r="A878" s="204"/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5"/>
      <c r="N878" s="204"/>
      <c r="O878" s="205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</row>
    <row r="879">
      <c r="A879" s="204"/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5"/>
      <c r="N879" s="204"/>
      <c r="O879" s="205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</row>
    <row r="880">
      <c r="A880" s="204"/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5"/>
      <c r="N880" s="204"/>
      <c r="O880" s="205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</row>
    <row r="881">
      <c r="A881" s="204"/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5"/>
      <c r="N881" s="204"/>
      <c r="O881" s="205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</row>
    <row r="882">
      <c r="A882" s="204"/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5"/>
      <c r="N882" s="204"/>
      <c r="O882" s="205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</row>
    <row r="883">
      <c r="A883" s="204"/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5"/>
      <c r="N883" s="204"/>
      <c r="O883" s="205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</row>
    <row r="884">
      <c r="A884" s="204"/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5"/>
      <c r="N884" s="204"/>
      <c r="O884" s="205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</row>
    <row r="885">
      <c r="A885" s="204"/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5"/>
      <c r="N885" s="204"/>
      <c r="O885" s="205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</row>
    <row r="886">
      <c r="A886" s="204"/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5"/>
      <c r="N886" s="204"/>
      <c r="O886" s="205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</row>
    <row r="887">
      <c r="A887" s="204"/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5"/>
      <c r="N887" s="204"/>
      <c r="O887" s="205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</row>
    <row r="888">
      <c r="A888" s="204"/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5"/>
      <c r="N888" s="204"/>
      <c r="O888" s="205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</row>
    <row r="889">
      <c r="A889" s="204"/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5"/>
      <c r="N889" s="204"/>
      <c r="O889" s="205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</row>
    <row r="890">
      <c r="A890" s="204"/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5"/>
      <c r="N890" s="204"/>
      <c r="O890" s="205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</row>
    <row r="891">
      <c r="A891" s="204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5"/>
      <c r="N891" s="204"/>
      <c r="O891" s="205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</row>
    <row r="892">
      <c r="A892" s="204"/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5"/>
      <c r="N892" s="204"/>
      <c r="O892" s="205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</row>
    <row r="893">
      <c r="A893" s="204"/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5"/>
      <c r="N893" s="204"/>
      <c r="O893" s="205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</row>
    <row r="894">
      <c r="A894" s="204"/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5"/>
      <c r="N894" s="204"/>
      <c r="O894" s="205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</row>
    <row r="895">
      <c r="A895" s="204"/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5"/>
      <c r="N895" s="204"/>
      <c r="O895" s="205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</row>
    <row r="896">
      <c r="A896" s="204"/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5"/>
      <c r="N896" s="204"/>
      <c r="O896" s="205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</row>
    <row r="897">
      <c r="A897" s="204"/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5"/>
      <c r="N897" s="204"/>
      <c r="O897" s="205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</row>
    <row r="898">
      <c r="A898" s="204"/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5"/>
      <c r="N898" s="204"/>
      <c r="O898" s="205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</row>
    <row r="899">
      <c r="A899" s="204"/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5"/>
      <c r="N899" s="204"/>
      <c r="O899" s="205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</row>
    <row r="900">
      <c r="A900" s="204"/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5"/>
      <c r="N900" s="204"/>
      <c r="O900" s="205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</row>
    <row r="901">
      <c r="A901" s="204"/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5"/>
      <c r="N901" s="204"/>
      <c r="O901" s="205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</row>
    <row r="902">
      <c r="A902" s="204"/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5"/>
      <c r="N902" s="204"/>
      <c r="O902" s="205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</row>
    <row r="903">
      <c r="A903" s="204"/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5"/>
      <c r="N903" s="204"/>
      <c r="O903" s="205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</row>
    <row r="904">
      <c r="A904" s="204"/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5"/>
      <c r="N904" s="204"/>
      <c r="O904" s="205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</row>
    <row r="905">
      <c r="A905" s="204"/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5"/>
      <c r="N905" s="204"/>
      <c r="O905" s="205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</row>
    <row r="906">
      <c r="A906" s="204"/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5"/>
      <c r="N906" s="204"/>
      <c r="O906" s="205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</row>
    <row r="907">
      <c r="A907" s="204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5"/>
      <c r="N907" s="204"/>
      <c r="O907" s="205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</row>
    <row r="908">
      <c r="A908" s="204"/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5"/>
      <c r="N908" s="204"/>
      <c r="O908" s="205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</row>
    <row r="909">
      <c r="A909" s="204"/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5"/>
      <c r="N909" s="204"/>
      <c r="O909" s="205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</row>
    <row r="910">
      <c r="A910" s="204"/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5"/>
      <c r="N910" s="204"/>
      <c r="O910" s="205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</row>
    <row r="911">
      <c r="A911" s="204"/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5"/>
      <c r="N911" s="204"/>
      <c r="O911" s="205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</row>
    <row r="912">
      <c r="A912" s="204"/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5"/>
      <c r="N912" s="204"/>
      <c r="O912" s="205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</row>
    <row r="913">
      <c r="A913" s="204"/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5"/>
      <c r="N913" s="204"/>
      <c r="O913" s="205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</row>
    <row r="914">
      <c r="A914" s="204"/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5"/>
      <c r="N914" s="204"/>
      <c r="O914" s="205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</row>
    <row r="915">
      <c r="A915" s="204"/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5"/>
      <c r="N915" s="204"/>
      <c r="O915" s="205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</row>
    <row r="916">
      <c r="A916" s="204"/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5"/>
      <c r="N916" s="204"/>
      <c r="O916" s="205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</row>
    <row r="917">
      <c r="A917" s="204"/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5"/>
      <c r="N917" s="204"/>
      <c r="O917" s="205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</row>
    <row r="918">
      <c r="A918" s="204"/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5"/>
      <c r="N918" s="204"/>
      <c r="O918" s="205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</row>
    <row r="919">
      <c r="A919" s="204"/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5"/>
      <c r="N919" s="204"/>
      <c r="O919" s="205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</row>
    <row r="920">
      <c r="A920" s="204"/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5"/>
      <c r="N920" s="204"/>
      <c r="O920" s="205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</row>
    <row r="921">
      <c r="A921" s="204"/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5"/>
      <c r="N921" s="204"/>
      <c r="O921" s="205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</row>
    <row r="922">
      <c r="A922" s="204"/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5"/>
      <c r="N922" s="204"/>
      <c r="O922" s="205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</row>
    <row r="923">
      <c r="A923" s="204"/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5"/>
      <c r="N923" s="204"/>
      <c r="O923" s="205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</row>
    <row r="924">
      <c r="A924" s="204"/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5"/>
      <c r="N924" s="204"/>
      <c r="O924" s="205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</row>
    <row r="925">
      <c r="A925" s="204"/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5"/>
      <c r="N925" s="204"/>
      <c r="O925" s="205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4"/>
    </row>
    <row r="926">
      <c r="A926" s="204"/>
      <c r="B926" s="204"/>
      <c r="C926" s="204"/>
      <c r="D926" s="204"/>
      <c r="E926" s="204"/>
      <c r="F926" s="204"/>
      <c r="G926" s="204"/>
      <c r="H926" s="204"/>
      <c r="I926" s="204"/>
      <c r="J926" s="204"/>
      <c r="K926" s="204"/>
      <c r="L926" s="204"/>
      <c r="M926" s="205"/>
      <c r="N926" s="204"/>
      <c r="O926" s="205"/>
      <c r="P926" s="204"/>
      <c r="Q926" s="204"/>
      <c r="R926" s="204"/>
      <c r="S926" s="204"/>
      <c r="T926" s="204"/>
      <c r="U926" s="204"/>
      <c r="V926" s="204"/>
      <c r="W926" s="204"/>
      <c r="X926" s="204"/>
      <c r="Y926" s="204"/>
      <c r="Z926" s="204"/>
    </row>
    <row r="927">
      <c r="A927" s="204"/>
      <c r="B927" s="204"/>
      <c r="C927" s="204"/>
      <c r="D927" s="204"/>
      <c r="E927" s="204"/>
      <c r="F927" s="204"/>
      <c r="G927" s="204"/>
      <c r="H927" s="204"/>
      <c r="I927" s="204"/>
      <c r="J927" s="204"/>
      <c r="K927" s="204"/>
      <c r="L927" s="204"/>
      <c r="M927" s="205"/>
      <c r="N927" s="204"/>
      <c r="O927" s="205"/>
      <c r="P927" s="204"/>
      <c r="Q927" s="204"/>
      <c r="R927" s="204"/>
      <c r="S927" s="204"/>
      <c r="T927" s="204"/>
      <c r="U927" s="204"/>
      <c r="V927" s="204"/>
      <c r="W927" s="204"/>
      <c r="X927" s="204"/>
      <c r="Y927" s="204"/>
      <c r="Z927" s="204"/>
    </row>
    <row r="928">
      <c r="A928" s="204"/>
      <c r="B928" s="204"/>
      <c r="C928" s="204"/>
      <c r="D928" s="204"/>
      <c r="E928" s="204"/>
      <c r="F928" s="204"/>
      <c r="G928" s="204"/>
      <c r="H928" s="204"/>
      <c r="I928" s="204"/>
      <c r="J928" s="204"/>
      <c r="K928" s="204"/>
      <c r="L928" s="204"/>
      <c r="M928" s="205"/>
      <c r="N928" s="204"/>
      <c r="O928" s="205"/>
      <c r="P928" s="204"/>
      <c r="Q928" s="204"/>
      <c r="R928" s="204"/>
      <c r="S928" s="204"/>
      <c r="T928" s="204"/>
      <c r="U928" s="204"/>
      <c r="V928" s="204"/>
      <c r="W928" s="204"/>
      <c r="X928" s="204"/>
      <c r="Y928" s="204"/>
      <c r="Z928" s="204"/>
    </row>
    <row r="929">
      <c r="A929" s="204"/>
      <c r="B929" s="204"/>
      <c r="C929" s="204"/>
      <c r="D929" s="204"/>
      <c r="E929" s="204"/>
      <c r="F929" s="204"/>
      <c r="G929" s="204"/>
      <c r="H929" s="204"/>
      <c r="I929" s="204"/>
      <c r="J929" s="204"/>
      <c r="K929" s="204"/>
      <c r="L929" s="204"/>
      <c r="M929" s="205"/>
      <c r="N929" s="204"/>
      <c r="O929" s="205"/>
      <c r="P929" s="204"/>
      <c r="Q929" s="204"/>
      <c r="R929" s="204"/>
      <c r="S929" s="204"/>
      <c r="T929" s="204"/>
      <c r="U929" s="204"/>
      <c r="V929" s="204"/>
      <c r="W929" s="204"/>
      <c r="X929" s="204"/>
      <c r="Y929" s="204"/>
      <c r="Z929" s="204"/>
    </row>
    <row r="930">
      <c r="A930" s="204"/>
      <c r="B930" s="204"/>
      <c r="C930" s="204"/>
      <c r="D930" s="204"/>
      <c r="E930" s="204"/>
      <c r="F930" s="204"/>
      <c r="G930" s="204"/>
      <c r="H930" s="204"/>
      <c r="I930" s="204"/>
      <c r="J930" s="204"/>
      <c r="K930" s="204"/>
      <c r="L930" s="204"/>
      <c r="M930" s="205"/>
      <c r="N930" s="204"/>
      <c r="O930" s="205"/>
      <c r="P930" s="204"/>
      <c r="Q930" s="204"/>
      <c r="R930" s="204"/>
      <c r="S930" s="204"/>
      <c r="T930" s="204"/>
      <c r="U930" s="204"/>
      <c r="V930" s="204"/>
      <c r="W930" s="204"/>
      <c r="X930" s="204"/>
      <c r="Y930" s="204"/>
      <c r="Z930" s="204"/>
    </row>
    <row r="931">
      <c r="A931" s="204"/>
      <c r="B931" s="204"/>
      <c r="C931" s="204"/>
      <c r="D931" s="204"/>
      <c r="E931" s="204"/>
      <c r="F931" s="204"/>
      <c r="G931" s="204"/>
      <c r="H931" s="204"/>
      <c r="I931" s="204"/>
      <c r="J931" s="204"/>
      <c r="K931" s="204"/>
      <c r="L931" s="204"/>
      <c r="M931" s="205"/>
      <c r="N931" s="204"/>
      <c r="O931" s="205"/>
      <c r="P931" s="204"/>
      <c r="Q931" s="204"/>
      <c r="R931" s="204"/>
      <c r="S931" s="204"/>
      <c r="T931" s="204"/>
      <c r="U931" s="204"/>
      <c r="V931" s="204"/>
      <c r="W931" s="204"/>
      <c r="X931" s="204"/>
      <c r="Y931" s="204"/>
      <c r="Z931" s="204"/>
    </row>
    <row r="932">
      <c r="A932" s="204"/>
      <c r="B932" s="204"/>
      <c r="C932" s="204"/>
      <c r="D932" s="204"/>
      <c r="E932" s="204"/>
      <c r="F932" s="204"/>
      <c r="G932" s="204"/>
      <c r="H932" s="204"/>
      <c r="I932" s="204"/>
      <c r="J932" s="204"/>
      <c r="K932" s="204"/>
      <c r="L932" s="204"/>
      <c r="M932" s="205"/>
      <c r="N932" s="204"/>
      <c r="O932" s="205"/>
      <c r="P932" s="204"/>
      <c r="Q932" s="204"/>
      <c r="R932" s="204"/>
      <c r="S932" s="204"/>
      <c r="T932" s="204"/>
      <c r="U932" s="204"/>
      <c r="V932" s="204"/>
      <c r="W932" s="204"/>
      <c r="X932" s="204"/>
      <c r="Y932" s="204"/>
      <c r="Z932" s="204"/>
    </row>
    <row r="933">
      <c r="A933" s="204"/>
      <c r="B933" s="204"/>
      <c r="C933" s="204"/>
      <c r="D933" s="204"/>
      <c r="E933" s="204"/>
      <c r="F933" s="204"/>
      <c r="G933" s="204"/>
      <c r="H933" s="204"/>
      <c r="I933" s="204"/>
      <c r="J933" s="204"/>
      <c r="K933" s="204"/>
      <c r="L933" s="204"/>
      <c r="M933" s="205"/>
      <c r="N933" s="204"/>
      <c r="O933" s="205"/>
      <c r="P933" s="204"/>
      <c r="Q933" s="204"/>
      <c r="R933" s="204"/>
      <c r="S933" s="204"/>
      <c r="T933" s="204"/>
      <c r="U933" s="204"/>
      <c r="V933" s="204"/>
      <c r="W933" s="204"/>
      <c r="X933" s="204"/>
      <c r="Y933" s="204"/>
      <c r="Z933" s="204"/>
    </row>
    <row r="934">
      <c r="A934" s="204"/>
      <c r="B934" s="204"/>
      <c r="C934" s="204"/>
      <c r="D934" s="204"/>
      <c r="E934" s="204"/>
      <c r="F934" s="204"/>
      <c r="G934" s="204"/>
      <c r="H934" s="204"/>
      <c r="I934" s="204"/>
      <c r="J934" s="204"/>
      <c r="K934" s="204"/>
      <c r="L934" s="204"/>
      <c r="M934" s="205"/>
      <c r="N934" s="204"/>
      <c r="O934" s="205"/>
      <c r="P934" s="204"/>
      <c r="Q934" s="204"/>
      <c r="R934" s="204"/>
      <c r="S934" s="204"/>
      <c r="T934" s="204"/>
      <c r="U934" s="204"/>
      <c r="V934" s="204"/>
      <c r="W934" s="204"/>
      <c r="X934" s="204"/>
      <c r="Y934" s="204"/>
      <c r="Z934" s="204"/>
    </row>
    <row r="935">
      <c r="A935" s="204"/>
      <c r="B935" s="204"/>
      <c r="C935" s="204"/>
      <c r="D935" s="204"/>
      <c r="E935" s="204"/>
      <c r="F935" s="204"/>
      <c r="G935" s="204"/>
      <c r="H935" s="204"/>
      <c r="I935" s="204"/>
      <c r="J935" s="204"/>
      <c r="K935" s="204"/>
      <c r="L935" s="204"/>
      <c r="M935" s="205"/>
      <c r="N935" s="204"/>
      <c r="O935" s="205"/>
      <c r="P935" s="204"/>
      <c r="Q935" s="204"/>
      <c r="R935" s="204"/>
      <c r="S935" s="204"/>
      <c r="T935" s="204"/>
      <c r="U935" s="204"/>
      <c r="V935" s="204"/>
      <c r="W935" s="204"/>
      <c r="X935" s="204"/>
      <c r="Y935" s="204"/>
      <c r="Z935" s="204"/>
    </row>
    <row r="936">
      <c r="A936" s="204"/>
      <c r="B936" s="204"/>
      <c r="C936" s="204"/>
      <c r="D936" s="204"/>
      <c r="E936" s="204"/>
      <c r="F936" s="204"/>
      <c r="G936" s="204"/>
      <c r="H936" s="204"/>
      <c r="I936" s="204"/>
      <c r="J936" s="204"/>
      <c r="K936" s="204"/>
      <c r="L936" s="204"/>
      <c r="M936" s="205"/>
      <c r="N936" s="204"/>
      <c r="O936" s="205"/>
      <c r="P936" s="204"/>
      <c r="Q936" s="204"/>
      <c r="R936" s="204"/>
      <c r="S936" s="204"/>
      <c r="T936" s="204"/>
      <c r="U936" s="204"/>
      <c r="V936" s="204"/>
      <c r="W936" s="204"/>
      <c r="X936" s="204"/>
      <c r="Y936" s="204"/>
      <c r="Z936" s="204"/>
    </row>
    <row r="937">
      <c r="A937" s="204"/>
      <c r="B937" s="204"/>
      <c r="C937" s="204"/>
      <c r="D937" s="204"/>
      <c r="E937" s="204"/>
      <c r="F937" s="204"/>
      <c r="G937" s="204"/>
      <c r="H937" s="204"/>
      <c r="I937" s="204"/>
      <c r="J937" s="204"/>
      <c r="K937" s="204"/>
      <c r="L937" s="204"/>
      <c r="M937" s="205"/>
      <c r="N937" s="204"/>
      <c r="O937" s="205"/>
      <c r="P937" s="204"/>
      <c r="Q937" s="204"/>
      <c r="R937" s="204"/>
      <c r="S937" s="204"/>
      <c r="T937" s="204"/>
      <c r="U937" s="204"/>
      <c r="V937" s="204"/>
      <c r="W937" s="204"/>
      <c r="X937" s="204"/>
      <c r="Y937" s="204"/>
      <c r="Z937" s="204"/>
    </row>
    <row r="938">
      <c r="A938" s="204"/>
      <c r="B938" s="204"/>
      <c r="C938" s="204"/>
      <c r="D938" s="204"/>
      <c r="E938" s="204"/>
      <c r="F938" s="204"/>
      <c r="G938" s="204"/>
      <c r="H938" s="204"/>
      <c r="I938" s="204"/>
      <c r="J938" s="204"/>
      <c r="K938" s="204"/>
      <c r="L938" s="204"/>
      <c r="M938" s="205"/>
      <c r="N938" s="204"/>
      <c r="O938" s="205"/>
      <c r="P938" s="204"/>
      <c r="Q938" s="204"/>
      <c r="R938" s="204"/>
      <c r="S938" s="204"/>
      <c r="T938" s="204"/>
      <c r="U938" s="204"/>
      <c r="V938" s="204"/>
      <c r="W938" s="204"/>
      <c r="X938" s="204"/>
      <c r="Y938" s="204"/>
      <c r="Z938" s="204"/>
    </row>
    <row r="939">
      <c r="A939" s="204"/>
      <c r="B939" s="204"/>
      <c r="C939" s="204"/>
      <c r="D939" s="204"/>
      <c r="E939" s="204"/>
      <c r="F939" s="204"/>
      <c r="G939" s="204"/>
      <c r="H939" s="204"/>
      <c r="I939" s="204"/>
      <c r="J939" s="204"/>
      <c r="K939" s="204"/>
      <c r="L939" s="204"/>
      <c r="M939" s="205"/>
      <c r="N939" s="204"/>
      <c r="O939" s="205"/>
      <c r="P939" s="204"/>
      <c r="Q939" s="204"/>
      <c r="R939" s="204"/>
      <c r="S939" s="204"/>
      <c r="T939" s="204"/>
      <c r="U939" s="204"/>
      <c r="V939" s="204"/>
      <c r="W939" s="204"/>
      <c r="X939" s="204"/>
      <c r="Y939" s="204"/>
      <c r="Z939" s="204"/>
    </row>
    <row r="940">
      <c r="A940" s="204"/>
      <c r="B940" s="204"/>
      <c r="C940" s="204"/>
      <c r="D940" s="204"/>
      <c r="E940" s="204"/>
      <c r="F940" s="204"/>
      <c r="G940" s="204"/>
      <c r="H940" s="204"/>
      <c r="I940" s="204"/>
      <c r="J940" s="204"/>
      <c r="K940" s="204"/>
      <c r="L940" s="204"/>
      <c r="M940" s="205"/>
      <c r="N940" s="204"/>
      <c r="O940" s="205"/>
      <c r="P940" s="204"/>
      <c r="Q940" s="204"/>
      <c r="R940" s="204"/>
      <c r="S940" s="204"/>
      <c r="T940" s="204"/>
      <c r="U940" s="204"/>
      <c r="V940" s="204"/>
      <c r="W940" s="204"/>
      <c r="X940" s="204"/>
      <c r="Y940" s="204"/>
      <c r="Z940" s="204"/>
    </row>
    <row r="941">
      <c r="A941" s="204"/>
      <c r="B941" s="204"/>
      <c r="C941" s="204"/>
      <c r="D941" s="204"/>
      <c r="E941" s="204"/>
      <c r="F941" s="204"/>
      <c r="G941" s="204"/>
      <c r="H941" s="204"/>
      <c r="I941" s="204"/>
      <c r="J941" s="204"/>
      <c r="K941" s="204"/>
      <c r="L941" s="204"/>
      <c r="M941" s="205"/>
      <c r="N941" s="204"/>
      <c r="O941" s="205"/>
      <c r="P941" s="204"/>
      <c r="Q941" s="204"/>
      <c r="R941" s="204"/>
      <c r="S941" s="204"/>
      <c r="T941" s="204"/>
      <c r="U941" s="204"/>
      <c r="V941" s="204"/>
      <c r="W941" s="204"/>
      <c r="X941" s="204"/>
      <c r="Y941" s="204"/>
      <c r="Z941" s="204"/>
    </row>
    <row r="942">
      <c r="A942" s="204"/>
      <c r="B942" s="204"/>
      <c r="C942" s="204"/>
      <c r="D942" s="204"/>
      <c r="E942" s="204"/>
      <c r="F942" s="204"/>
      <c r="G942" s="204"/>
      <c r="H942" s="204"/>
      <c r="I942" s="204"/>
      <c r="J942" s="204"/>
      <c r="K942" s="204"/>
      <c r="L942" s="204"/>
      <c r="M942" s="205"/>
      <c r="N942" s="204"/>
      <c r="O942" s="205"/>
      <c r="P942" s="204"/>
      <c r="Q942" s="204"/>
      <c r="R942" s="204"/>
      <c r="S942" s="204"/>
      <c r="T942" s="204"/>
      <c r="U942" s="204"/>
      <c r="V942" s="204"/>
      <c r="W942" s="204"/>
      <c r="X942" s="204"/>
      <c r="Y942" s="204"/>
      <c r="Z942" s="204"/>
    </row>
    <row r="943">
      <c r="A943" s="204"/>
      <c r="B943" s="204"/>
      <c r="C943" s="204"/>
      <c r="D943" s="204"/>
      <c r="E943" s="204"/>
      <c r="F943" s="204"/>
      <c r="G943" s="204"/>
      <c r="H943" s="204"/>
      <c r="I943" s="204"/>
      <c r="J943" s="204"/>
      <c r="K943" s="204"/>
      <c r="L943" s="204"/>
      <c r="M943" s="205"/>
      <c r="N943" s="204"/>
      <c r="O943" s="205"/>
      <c r="P943" s="204"/>
      <c r="Q943" s="204"/>
      <c r="R943" s="204"/>
      <c r="S943" s="204"/>
      <c r="T943" s="204"/>
      <c r="U943" s="204"/>
      <c r="V943" s="204"/>
      <c r="W943" s="204"/>
      <c r="X943" s="204"/>
      <c r="Y943" s="204"/>
      <c r="Z943" s="204"/>
    </row>
    <row r="944">
      <c r="A944" s="204"/>
      <c r="B944" s="204"/>
      <c r="C944" s="204"/>
      <c r="D944" s="204"/>
      <c r="E944" s="204"/>
      <c r="F944" s="204"/>
      <c r="G944" s="204"/>
      <c r="H944" s="204"/>
      <c r="I944" s="204"/>
      <c r="J944" s="204"/>
      <c r="K944" s="204"/>
      <c r="L944" s="204"/>
      <c r="M944" s="205"/>
      <c r="N944" s="204"/>
      <c r="O944" s="205"/>
      <c r="P944" s="204"/>
      <c r="Q944" s="204"/>
      <c r="R944" s="204"/>
      <c r="S944" s="204"/>
      <c r="T944" s="204"/>
      <c r="U944" s="204"/>
      <c r="V944" s="204"/>
      <c r="W944" s="204"/>
      <c r="X944" s="204"/>
      <c r="Y944" s="204"/>
      <c r="Z944" s="204"/>
    </row>
    <row r="945">
      <c r="A945" s="204"/>
      <c r="B945" s="204"/>
      <c r="C945" s="204"/>
      <c r="D945" s="204"/>
      <c r="E945" s="204"/>
      <c r="F945" s="204"/>
      <c r="G945" s="204"/>
      <c r="H945" s="204"/>
      <c r="I945" s="204"/>
      <c r="J945" s="204"/>
      <c r="K945" s="204"/>
      <c r="L945" s="204"/>
      <c r="M945" s="205"/>
      <c r="N945" s="204"/>
      <c r="O945" s="205"/>
      <c r="P945" s="204"/>
      <c r="Q945" s="204"/>
      <c r="R945" s="204"/>
      <c r="S945" s="204"/>
      <c r="T945" s="204"/>
      <c r="U945" s="204"/>
      <c r="V945" s="204"/>
      <c r="W945" s="204"/>
      <c r="X945" s="204"/>
      <c r="Y945" s="204"/>
      <c r="Z945" s="204"/>
    </row>
    <row r="946">
      <c r="A946" s="204"/>
      <c r="B946" s="204"/>
      <c r="C946" s="204"/>
      <c r="D946" s="204"/>
      <c r="E946" s="204"/>
      <c r="F946" s="204"/>
      <c r="G946" s="204"/>
      <c r="H946" s="204"/>
      <c r="I946" s="204"/>
      <c r="J946" s="204"/>
      <c r="K946" s="204"/>
      <c r="L946" s="204"/>
      <c r="M946" s="205"/>
      <c r="N946" s="204"/>
      <c r="O946" s="205"/>
      <c r="P946" s="204"/>
      <c r="Q946" s="204"/>
      <c r="R946" s="204"/>
      <c r="S946" s="204"/>
      <c r="T946" s="204"/>
      <c r="U946" s="204"/>
      <c r="V946" s="204"/>
      <c r="W946" s="204"/>
      <c r="X946" s="204"/>
      <c r="Y946" s="204"/>
      <c r="Z946" s="204"/>
    </row>
    <row r="947">
      <c r="A947" s="204"/>
      <c r="B947" s="204"/>
      <c r="C947" s="204"/>
      <c r="D947" s="204"/>
      <c r="E947" s="204"/>
      <c r="F947" s="204"/>
      <c r="G947" s="204"/>
      <c r="H947" s="204"/>
      <c r="I947" s="204"/>
      <c r="J947" s="204"/>
      <c r="K947" s="204"/>
      <c r="L947" s="204"/>
      <c r="M947" s="205"/>
      <c r="N947" s="204"/>
      <c r="O947" s="205"/>
      <c r="P947" s="204"/>
      <c r="Q947" s="204"/>
      <c r="R947" s="204"/>
      <c r="S947" s="204"/>
      <c r="T947" s="204"/>
      <c r="U947" s="204"/>
      <c r="V947" s="204"/>
      <c r="W947" s="204"/>
      <c r="X947" s="204"/>
      <c r="Y947" s="204"/>
      <c r="Z947" s="204"/>
    </row>
    <row r="948">
      <c r="A948" s="204"/>
      <c r="B948" s="204"/>
      <c r="C948" s="204"/>
      <c r="D948" s="204"/>
      <c r="E948" s="204"/>
      <c r="F948" s="204"/>
      <c r="G948" s="204"/>
      <c r="H948" s="204"/>
      <c r="I948" s="204"/>
      <c r="J948" s="204"/>
      <c r="K948" s="204"/>
      <c r="L948" s="204"/>
      <c r="M948" s="205"/>
      <c r="N948" s="204"/>
      <c r="O948" s="205"/>
      <c r="P948" s="204"/>
      <c r="Q948" s="204"/>
      <c r="R948" s="204"/>
      <c r="S948" s="204"/>
      <c r="T948" s="204"/>
      <c r="U948" s="204"/>
      <c r="V948" s="204"/>
      <c r="W948" s="204"/>
      <c r="X948" s="204"/>
      <c r="Y948" s="204"/>
      <c r="Z948" s="204"/>
    </row>
    <row r="949">
      <c r="A949" s="204"/>
      <c r="B949" s="204"/>
      <c r="C949" s="204"/>
      <c r="D949" s="204"/>
      <c r="E949" s="204"/>
      <c r="F949" s="204"/>
      <c r="G949" s="204"/>
      <c r="H949" s="204"/>
      <c r="I949" s="204"/>
      <c r="J949" s="204"/>
      <c r="K949" s="204"/>
      <c r="L949" s="204"/>
      <c r="M949" s="205"/>
      <c r="N949" s="204"/>
      <c r="O949" s="205"/>
      <c r="P949" s="204"/>
      <c r="Q949" s="204"/>
      <c r="R949" s="204"/>
      <c r="S949" s="204"/>
      <c r="T949" s="204"/>
      <c r="U949" s="204"/>
      <c r="V949" s="204"/>
      <c r="W949" s="204"/>
      <c r="X949" s="204"/>
      <c r="Y949" s="204"/>
      <c r="Z949" s="204"/>
    </row>
    <row r="950">
      <c r="A950" s="204"/>
      <c r="B950" s="204"/>
      <c r="C950" s="204"/>
      <c r="D950" s="204"/>
      <c r="E950" s="204"/>
      <c r="F950" s="204"/>
      <c r="G950" s="204"/>
      <c r="H950" s="204"/>
      <c r="I950" s="204"/>
      <c r="J950" s="204"/>
      <c r="K950" s="204"/>
      <c r="L950" s="204"/>
      <c r="M950" s="205"/>
      <c r="N950" s="204"/>
      <c r="O950" s="205"/>
      <c r="P950" s="204"/>
      <c r="Q950" s="204"/>
      <c r="R950" s="204"/>
      <c r="S950" s="204"/>
      <c r="T950" s="204"/>
      <c r="U950" s="204"/>
      <c r="V950" s="204"/>
      <c r="W950" s="204"/>
      <c r="X950" s="204"/>
      <c r="Y950" s="204"/>
      <c r="Z950" s="204"/>
    </row>
    <row r="951">
      <c r="A951" s="204"/>
      <c r="B951" s="204"/>
      <c r="C951" s="204"/>
      <c r="D951" s="204"/>
      <c r="E951" s="204"/>
      <c r="F951" s="204"/>
      <c r="G951" s="204"/>
      <c r="H951" s="204"/>
      <c r="I951" s="204"/>
      <c r="J951" s="204"/>
      <c r="K951" s="204"/>
      <c r="L951" s="204"/>
      <c r="M951" s="205"/>
      <c r="N951" s="204"/>
      <c r="O951" s="205"/>
      <c r="P951" s="204"/>
      <c r="Q951" s="204"/>
      <c r="R951" s="204"/>
      <c r="S951" s="204"/>
      <c r="T951" s="204"/>
      <c r="U951" s="204"/>
      <c r="V951" s="204"/>
      <c r="W951" s="204"/>
      <c r="X951" s="204"/>
      <c r="Y951" s="204"/>
      <c r="Z951" s="204"/>
    </row>
    <row r="952">
      <c r="A952" s="204"/>
      <c r="B952" s="204"/>
      <c r="C952" s="204"/>
      <c r="D952" s="204"/>
      <c r="E952" s="204"/>
      <c r="F952" s="204"/>
      <c r="G952" s="204"/>
      <c r="H952" s="204"/>
      <c r="I952" s="204"/>
      <c r="J952" s="204"/>
      <c r="K952" s="204"/>
      <c r="L952" s="204"/>
      <c r="M952" s="205"/>
      <c r="N952" s="204"/>
      <c r="O952" s="205"/>
      <c r="P952" s="204"/>
      <c r="Q952" s="204"/>
      <c r="R952" s="204"/>
      <c r="S952" s="204"/>
      <c r="T952" s="204"/>
      <c r="U952" s="204"/>
      <c r="V952" s="204"/>
      <c r="W952" s="204"/>
      <c r="X952" s="204"/>
      <c r="Y952" s="204"/>
      <c r="Z952" s="204"/>
    </row>
    <row r="953">
      <c r="A953" s="204"/>
      <c r="B953" s="204"/>
      <c r="C953" s="204"/>
      <c r="D953" s="204"/>
      <c r="E953" s="204"/>
      <c r="F953" s="204"/>
      <c r="G953" s="204"/>
      <c r="H953" s="204"/>
      <c r="I953" s="204"/>
      <c r="J953" s="204"/>
      <c r="K953" s="204"/>
      <c r="L953" s="204"/>
      <c r="M953" s="205"/>
      <c r="N953" s="204"/>
      <c r="O953" s="205"/>
      <c r="P953" s="204"/>
      <c r="Q953" s="204"/>
      <c r="R953" s="204"/>
      <c r="S953" s="204"/>
      <c r="T953" s="204"/>
      <c r="U953" s="204"/>
      <c r="V953" s="204"/>
      <c r="W953" s="204"/>
      <c r="X953" s="204"/>
      <c r="Y953" s="204"/>
      <c r="Z953" s="204"/>
    </row>
    <row r="954">
      <c r="A954" s="204"/>
      <c r="B954" s="204"/>
      <c r="C954" s="204"/>
      <c r="D954" s="204"/>
      <c r="E954" s="204"/>
      <c r="F954" s="204"/>
      <c r="G954" s="204"/>
      <c r="H954" s="204"/>
      <c r="I954" s="204"/>
      <c r="J954" s="204"/>
      <c r="K954" s="204"/>
      <c r="L954" s="204"/>
      <c r="M954" s="205"/>
      <c r="N954" s="204"/>
      <c r="O954" s="205"/>
      <c r="P954" s="204"/>
      <c r="Q954" s="204"/>
      <c r="R954" s="204"/>
      <c r="S954" s="204"/>
      <c r="T954" s="204"/>
      <c r="U954" s="204"/>
      <c r="V954" s="204"/>
      <c r="W954" s="204"/>
      <c r="X954" s="204"/>
      <c r="Y954" s="204"/>
      <c r="Z954" s="204"/>
    </row>
    <row r="955">
      <c r="A955" s="204"/>
      <c r="B955" s="204"/>
      <c r="C955" s="204"/>
      <c r="D955" s="204"/>
      <c r="E955" s="204"/>
      <c r="F955" s="204"/>
      <c r="G955" s="204"/>
      <c r="H955" s="204"/>
      <c r="I955" s="204"/>
      <c r="J955" s="204"/>
      <c r="K955" s="204"/>
      <c r="L955" s="204"/>
      <c r="M955" s="205"/>
      <c r="N955" s="204"/>
      <c r="O955" s="205"/>
      <c r="P955" s="204"/>
      <c r="Q955" s="204"/>
      <c r="R955" s="204"/>
      <c r="S955" s="204"/>
      <c r="T955" s="204"/>
      <c r="U955" s="204"/>
      <c r="V955" s="204"/>
      <c r="W955" s="204"/>
      <c r="X955" s="204"/>
      <c r="Y955" s="204"/>
      <c r="Z955" s="204"/>
    </row>
    <row r="956">
      <c r="A956" s="204"/>
      <c r="B956" s="204"/>
      <c r="C956" s="204"/>
      <c r="D956" s="204"/>
      <c r="E956" s="204"/>
      <c r="F956" s="204"/>
      <c r="G956" s="204"/>
      <c r="H956" s="204"/>
      <c r="I956" s="204"/>
      <c r="J956" s="204"/>
      <c r="K956" s="204"/>
      <c r="L956" s="204"/>
      <c r="M956" s="205"/>
      <c r="N956" s="204"/>
      <c r="O956" s="205"/>
      <c r="P956" s="204"/>
      <c r="Q956" s="204"/>
      <c r="R956" s="204"/>
      <c r="S956" s="204"/>
      <c r="T956" s="204"/>
      <c r="U956" s="204"/>
      <c r="V956" s="204"/>
      <c r="W956" s="204"/>
      <c r="X956" s="204"/>
      <c r="Y956" s="204"/>
      <c r="Z956" s="204"/>
    </row>
    <row r="957">
      <c r="A957" s="204"/>
      <c r="B957" s="204"/>
      <c r="C957" s="204"/>
      <c r="D957" s="204"/>
      <c r="E957" s="204"/>
      <c r="F957" s="204"/>
      <c r="G957" s="204"/>
      <c r="H957" s="204"/>
      <c r="I957" s="204"/>
      <c r="J957" s="204"/>
      <c r="K957" s="204"/>
      <c r="L957" s="204"/>
      <c r="M957" s="205"/>
      <c r="N957" s="204"/>
      <c r="O957" s="205"/>
      <c r="P957" s="204"/>
      <c r="Q957" s="204"/>
      <c r="R957" s="204"/>
      <c r="S957" s="204"/>
      <c r="T957" s="204"/>
      <c r="U957" s="204"/>
      <c r="V957" s="204"/>
      <c r="W957" s="204"/>
      <c r="X957" s="204"/>
      <c r="Y957" s="204"/>
      <c r="Z957" s="204"/>
    </row>
    <row r="958">
      <c r="A958" s="204"/>
      <c r="B958" s="204"/>
      <c r="C958" s="204"/>
      <c r="D958" s="204"/>
      <c r="E958" s="204"/>
      <c r="F958" s="204"/>
      <c r="G958" s="204"/>
      <c r="H958" s="204"/>
      <c r="I958" s="204"/>
      <c r="J958" s="204"/>
      <c r="K958" s="204"/>
      <c r="L958" s="204"/>
      <c r="M958" s="205"/>
      <c r="N958" s="204"/>
      <c r="O958" s="205"/>
      <c r="P958" s="204"/>
      <c r="Q958" s="204"/>
      <c r="R958" s="204"/>
      <c r="S958" s="204"/>
      <c r="T958" s="204"/>
      <c r="U958" s="204"/>
      <c r="V958" s="204"/>
      <c r="W958" s="204"/>
      <c r="X958" s="204"/>
      <c r="Y958" s="204"/>
      <c r="Z958" s="204"/>
    </row>
    <row r="959">
      <c r="A959" s="204"/>
      <c r="B959" s="204"/>
      <c r="C959" s="204"/>
      <c r="D959" s="204"/>
      <c r="E959" s="204"/>
      <c r="F959" s="204"/>
      <c r="G959" s="204"/>
      <c r="H959" s="204"/>
      <c r="I959" s="204"/>
      <c r="J959" s="204"/>
      <c r="K959" s="204"/>
      <c r="L959" s="204"/>
      <c r="M959" s="205"/>
      <c r="N959" s="204"/>
      <c r="O959" s="205"/>
      <c r="P959" s="204"/>
      <c r="Q959" s="204"/>
      <c r="R959" s="204"/>
      <c r="S959" s="204"/>
      <c r="T959" s="204"/>
      <c r="U959" s="204"/>
      <c r="V959" s="204"/>
      <c r="W959" s="204"/>
      <c r="X959" s="204"/>
      <c r="Y959" s="204"/>
      <c r="Z959" s="204"/>
    </row>
    <row r="960">
      <c r="A960" s="204"/>
      <c r="B960" s="204"/>
      <c r="C960" s="204"/>
      <c r="D960" s="204"/>
      <c r="E960" s="204"/>
      <c r="F960" s="204"/>
      <c r="G960" s="204"/>
      <c r="H960" s="204"/>
      <c r="I960" s="204"/>
      <c r="J960" s="204"/>
      <c r="K960" s="204"/>
      <c r="L960" s="204"/>
      <c r="M960" s="205"/>
      <c r="N960" s="204"/>
      <c r="O960" s="205"/>
      <c r="P960" s="204"/>
      <c r="Q960" s="204"/>
      <c r="R960" s="204"/>
      <c r="S960" s="204"/>
      <c r="T960" s="204"/>
      <c r="U960" s="204"/>
      <c r="V960" s="204"/>
      <c r="W960" s="204"/>
      <c r="X960" s="204"/>
      <c r="Y960" s="204"/>
      <c r="Z960" s="204"/>
    </row>
    <row r="961">
      <c r="A961" s="204"/>
      <c r="B961" s="204"/>
      <c r="C961" s="204"/>
      <c r="D961" s="204"/>
      <c r="E961" s="204"/>
      <c r="F961" s="204"/>
      <c r="G961" s="204"/>
      <c r="H961" s="204"/>
      <c r="I961" s="204"/>
      <c r="J961" s="204"/>
      <c r="K961" s="204"/>
      <c r="L961" s="204"/>
      <c r="M961" s="205"/>
      <c r="N961" s="204"/>
      <c r="O961" s="205"/>
      <c r="P961" s="204"/>
      <c r="Q961" s="204"/>
      <c r="R961" s="204"/>
      <c r="S961" s="204"/>
      <c r="T961" s="204"/>
      <c r="U961" s="204"/>
      <c r="V961" s="204"/>
      <c r="W961" s="204"/>
      <c r="X961" s="204"/>
      <c r="Y961" s="204"/>
      <c r="Z961" s="204"/>
    </row>
    <row r="962">
      <c r="A962" s="204"/>
      <c r="B962" s="204"/>
      <c r="C962" s="204"/>
      <c r="D962" s="204"/>
      <c r="E962" s="204"/>
      <c r="F962" s="204"/>
      <c r="G962" s="204"/>
      <c r="H962" s="204"/>
      <c r="I962" s="204"/>
      <c r="J962" s="204"/>
      <c r="K962" s="204"/>
      <c r="L962" s="204"/>
      <c r="M962" s="205"/>
      <c r="N962" s="204"/>
      <c r="O962" s="205"/>
      <c r="P962" s="204"/>
      <c r="Q962" s="204"/>
      <c r="R962" s="204"/>
      <c r="S962" s="204"/>
      <c r="T962" s="204"/>
      <c r="U962" s="204"/>
      <c r="V962" s="204"/>
      <c r="W962" s="204"/>
      <c r="X962" s="204"/>
      <c r="Y962" s="204"/>
      <c r="Z962" s="204"/>
    </row>
    <row r="963">
      <c r="A963" s="204"/>
      <c r="B963" s="204"/>
      <c r="C963" s="204"/>
      <c r="D963" s="204"/>
      <c r="E963" s="204"/>
      <c r="F963" s="204"/>
      <c r="G963" s="204"/>
      <c r="H963" s="204"/>
      <c r="I963" s="204"/>
      <c r="J963" s="204"/>
      <c r="K963" s="204"/>
      <c r="L963" s="204"/>
      <c r="M963" s="205"/>
      <c r="N963" s="204"/>
      <c r="O963" s="205"/>
      <c r="P963" s="204"/>
      <c r="Q963" s="204"/>
      <c r="R963" s="204"/>
      <c r="S963" s="204"/>
      <c r="T963" s="204"/>
      <c r="U963" s="204"/>
      <c r="V963" s="204"/>
      <c r="W963" s="204"/>
      <c r="X963" s="204"/>
      <c r="Y963" s="204"/>
      <c r="Z963" s="204"/>
    </row>
    <row r="964">
      <c r="A964" s="204"/>
      <c r="B964" s="204"/>
      <c r="C964" s="204"/>
      <c r="D964" s="204"/>
      <c r="E964" s="204"/>
      <c r="F964" s="204"/>
      <c r="G964" s="204"/>
      <c r="H964" s="204"/>
      <c r="I964" s="204"/>
      <c r="J964" s="204"/>
      <c r="K964" s="204"/>
      <c r="L964" s="204"/>
      <c r="M964" s="205"/>
      <c r="N964" s="204"/>
      <c r="O964" s="205"/>
      <c r="P964" s="204"/>
      <c r="Q964" s="204"/>
      <c r="R964" s="204"/>
      <c r="S964" s="204"/>
      <c r="T964" s="204"/>
      <c r="U964" s="204"/>
      <c r="V964" s="204"/>
      <c r="W964" s="204"/>
      <c r="X964" s="204"/>
      <c r="Y964" s="204"/>
      <c r="Z964" s="204"/>
    </row>
    <row r="965">
      <c r="A965" s="204"/>
      <c r="B965" s="204"/>
      <c r="C965" s="204"/>
      <c r="D965" s="204"/>
      <c r="E965" s="204"/>
      <c r="F965" s="204"/>
      <c r="G965" s="204"/>
      <c r="H965" s="204"/>
      <c r="I965" s="204"/>
      <c r="J965" s="204"/>
      <c r="K965" s="204"/>
      <c r="L965" s="204"/>
      <c r="M965" s="205"/>
      <c r="N965" s="204"/>
      <c r="O965" s="205"/>
      <c r="P965" s="204"/>
      <c r="Q965" s="204"/>
      <c r="R965" s="204"/>
      <c r="S965" s="204"/>
      <c r="T965" s="204"/>
      <c r="U965" s="204"/>
      <c r="V965" s="204"/>
      <c r="W965" s="204"/>
      <c r="X965" s="204"/>
      <c r="Y965" s="204"/>
      <c r="Z965" s="204"/>
    </row>
    <row r="966">
      <c r="A966" s="204"/>
      <c r="B966" s="204"/>
      <c r="C966" s="204"/>
      <c r="D966" s="204"/>
      <c r="E966" s="204"/>
      <c r="F966" s="204"/>
      <c r="G966" s="204"/>
      <c r="H966" s="204"/>
      <c r="I966" s="204"/>
      <c r="J966" s="204"/>
      <c r="K966" s="204"/>
      <c r="L966" s="204"/>
      <c r="M966" s="205"/>
      <c r="N966" s="204"/>
      <c r="O966" s="205"/>
      <c r="P966" s="204"/>
      <c r="Q966" s="204"/>
      <c r="R966" s="204"/>
      <c r="S966" s="204"/>
      <c r="T966" s="204"/>
      <c r="U966" s="204"/>
      <c r="V966" s="204"/>
      <c r="W966" s="204"/>
      <c r="X966" s="204"/>
      <c r="Y966" s="204"/>
      <c r="Z966" s="204"/>
    </row>
    <row r="967">
      <c r="A967" s="204"/>
      <c r="B967" s="204"/>
      <c r="C967" s="204"/>
      <c r="D967" s="204"/>
      <c r="E967" s="204"/>
      <c r="F967" s="204"/>
      <c r="G967" s="204"/>
      <c r="H967" s="204"/>
      <c r="I967" s="204"/>
      <c r="J967" s="204"/>
      <c r="K967" s="204"/>
      <c r="L967" s="204"/>
      <c r="M967" s="205"/>
      <c r="N967" s="204"/>
      <c r="O967" s="205"/>
      <c r="P967" s="204"/>
      <c r="Q967" s="204"/>
      <c r="R967" s="204"/>
      <c r="S967" s="204"/>
      <c r="T967" s="204"/>
      <c r="U967" s="204"/>
      <c r="V967" s="204"/>
      <c r="W967" s="204"/>
      <c r="X967" s="204"/>
      <c r="Y967" s="204"/>
      <c r="Z967" s="204"/>
    </row>
    <row r="968">
      <c r="A968" s="204"/>
      <c r="B968" s="204"/>
      <c r="C968" s="204"/>
      <c r="D968" s="204"/>
      <c r="E968" s="204"/>
      <c r="F968" s="204"/>
      <c r="G968" s="204"/>
      <c r="H968" s="204"/>
      <c r="I968" s="204"/>
      <c r="J968" s="204"/>
      <c r="K968" s="204"/>
      <c r="L968" s="204"/>
      <c r="M968" s="205"/>
      <c r="N968" s="204"/>
      <c r="O968" s="205"/>
      <c r="P968" s="204"/>
      <c r="Q968" s="204"/>
      <c r="R968" s="204"/>
      <c r="S968" s="204"/>
      <c r="T968" s="204"/>
      <c r="U968" s="204"/>
      <c r="V968" s="204"/>
      <c r="W968" s="204"/>
      <c r="X968" s="204"/>
      <c r="Y968" s="204"/>
      <c r="Z968" s="204"/>
    </row>
    <row r="969">
      <c r="A969" s="204"/>
      <c r="B969" s="204"/>
      <c r="C969" s="204"/>
      <c r="D969" s="204"/>
      <c r="E969" s="204"/>
      <c r="F969" s="204"/>
      <c r="G969" s="204"/>
      <c r="H969" s="204"/>
      <c r="I969" s="204"/>
      <c r="J969" s="204"/>
      <c r="K969" s="204"/>
      <c r="L969" s="204"/>
      <c r="M969" s="205"/>
      <c r="N969" s="204"/>
      <c r="O969" s="205"/>
      <c r="P969" s="204"/>
      <c r="Q969" s="204"/>
      <c r="R969" s="204"/>
      <c r="S969" s="204"/>
      <c r="T969" s="204"/>
      <c r="U969" s="204"/>
      <c r="V969" s="204"/>
      <c r="W969" s="204"/>
      <c r="X969" s="204"/>
      <c r="Y969" s="204"/>
      <c r="Z969" s="204"/>
    </row>
    <row r="970">
      <c r="A970" s="204"/>
      <c r="B970" s="204"/>
      <c r="C970" s="204"/>
      <c r="D970" s="204"/>
      <c r="E970" s="204"/>
      <c r="F970" s="204"/>
      <c r="G970" s="204"/>
      <c r="H970" s="204"/>
      <c r="I970" s="204"/>
      <c r="J970" s="204"/>
      <c r="K970" s="204"/>
      <c r="L970" s="204"/>
      <c r="M970" s="205"/>
      <c r="N970" s="204"/>
      <c r="O970" s="205"/>
      <c r="P970" s="204"/>
      <c r="Q970" s="204"/>
      <c r="R970" s="204"/>
      <c r="S970" s="204"/>
      <c r="T970" s="204"/>
      <c r="U970" s="204"/>
      <c r="V970" s="204"/>
      <c r="W970" s="204"/>
      <c r="X970" s="204"/>
      <c r="Y970" s="204"/>
      <c r="Z970" s="204"/>
    </row>
    <row r="971">
      <c r="A971" s="204"/>
      <c r="B971" s="204"/>
      <c r="C971" s="204"/>
      <c r="D971" s="204"/>
      <c r="E971" s="204"/>
      <c r="F971" s="204"/>
      <c r="G971" s="204"/>
      <c r="H971" s="204"/>
      <c r="I971" s="204"/>
      <c r="J971" s="204"/>
      <c r="K971" s="204"/>
      <c r="L971" s="204"/>
      <c r="M971" s="205"/>
      <c r="N971" s="204"/>
      <c r="O971" s="205"/>
      <c r="P971" s="204"/>
      <c r="Q971" s="204"/>
      <c r="R971" s="204"/>
      <c r="S971" s="204"/>
      <c r="T971" s="204"/>
      <c r="U971" s="204"/>
      <c r="V971" s="204"/>
      <c r="W971" s="204"/>
      <c r="X971" s="204"/>
      <c r="Y971" s="204"/>
      <c r="Z971" s="204"/>
    </row>
    <row r="972">
      <c r="A972" s="204"/>
      <c r="B972" s="204"/>
      <c r="C972" s="204"/>
      <c r="D972" s="204"/>
      <c r="E972" s="204"/>
      <c r="F972" s="204"/>
      <c r="G972" s="204"/>
      <c r="H972" s="204"/>
      <c r="I972" s="204"/>
      <c r="J972" s="204"/>
      <c r="K972" s="204"/>
      <c r="L972" s="204"/>
      <c r="M972" s="205"/>
      <c r="N972" s="204"/>
      <c r="O972" s="205"/>
      <c r="P972" s="204"/>
      <c r="Q972" s="204"/>
      <c r="R972" s="204"/>
      <c r="S972" s="204"/>
      <c r="T972" s="204"/>
      <c r="U972" s="204"/>
      <c r="V972" s="204"/>
      <c r="W972" s="204"/>
      <c r="X972" s="204"/>
      <c r="Y972" s="204"/>
      <c r="Z972" s="204"/>
    </row>
    <row r="973">
      <c r="A973" s="204"/>
      <c r="B973" s="204"/>
      <c r="C973" s="204"/>
      <c r="D973" s="204"/>
      <c r="E973" s="204"/>
      <c r="F973" s="204"/>
      <c r="G973" s="204"/>
      <c r="H973" s="204"/>
      <c r="I973" s="204"/>
      <c r="J973" s="204"/>
      <c r="K973" s="204"/>
      <c r="L973" s="204"/>
      <c r="M973" s="205"/>
      <c r="N973" s="204"/>
      <c r="O973" s="205"/>
      <c r="P973" s="204"/>
      <c r="Q973" s="204"/>
      <c r="R973" s="204"/>
      <c r="S973" s="204"/>
      <c r="T973" s="204"/>
      <c r="U973" s="204"/>
      <c r="V973" s="204"/>
      <c r="W973" s="204"/>
      <c r="X973" s="204"/>
      <c r="Y973" s="204"/>
      <c r="Z973" s="204"/>
    </row>
    <row r="974">
      <c r="A974" s="204"/>
      <c r="B974" s="204"/>
      <c r="C974" s="204"/>
      <c r="D974" s="204"/>
      <c r="E974" s="204"/>
      <c r="F974" s="204"/>
      <c r="G974" s="204"/>
      <c r="H974" s="204"/>
      <c r="I974" s="204"/>
      <c r="J974" s="204"/>
      <c r="K974" s="204"/>
      <c r="L974" s="204"/>
      <c r="M974" s="205"/>
      <c r="N974" s="204"/>
      <c r="O974" s="205"/>
      <c r="P974" s="204"/>
      <c r="Q974" s="204"/>
      <c r="R974" s="204"/>
      <c r="S974" s="204"/>
      <c r="T974" s="204"/>
      <c r="U974" s="204"/>
      <c r="V974" s="204"/>
      <c r="W974" s="204"/>
      <c r="X974" s="204"/>
      <c r="Y974" s="204"/>
      <c r="Z974" s="204"/>
    </row>
    <row r="975">
      <c r="A975" s="204"/>
      <c r="B975" s="204"/>
      <c r="C975" s="204"/>
      <c r="D975" s="204"/>
      <c r="E975" s="204"/>
      <c r="F975" s="204"/>
      <c r="G975" s="204"/>
      <c r="H975" s="204"/>
      <c r="I975" s="204"/>
      <c r="J975" s="204"/>
      <c r="K975" s="204"/>
      <c r="L975" s="204"/>
      <c r="M975" s="205"/>
      <c r="N975" s="204"/>
      <c r="O975" s="205"/>
      <c r="P975" s="204"/>
      <c r="Q975" s="204"/>
      <c r="R975" s="204"/>
      <c r="S975" s="204"/>
      <c r="T975" s="204"/>
      <c r="U975" s="204"/>
      <c r="V975" s="204"/>
      <c r="W975" s="204"/>
      <c r="X975" s="204"/>
      <c r="Y975" s="204"/>
      <c r="Z975" s="204"/>
    </row>
    <row r="976">
      <c r="A976" s="204"/>
      <c r="B976" s="204"/>
      <c r="C976" s="204"/>
      <c r="D976" s="204"/>
      <c r="E976" s="204"/>
      <c r="F976" s="204"/>
      <c r="G976" s="204"/>
      <c r="H976" s="204"/>
      <c r="I976" s="204"/>
      <c r="J976" s="204"/>
      <c r="K976" s="204"/>
      <c r="L976" s="204"/>
      <c r="M976" s="205"/>
      <c r="N976" s="204"/>
      <c r="O976" s="205"/>
      <c r="P976" s="204"/>
      <c r="Q976" s="204"/>
      <c r="R976" s="204"/>
      <c r="S976" s="204"/>
      <c r="T976" s="204"/>
      <c r="U976" s="204"/>
      <c r="V976" s="204"/>
      <c r="W976" s="204"/>
      <c r="X976" s="204"/>
      <c r="Y976" s="204"/>
      <c r="Z976" s="204"/>
    </row>
    <row r="977">
      <c r="A977" s="204"/>
      <c r="B977" s="204"/>
      <c r="C977" s="204"/>
      <c r="D977" s="204"/>
      <c r="E977" s="204"/>
      <c r="F977" s="204"/>
      <c r="G977" s="204"/>
      <c r="H977" s="204"/>
      <c r="I977" s="204"/>
      <c r="J977" s="204"/>
      <c r="K977" s="204"/>
      <c r="L977" s="204"/>
      <c r="M977" s="205"/>
      <c r="N977" s="204"/>
      <c r="O977" s="205"/>
      <c r="P977" s="204"/>
      <c r="Q977" s="204"/>
      <c r="R977" s="204"/>
      <c r="S977" s="204"/>
      <c r="T977" s="204"/>
      <c r="U977" s="204"/>
      <c r="V977" s="204"/>
      <c r="W977" s="204"/>
      <c r="X977" s="204"/>
      <c r="Y977" s="204"/>
      <c r="Z977" s="204"/>
    </row>
    <row r="978">
      <c r="A978" s="204"/>
      <c r="B978" s="204"/>
      <c r="C978" s="204"/>
      <c r="D978" s="204"/>
      <c r="E978" s="204"/>
      <c r="F978" s="204"/>
      <c r="G978" s="204"/>
      <c r="H978" s="204"/>
      <c r="I978" s="204"/>
      <c r="J978" s="204"/>
      <c r="K978" s="204"/>
      <c r="L978" s="204"/>
      <c r="M978" s="205"/>
      <c r="N978" s="204"/>
      <c r="O978" s="205"/>
      <c r="P978" s="204"/>
      <c r="Q978" s="204"/>
      <c r="R978" s="204"/>
      <c r="S978" s="204"/>
      <c r="T978" s="204"/>
      <c r="U978" s="204"/>
      <c r="V978" s="204"/>
      <c r="W978" s="204"/>
      <c r="X978" s="204"/>
      <c r="Y978" s="204"/>
      <c r="Z978" s="204"/>
    </row>
    <row r="979">
      <c r="A979" s="204"/>
      <c r="B979" s="204"/>
      <c r="C979" s="204"/>
      <c r="D979" s="204"/>
      <c r="E979" s="204"/>
      <c r="F979" s="204"/>
      <c r="G979" s="204"/>
      <c r="H979" s="204"/>
      <c r="I979" s="204"/>
      <c r="J979" s="204"/>
      <c r="K979" s="204"/>
      <c r="L979" s="204"/>
      <c r="M979" s="205"/>
      <c r="N979" s="204"/>
      <c r="O979" s="205"/>
      <c r="P979" s="204"/>
      <c r="Q979" s="204"/>
      <c r="R979" s="204"/>
      <c r="S979" s="204"/>
      <c r="T979" s="204"/>
      <c r="U979" s="204"/>
      <c r="V979" s="204"/>
      <c r="W979" s="204"/>
      <c r="X979" s="204"/>
      <c r="Y979" s="204"/>
      <c r="Z979" s="204"/>
    </row>
    <row r="980">
      <c r="A980" s="204"/>
      <c r="B980" s="204"/>
      <c r="C980" s="204"/>
      <c r="D980" s="204"/>
      <c r="E980" s="204"/>
      <c r="F980" s="204"/>
      <c r="G980" s="204"/>
      <c r="H980" s="204"/>
      <c r="I980" s="204"/>
      <c r="J980" s="204"/>
      <c r="K980" s="204"/>
      <c r="L980" s="204"/>
      <c r="M980" s="205"/>
      <c r="N980" s="204"/>
      <c r="O980" s="205"/>
      <c r="P980" s="204"/>
      <c r="Q980" s="204"/>
      <c r="R980" s="204"/>
      <c r="S980" s="204"/>
      <c r="T980" s="204"/>
      <c r="U980" s="204"/>
      <c r="V980" s="204"/>
      <c r="W980" s="204"/>
      <c r="X980" s="204"/>
      <c r="Y980" s="204"/>
      <c r="Z980" s="204"/>
    </row>
    <row r="981">
      <c r="A981" s="204"/>
      <c r="B981" s="204"/>
      <c r="C981" s="204"/>
      <c r="D981" s="204"/>
      <c r="E981" s="204"/>
      <c r="F981" s="204"/>
      <c r="G981" s="204"/>
      <c r="H981" s="204"/>
      <c r="I981" s="204"/>
      <c r="J981" s="204"/>
      <c r="K981" s="204"/>
      <c r="L981" s="204"/>
      <c r="M981" s="205"/>
      <c r="N981" s="204"/>
      <c r="O981" s="205"/>
      <c r="P981" s="204"/>
      <c r="Q981" s="204"/>
      <c r="R981" s="204"/>
      <c r="S981" s="204"/>
      <c r="T981" s="204"/>
      <c r="U981" s="204"/>
      <c r="V981" s="204"/>
      <c r="W981" s="204"/>
      <c r="X981" s="204"/>
      <c r="Y981" s="204"/>
      <c r="Z981" s="204"/>
    </row>
    <row r="982">
      <c r="A982" s="204"/>
      <c r="B982" s="204"/>
      <c r="C982" s="204"/>
      <c r="D982" s="204"/>
      <c r="E982" s="204"/>
      <c r="F982" s="204"/>
      <c r="G982" s="204"/>
      <c r="H982" s="204"/>
      <c r="I982" s="204"/>
      <c r="J982" s="204"/>
      <c r="K982" s="204"/>
      <c r="L982" s="204"/>
      <c r="M982" s="205"/>
      <c r="N982" s="204"/>
      <c r="O982" s="205"/>
      <c r="P982" s="204"/>
      <c r="Q982" s="204"/>
      <c r="R982" s="204"/>
      <c r="S982" s="204"/>
      <c r="T982" s="204"/>
      <c r="U982" s="204"/>
      <c r="V982" s="204"/>
      <c r="W982" s="204"/>
      <c r="X982" s="204"/>
      <c r="Y982" s="204"/>
      <c r="Z982" s="204"/>
    </row>
    <row r="983">
      <c r="A983" s="204"/>
      <c r="B983" s="204"/>
      <c r="C983" s="204"/>
      <c r="D983" s="204"/>
      <c r="E983" s="204"/>
      <c r="F983" s="204"/>
      <c r="G983" s="204"/>
      <c r="H983" s="204"/>
      <c r="I983" s="204"/>
      <c r="J983" s="204"/>
      <c r="K983" s="204"/>
      <c r="L983" s="204"/>
      <c r="M983" s="205"/>
      <c r="N983" s="204"/>
      <c r="O983" s="205"/>
      <c r="P983" s="204"/>
      <c r="Q983" s="204"/>
      <c r="R983" s="204"/>
      <c r="S983" s="204"/>
      <c r="T983" s="204"/>
      <c r="U983" s="204"/>
      <c r="V983" s="204"/>
      <c r="W983" s="204"/>
      <c r="X983" s="204"/>
      <c r="Y983" s="204"/>
      <c r="Z983" s="204"/>
    </row>
    <row r="984">
      <c r="A984" s="204"/>
      <c r="B984" s="204"/>
      <c r="C984" s="204"/>
      <c r="D984" s="204"/>
      <c r="E984" s="204"/>
      <c r="F984" s="204"/>
      <c r="G984" s="204"/>
      <c r="H984" s="204"/>
      <c r="I984" s="204"/>
      <c r="J984" s="204"/>
      <c r="K984" s="204"/>
      <c r="L984" s="204"/>
      <c r="M984" s="205"/>
      <c r="N984" s="204"/>
      <c r="O984" s="205"/>
      <c r="P984" s="204"/>
      <c r="Q984" s="204"/>
      <c r="R984" s="204"/>
      <c r="S984" s="204"/>
      <c r="T984" s="204"/>
      <c r="U984" s="204"/>
      <c r="V984" s="204"/>
      <c r="W984" s="204"/>
      <c r="X984" s="204"/>
      <c r="Y984" s="204"/>
      <c r="Z984" s="204"/>
    </row>
    <row r="985">
      <c r="A985" s="204"/>
      <c r="B985" s="204"/>
      <c r="C985" s="204"/>
      <c r="D985" s="204"/>
      <c r="E985" s="204"/>
      <c r="F985" s="204"/>
      <c r="G985" s="204"/>
      <c r="H985" s="204"/>
      <c r="I985" s="204"/>
      <c r="J985" s="204"/>
      <c r="K985" s="204"/>
      <c r="L985" s="204"/>
      <c r="M985" s="205"/>
      <c r="N985" s="204"/>
      <c r="O985" s="205"/>
      <c r="P985" s="204"/>
      <c r="Q985" s="204"/>
      <c r="R985" s="204"/>
      <c r="S985" s="204"/>
      <c r="T985" s="204"/>
      <c r="U985" s="204"/>
      <c r="V985" s="204"/>
      <c r="W985" s="204"/>
      <c r="X985" s="204"/>
      <c r="Y985" s="204"/>
      <c r="Z985" s="204"/>
    </row>
    <row r="986">
      <c r="A986" s="204"/>
      <c r="B986" s="204"/>
      <c r="C986" s="204"/>
      <c r="D986" s="204"/>
      <c r="E986" s="204"/>
      <c r="F986" s="204"/>
      <c r="G986" s="204"/>
      <c r="H986" s="204"/>
      <c r="I986" s="204"/>
      <c r="J986" s="204"/>
      <c r="K986" s="204"/>
      <c r="L986" s="204"/>
      <c r="M986" s="205"/>
      <c r="N986" s="204"/>
      <c r="O986" s="205"/>
      <c r="P986" s="204"/>
      <c r="Q986" s="204"/>
      <c r="R986" s="204"/>
      <c r="S986" s="204"/>
      <c r="T986" s="204"/>
      <c r="U986" s="204"/>
      <c r="V986" s="204"/>
      <c r="W986" s="204"/>
      <c r="X986" s="204"/>
      <c r="Y986" s="204"/>
      <c r="Z986" s="204"/>
    </row>
    <row r="987">
      <c r="A987" s="204"/>
      <c r="B987" s="204"/>
      <c r="C987" s="204"/>
      <c r="D987" s="204"/>
      <c r="E987" s="204"/>
      <c r="F987" s="204"/>
      <c r="G987" s="204"/>
      <c r="H987" s="204"/>
      <c r="I987" s="204"/>
      <c r="J987" s="204"/>
      <c r="K987" s="204"/>
      <c r="L987" s="204"/>
      <c r="M987" s="205"/>
      <c r="N987" s="204"/>
      <c r="O987" s="205"/>
      <c r="P987" s="204"/>
      <c r="Q987" s="204"/>
      <c r="R987" s="204"/>
      <c r="S987" s="204"/>
      <c r="T987" s="204"/>
      <c r="U987" s="204"/>
      <c r="V987" s="204"/>
      <c r="W987" s="204"/>
      <c r="X987" s="204"/>
      <c r="Y987" s="204"/>
      <c r="Z987" s="204"/>
    </row>
    <row r="988">
      <c r="A988" s="204"/>
      <c r="B988" s="204"/>
      <c r="C988" s="204"/>
      <c r="D988" s="204"/>
      <c r="E988" s="204"/>
      <c r="F988" s="204"/>
      <c r="G988" s="204"/>
      <c r="H988" s="204"/>
      <c r="I988" s="204"/>
      <c r="J988" s="204"/>
      <c r="K988" s="204"/>
      <c r="L988" s="204"/>
      <c r="M988" s="205"/>
      <c r="N988" s="204"/>
      <c r="O988" s="205"/>
      <c r="P988" s="204"/>
      <c r="Q988" s="204"/>
      <c r="R988" s="204"/>
      <c r="S988" s="204"/>
      <c r="T988" s="204"/>
      <c r="U988" s="204"/>
      <c r="V988" s="204"/>
      <c r="W988" s="204"/>
      <c r="X988" s="204"/>
      <c r="Y988" s="204"/>
      <c r="Z988" s="204"/>
    </row>
    <row r="989">
      <c r="A989" s="204"/>
      <c r="B989" s="204"/>
      <c r="C989" s="204"/>
      <c r="D989" s="204"/>
      <c r="E989" s="204"/>
      <c r="F989" s="204"/>
      <c r="G989" s="204"/>
      <c r="H989" s="204"/>
      <c r="I989" s="204"/>
      <c r="J989" s="204"/>
      <c r="K989" s="204"/>
      <c r="L989" s="204"/>
      <c r="M989" s="205"/>
      <c r="N989" s="204"/>
      <c r="O989" s="205"/>
      <c r="P989" s="204"/>
      <c r="Q989" s="204"/>
      <c r="R989" s="204"/>
      <c r="S989" s="204"/>
      <c r="T989" s="204"/>
      <c r="U989" s="204"/>
      <c r="V989" s="204"/>
      <c r="W989" s="204"/>
      <c r="X989" s="204"/>
      <c r="Y989" s="204"/>
      <c r="Z989" s="204"/>
    </row>
    <row r="990">
      <c r="A990" s="204"/>
      <c r="B990" s="204"/>
      <c r="C990" s="204"/>
      <c r="D990" s="204"/>
      <c r="E990" s="204"/>
      <c r="F990" s="204"/>
      <c r="G990" s="204"/>
      <c r="H990" s="204"/>
      <c r="I990" s="204"/>
      <c r="J990" s="204"/>
      <c r="K990" s="204"/>
      <c r="L990" s="204"/>
      <c r="M990" s="205"/>
      <c r="N990" s="204"/>
      <c r="O990" s="205"/>
      <c r="P990" s="204"/>
      <c r="Q990" s="204"/>
      <c r="R990" s="204"/>
      <c r="S990" s="204"/>
      <c r="T990" s="204"/>
      <c r="U990" s="204"/>
      <c r="V990" s="204"/>
      <c r="W990" s="204"/>
      <c r="X990" s="204"/>
      <c r="Y990" s="204"/>
      <c r="Z990" s="204"/>
    </row>
    <row r="991">
      <c r="A991" s="204"/>
      <c r="B991" s="204"/>
      <c r="C991" s="204"/>
      <c r="D991" s="204"/>
      <c r="E991" s="204"/>
      <c r="F991" s="204"/>
      <c r="G991" s="204"/>
      <c r="H991" s="204"/>
      <c r="I991" s="204"/>
      <c r="J991" s="204"/>
      <c r="K991" s="204"/>
      <c r="L991" s="204"/>
      <c r="M991" s="205"/>
      <c r="N991" s="204"/>
      <c r="O991" s="205"/>
      <c r="P991" s="204"/>
      <c r="Q991" s="204"/>
      <c r="R991" s="204"/>
      <c r="S991" s="204"/>
      <c r="T991" s="204"/>
      <c r="U991" s="204"/>
      <c r="V991" s="204"/>
      <c r="W991" s="204"/>
      <c r="X991" s="204"/>
      <c r="Y991" s="204"/>
      <c r="Z991" s="204"/>
    </row>
    <row r="992">
      <c r="A992" s="204"/>
      <c r="B992" s="204"/>
      <c r="C992" s="204"/>
      <c r="D992" s="204"/>
      <c r="E992" s="204"/>
      <c r="F992" s="204"/>
      <c r="G992" s="204"/>
      <c r="H992" s="204"/>
      <c r="I992" s="204"/>
      <c r="J992" s="204"/>
      <c r="K992" s="204"/>
      <c r="L992" s="204"/>
      <c r="M992" s="205"/>
      <c r="N992" s="204"/>
      <c r="O992" s="205"/>
      <c r="P992" s="204"/>
      <c r="Q992" s="204"/>
      <c r="R992" s="204"/>
      <c r="S992" s="204"/>
      <c r="T992" s="204"/>
      <c r="U992" s="204"/>
      <c r="V992" s="204"/>
      <c r="W992" s="204"/>
      <c r="X992" s="204"/>
      <c r="Y992" s="204"/>
      <c r="Z992" s="204"/>
    </row>
    <row r="993">
      <c r="A993" s="204"/>
      <c r="B993" s="204"/>
      <c r="C993" s="204"/>
      <c r="D993" s="204"/>
      <c r="E993" s="204"/>
      <c r="F993" s="204"/>
      <c r="G993" s="204"/>
      <c r="H993" s="204"/>
      <c r="I993" s="204"/>
      <c r="J993" s="204"/>
      <c r="K993" s="204"/>
      <c r="L993" s="204"/>
      <c r="M993" s="205"/>
      <c r="N993" s="204"/>
      <c r="O993" s="205"/>
      <c r="P993" s="204"/>
      <c r="Q993" s="204"/>
      <c r="R993" s="204"/>
      <c r="S993" s="204"/>
      <c r="T993" s="204"/>
      <c r="U993" s="204"/>
      <c r="V993" s="204"/>
      <c r="W993" s="204"/>
      <c r="X993" s="204"/>
      <c r="Y993" s="204"/>
      <c r="Z993" s="204"/>
    </row>
    <row r="994">
      <c r="A994" s="204"/>
      <c r="B994" s="204"/>
      <c r="C994" s="204"/>
      <c r="D994" s="204"/>
      <c r="E994" s="204"/>
      <c r="F994" s="204"/>
      <c r="G994" s="204"/>
      <c r="H994" s="204"/>
      <c r="I994" s="204"/>
      <c r="J994" s="204"/>
      <c r="K994" s="204"/>
      <c r="L994" s="204"/>
      <c r="M994" s="205"/>
      <c r="N994" s="204"/>
      <c r="O994" s="205"/>
      <c r="P994" s="204"/>
      <c r="Q994" s="204"/>
      <c r="R994" s="204"/>
      <c r="S994" s="204"/>
      <c r="T994" s="204"/>
      <c r="U994" s="204"/>
      <c r="V994" s="204"/>
      <c r="W994" s="204"/>
      <c r="X994" s="204"/>
      <c r="Y994" s="204"/>
      <c r="Z994" s="204"/>
    </row>
    <row r="995">
      <c r="A995" s="204"/>
      <c r="B995" s="204"/>
      <c r="C995" s="204"/>
      <c r="D995" s="204"/>
      <c r="E995" s="204"/>
      <c r="F995" s="204"/>
      <c r="G995" s="204"/>
      <c r="H995" s="204"/>
      <c r="I995" s="204"/>
      <c r="J995" s="204"/>
      <c r="K995" s="204"/>
      <c r="L995" s="204"/>
      <c r="M995" s="205"/>
      <c r="N995" s="204"/>
      <c r="O995" s="205"/>
      <c r="P995" s="204"/>
      <c r="Q995" s="204"/>
      <c r="R995" s="204"/>
      <c r="S995" s="204"/>
      <c r="T995" s="204"/>
      <c r="U995" s="204"/>
      <c r="V995" s="204"/>
      <c r="W995" s="204"/>
      <c r="X995" s="204"/>
      <c r="Y995" s="204"/>
      <c r="Z995" s="204"/>
    </row>
    <row r="996">
      <c r="A996" s="204"/>
      <c r="B996" s="204"/>
      <c r="C996" s="204"/>
      <c r="D996" s="204"/>
      <c r="E996" s="204"/>
      <c r="F996" s="204"/>
      <c r="G996" s="204"/>
      <c r="H996" s="204"/>
      <c r="I996" s="204"/>
      <c r="J996" s="204"/>
      <c r="K996" s="204"/>
      <c r="L996" s="204"/>
      <c r="M996" s="205"/>
      <c r="N996" s="204"/>
      <c r="O996" s="205"/>
      <c r="P996" s="204"/>
      <c r="Q996" s="204"/>
      <c r="R996" s="204"/>
      <c r="S996" s="204"/>
      <c r="T996" s="204"/>
      <c r="U996" s="204"/>
      <c r="V996" s="204"/>
      <c r="W996" s="204"/>
      <c r="X996" s="204"/>
      <c r="Y996" s="204"/>
      <c r="Z996" s="204"/>
    </row>
    <row r="997">
      <c r="A997" s="204"/>
      <c r="B997" s="204"/>
      <c r="C997" s="204"/>
      <c r="D997" s="204"/>
      <c r="E997" s="204"/>
      <c r="F997" s="204"/>
      <c r="G997" s="204"/>
      <c r="H997" s="204"/>
      <c r="I997" s="204"/>
      <c r="J997" s="204"/>
      <c r="K997" s="204"/>
      <c r="L997" s="204"/>
      <c r="M997" s="205"/>
      <c r="N997" s="204"/>
      <c r="O997" s="205"/>
      <c r="P997" s="204"/>
      <c r="Q997" s="204"/>
      <c r="R997" s="204"/>
      <c r="S997" s="204"/>
      <c r="T997" s="204"/>
      <c r="U997" s="204"/>
      <c r="V997" s="204"/>
      <c r="W997" s="204"/>
      <c r="X997" s="204"/>
      <c r="Y997" s="204"/>
      <c r="Z997" s="204"/>
    </row>
    <row r="998">
      <c r="A998" s="204"/>
      <c r="B998" s="204"/>
      <c r="C998" s="204"/>
      <c r="D998" s="204"/>
      <c r="E998" s="204"/>
      <c r="F998" s="204"/>
      <c r="G998" s="204"/>
      <c r="H998" s="204"/>
      <c r="I998" s="204"/>
      <c r="J998" s="204"/>
      <c r="K998" s="204"/>
      <c r="L998" s="204"/>
      <c r="M998" s="205"/>
      <c r="N998" s="204"/>
      <c r="O998" s="205"/>
      <c r="P998" s="204"/>
      <c r="Q998" s="204"/>
      <c r="R998" s="204"/>
      <c r="S998" s="204"/>
      <c r="T998" s="204"/>
      <c r="U998" s="204"/>
      <c r="V998" s="204"/>
      <c r="W998" s="204"/>
      <c r="X998" s="204"/>
      <c r="Y998" s="204"/>
      <c r="Z998" s="204"/>
    </row>
    <row r="999">
      <c r="A999" s="204"/>
      <c r="B999" s="204"/>
      <c r="C999" s="204"/>
      <c r="D999" s="204"/>
      <c r="E999" s="204"/>
      <c r="F999" s="204"/>
      <c r="G999" s="204"/>
      <c r="H999" s="204"/>
      <c r="I999" s="204"/>
      <c r="J999" s="204"/>
      <c r="K999" s="204"/>
      <c r="L999" s="204"/>
      <c r="M999" s="205"/>
      <c r="N999" s="204"/>
      <c r="O999" s="205"/>
      <c r="P999" s="204"/>
      <c r="Q999" s="204"/>
      <c r="R999" s="204"/>
      <c r="S999" s="204"/>
      <c r="T999" s="204"/>
      <c r="U999" s="204"/>
      <c r="V999" s="204"/>
      <c r="W999" s="204"/>
      <c r="X999" s="204"/>
      <c r="Y999" s="204"/>
      <c r="Z999" s="204"/>
    </row>
    <row r="1000">
      <c r="A1000" s="204"/>
      <c r="B1000" s="204"/>
      <c r="C1000" s="204"/>
      <c r="D1000" s="204"/>
      <c r="E1000" s="204"/>
      <c r="F1000" s="204"/>
      <c r="G1000" s="204"/>
      <c r="H1000" s="204"/>
      <c r="I1000" s="204"/>
      <c r="J1000" s="204"/>
      <c r="K1000" s="204"/>
      <c r="L1000" s="204"/>
      <c r="M1000" s="205"/>
      <c r="N1000" s="204"/>
      <c r="O1000" s="205"/>
      <c r="P1000" s="204"/>
      <c r="Q1000" s="204"/>
      <c r="R1000" s="204"/>
      <c r="S1000" s="204"/>
      <c r="T1000" s="204"/>
      <c r="U1000" s="204"/>
      <c r="V1000" s="204"/>
      <c r="W1000" s="204"/>
      <c r="X1000" s="204"/>
      <c r="Y1000" s="204"/>
      <c r="Z1000" s="20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