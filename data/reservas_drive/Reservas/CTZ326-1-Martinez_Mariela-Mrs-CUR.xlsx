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STEO CITAS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CwPGN/9JjYs2z0eGpYgDftpvlq6CyRUSM3njOL8TBsc="/>
    </ext>
  </extLst>
</workbook>
</file>

<file path=xl/sharedStrings.xml><?xml version="1.0" encoding="utf-8"?>
<sst xmlns="http://schemas.openxmlformats.org/spreadsheetml/2006/main" count="349" uniqueCount="240">
  <si>
    <t>Nombre</t>
  </si>
  <si>
    <t xml:space="preserve">Mariela </t>
  </si>
  <si>
    <t>Elizabeth</t>
  </si>
  <si>
    <t>Apellido</t>
  </si>
  <si>
    <t>Martines</t>
  </si>
  <si>
    <t>Género:  .</t>
  </si>
  <si>
    <t xml:space="preserve">Femenino </t>
  </si>
  <si>
    <t>Pasaporte</t>
  </si>
  <si>
    <t>NPF76B1L9</t>
  </si>
  <si>
    <t>Fecha de nacimiento</t>
  </si>
  <si>
    <t>Edad</t>
  </si>
  <si>
    <t>Estado civil</t>
  </si>
  <si>
    <t>Dirección</t>
  </si>
  <si>
    <t>Ronde Klip Naast 77B Willemstad, Curaçao</t>
  </si>
  <si>
    <t xml:space="preserve">Nacionalidad  y  domicilio:  </t>
  </si>
  <si>
    <t>Curazao</t>
  </si>
  <si>
    <t>Email:</t>
  </si>
  <si>
    <t>marieelamartines@gmail.com</t>
  </si>
  <si>
    <t>Teléfono</t>
  </si>
  <si>
    <t xml:space="preserve">Profesión </t>
  </si>
  <si>
    <t>Profesora</t>
  </si>
  <si>
    <t>RH</t>
  </si>
  <si>
    <t>AB+</t>
  </si>
  <si>
    <t>Seguro</t>
  </si>
  <si>
    <t>Peso</t>
  </si>
  <si>
    <t>Altura</t>
  </si>
  <si>
    <t>1,69</t>
  </si>
  <si>
    <t>Idioma</t>
  </si>
  <si>
    <t>Papiamento, español, ingles, Holandes</t>
  </si>
  <si>
    <t>Salud</t>
  </si>
  <si>
    <t>Dolor de cabeza persistente e intenso</t>
  </si>
  <si>
    <t>Solicitud de consulta urgente para evaluación y orden de MRI de cráneo</t>
  </si>
  <si>
    <t>ASIMETRÍA DENTAL: POSITIVA.</t>
  </si>
  <si>
    <t>APERTURA BUCAL DESVIADA.</t>
  </si>
  <si>
    <t xml:space="preserve"> </t>
  </si>
  <si>
    <t>CONFIRMACIÓN</t>
  </si>
  <si>
    <t>DIRECCIÓN</t>
  </si>
  <si>
    <t>SEDE</t>
  </si>
  <si>
    <t>PROVEEDOR</t>
  </si>
  <si>
    <t>HORA</t>
  </si>
  <si>
    <t xml:space="preserve">FECHAS: DESPUES DEL 11 DE JULIO </t>
  </si>
  <si>
    <t>DIA/HORA</t>
  </si>
  <si>
    <t>Actividad</t>
  </si>
  <si>
    <t>ACP horas</t>
  </si>
  <si>
    <t>Traslado cerca</t>
  </si>
  <si>
    <t>Traslado lejos</t>
  </si>
  <si>
    <t>SÁBADO 11 DE JULIO</t>
  </si>
  <si>
    <t>Cenar antes en Curazao</t>
  </si>
  <si>
    <t>WINGO</t>
  </si>
  <si>
    <t>07:18 pm</t>
  </si>
  <si>
    <t>Vuelo Curazao - Medellín</t>
  </si>
  <si>
    <t>Control migratorio</t>
  </si>
  <si>
    <t>AEROTUREX</t>
  </si>
  <si>
    <t>09:00 pm</t>
  </si>
  <si>
    <t>Traslado aeropuerto - hotel</t>
  </si>
  <si>
    <t>10:00 pm</t>
  </si>
  <si>
    <t>Alojamiento</t>
  </si>
  <si>
    <t>DOMINGO 12 DE JULIO</t>
  </si>
  <si>
    <t>Día libre se sugiere realizar tours</t>
  </si>
  <si>
    <t>LUNES 13 DE JULIO</t>
  </si>
  <si>
    <t>Día festivo no laboral en Colombia - se sugiere realizar tours</t>
  </si>
  <si>
    <t>MARTES 14 DE JULIO</t>
  </si>
  <si>
    <t>No desayunar - VEJIGA LLENA - TOMAR AGUA</t>
  </si>
  <si>
    <t>05:30 am</t>
  </si>
  <si>
    <t>Traslado hotel - centro médico</t>
  </si>
  <si>
    <t>Cima</t>
  </si>
  <si>
    <t>Ecografía de abdomen total</t>
  </si>
  <si>
    <t>Ecografía de mama</t>
  </si>
  <si>
    <t>Ecografía de tiroides y paratiroides</t>
  </si>
  <si>
    <t xml:space="preserve">Toma de muestras de laboratorio clínico </t>
  </si>
  <si>
    <t>Citología cervical</t>
  </si>
  <si>
    <t>Radiografía de tórax</t>
  </si>
  <si>
    <t>Ecocardiograma</t>
  </si>
  <si>
    <t>Prueba de esfuerzo</t>
  </si>
  <si>
    <t>Tiempo para desayunar</t>
  </si>
  <si>
    <t>Electrocardiograma</t>
  </si>
  <si>
    <t>Audiometría</t>
  </si>
  <si>
    <t>Optometría</t>
  </si>
  <si>
    <t>09:00 am</t>
  </si>
  <si>
    <t xml:space="preserve">Traslado centro medico -centro medico </t>
  </si>
  <si>
    <t>Imágenes y especialistas</t>
  </si>
  <si>
    <t xml:space="preserve">Radiografía panorámica dental </t>
  </si>
  <si>
    <t>Tomografía bi maxilar</t>
  </si>
  <si>
    <t>Alta Estética Dental</t>
  </si>
  <si>
    <t>11:00 am</t>
  </si>
  <si>
    <t>Consulta con especialista en CIRUGIA MAXILOFACIAL</t>
  </si>
  <si>
    <t>Tiempo para almorzar</t>
  </si>
  <si>
    <t>Traslado centro médico - Hotel</t>
  </si>
  <si>
    <t>MIÉRCOLES 15 DE JULIO</t>
  </si>
  <si>
    <t>NO DESAYUNAR - NO TOMAR AGUA</t>
  </si>
  <si>
    <t xml:space="preserve">Sedacción </t>
  </si>
  <si>
    <t>Resonancia magnética simple  de Cráneo</t>
  </si>
  <si>
    <t>Tiempo para desayunar - resto del día libre</t>
  </si>
  <si>
    <t>JUEVES 16 DE JULIO</t>
  </si>
  <si>
    <t>Día libre en espera de resultados</t>
  </si>
  <si>
    <t>VIERNES 17 DE JULIO</t>
  </si>
  <si>
    <t>Mañana libre - tiempo para almorzar</t>
  </si>
  <si>
    <t>Clínica Las Vegas</t>
  </si>
  <si>
    <t>Dr Manuel Dávila</t>
  </si>
  <si>
    <t>02:00 pm</t>
  </si>
  <si>
    <t>Consulta con especialista en MEDICINA INTERNA</t>
  </si>
  <si>
    <t>SÁBADO 18 DE JULIO</t>
  </si>
  <si>
    <t xml:space="preserve">Tiempo para desayunar </t>
  </si>
  <si>
    <t>10:00 am</t>
  </si>
  <si>
    <t xml:space="preserve">Check out </t>
  </si>
  <si>
    <t>10:30 am</t>
  </si>
  <si>
    <t>Traslado hotel - aeropuerto</t>
  </si>
  <si>
    <t>02:13 pm</t>
  </si>
  <si>
    <t>Vuelo Medellín - Curazao</t>
  </si>
  <si>
    <t>INCLUIDO EN EL PAQUETE DE CHEQUEO MÉDICO</t>
  </si>
  <si>
    <t>COBRAR</t>
  </si>
  <si>
    <t>SE COBRA UN POCO MÁS</t>
  </si>
  <si>
    <t>ESTADO DE CUENTA</t>
  </si>
  <si>
    <t>LIBRO DIARIO CONTABLE</t>
  </si>
  <si>
    <t>ACV documentos MÉDICOS</t>
  </si>
  <si>
    <t>PAGOS - FACTURAS</t>
  </si>
  <si>
    <t>CONFIRMACIÓN DE RESERVAS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</si>
  <si>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</si>
  <si>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</si>
  <si>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</si>
  <si>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</si>
  <si>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</si>
  <si>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</si>
  <si>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</si>
  <si>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</si>
  <si>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</si>
  <si>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</si>
  <si>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</si>
  <si>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</si>
  <si>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</si>
  <si>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</si>
  <si>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</si>
  <si>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DMS 402</t>
  </si>
  <si>
    <t>Confirmado</t>
  </si>
  <si>
    <t>Consulta primera Vez Medico Funcional Davinia</t>
  </si>
  <si>
    <t>Dr Marcos</t>
  </si>
  <si>
    <t>DR MARCOS YEPES</t>
  </si>
  <si>
    <t>JURIDICA BANCOLOMBIA</t>
  </si>
  <si>
    <t>TRANSFERENCIA BANCARIA</t>
  </si>
  <si>
    <t>Póliza de asistencia médica al viajero para 8 días</t>
  </si>
  <si>
    <t>8,00 Unidades</t>
  </si>
  <si>
    <t>$ 2,00</t>
  </si>
  <si>
    <t>$ 16,00</t>
  </si>
  <si>
    <t>Tarros para orina y material fecal</t>
  </si>
  <si>
    <t>Sim Card Fisica</t>
  </si>
  <si>
    <t>1,00 Unidades</t>
  </si>
  <si>
    <t>$ 4,00</t>
  </si>
  <si>
    <t>RECARGA 7 gigas de datos X 10 días - tigo</t>
  </si>
  <si>
    <t>$ 9,00</t>
  </si>
  <si>
    <t>Alojamiento por noche Hotel BH el Poblado
07 Noches para 1 ó 2 personas en una sola cama- Incluye desayuno diario</t>
  </si>
  <si>
    <t>7,00 Unidades</t>
  </si>
  <si>
    <t>$ 106,00</t>
  </si>
  <si>
    <t>$ 742,00</t>
  </si>
  <si>
    <t>* Citología Cervical</t>
  </si>
  <si>
    <t>* Coprológico</t>
  </si>
  <si>
    <t>* Vitamina D 25 hidroxi</t>
  </si>
  <si>
    <t>Vitamina B12</t>
  </si>
  <si>
    <t>$ 33,00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</si>
  <si>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</si>
  <si>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</si>
  <si>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</si>
  <si>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</si>
  <si>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</si>
  <si>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</si>
  <si>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</si>
  <si>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</si>
  <si>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</si>
  <si>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</si>
  <si>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T3L: Triyodotironina Libre</t>
  </si>
  <si>
    <t>$ 13,00</t>
  </si>
  <si>
    <t>PTH Hormona Paratoidea</t>
  </si>
  <si>
    <t>$ 29,00</t>
  </si>
  <si>
    <t>TBIL: Bilirrubina total y directa</t>
  </si>
  <si>
    <t>$ 7,00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</si>
  <si>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</si>
  <si>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</si>
  <si>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</si>
  <si>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</si>
  <si>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</si>
  <si>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</si>
  <si>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</si>
  <si>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</si>
  <si>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</si>
  <si>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</si>
  <si>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</si>
  <si>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Saturación de transferrina</t>
  </si>
  <si>
    <t>$ 11,00</t>
  </si>
  <si>
    <t>BUN Nitrógeno Uréico</t>
  </si>
  <si>
    <t xml:space="preserve">Prueba del Corazon </t>
  </si>
  <si>
    <t>Homocisteína sérica</t>
  </si>
  <si>
    <t>$ 38,00</t>
  </si>
  <si>
    <t>Minerales</t>
  </si>
  <si>
    <t>IONOGRAMA: Calcio - Cloro - Sodio - Potasio</t>
  </si>
  <si>
    <t>$ 22,00</t>
  </si>
  <si>
    <t>Fósforo</t>
  </si>
  <si>
    <t>$ 10,00</t>
  </si>
  <si>
    <t>IMÁGENES DIAGNÓSTICAS</t>
  </si>
  <si>
    <t>Resonancia Magnetica simple de Cerebro
Sin contraste</t>
  </si>
  <si>
    <t>$ 261,00</t>
  </si>
  <si>
    <t>Sedación para resonancias
Solo si es Necesario</t>
  </si>
  <si>
    <t>$ 140,00</t>
  </si>
  <si>
    <t>Radiografía panorámica dental - Incluye valoración odontológica</t>
  </si>
  <si>
    <t>$ 31,00</t>
  </si>
  <si>
    <t>Tomografía BIMAXILAR Boca Abierta y Cerrada</t>
  </si>
  <si>
    <t>$ 163,00</t>
  </si>
  <si>
    <t>$ 48,00</t>
  </si>
  <si>
    <t>Electro cardiograma</t>
  </si>
  <si>
    <t>ESPECIALISTAS</t>
  </si>
  <si>
    <t>$ 98,00</t>
  </si>
  <si>
    <t>Consulta de control VIRTUAL con Medico Funcional Dr Marcos Yépes</t>
  </si>
  <si>
    <t>$ 65,00</t>
  </si>
  <si>
    <t>Video entrevista VIRTUAL de primera vez con NUTRICIÓN Dra Marlen Villalba</t>
  </si>
  <si>
    <t>$ 88,00</t>
  </si>
  <si>
    <t>SERVICIOS MEDICAL TRIP COLOMBIA</t>
  </si>
  <si>
    <t>Servicio Medical Trip Colombia - Acompañamiento presencial y Virtual en español x 8 horas</t>
  </si>
  <si>
    <t>1,50 Unidades</t>
  </si>
  <si>
    <t>$ 97,50</t>
  </si>
  <si>
    <t>Servicios Medical Trip Colombia Traslados Hotel-Clínica por trayectos cortos</t>
  </si>
  <si>
    <t>4,00 Unidades</t>
  </si>
  <si>
    <t>$ 12,00</t>
  </si>
  <si>
    <t>Traslado Aeropuerto -Hotel por trayecto conductor habla español</t>
  </si>
  <si>
    <t>2,00 Unidades</t>
  </si>
  <si>
    <t>$ 51,00</t>
  </si>
  <si>
    <t>$ 102,00</t>
  </si>
  <si>
    <t>OPC</t>
  </si>
  <si>
    <t>ANTI-HBS - Hepatitis B anticuerpos
Opcional</t>
  </si>
  <si>
    <t>$ 25,00</t>
  </si>
  <si>
    <t>$ 0,00</t>
  </si>
  <si>
    <t>HBsAg: Antígeno de superficie de Hepatitis B
Opcional</t>
  </si>
  <si>
    <t>$ 20,00</t>
  </si>
  <si>
    <t>ANTI-CORE - HBC - Hepatitis B anticuerpos central totales
Opcional</t>
  </si>
  <si>
    <t>Hepatitis C, Anticuerpo [ANTI-HVC]
Opcional</t>
  </si>
  <si>
    <t>Ecocardiograma
OPCIONAL -Riesgo Cardiovascular</t>
  </si>
  <si>
    <t>Unidades</t>
  </si>
  <si>
    <t>$ 147,00</t>
  </si>
  <si>
    <t>Prueba de esfuerzo
OPCIONAL - -Riesgo Cardiovascular</t>
  </si>
  <si>
    <t>$ 96,00</t>
  </si>
  <si>
    <t>Total</t>
  </si>
  <si>
    <t>$ 2.578,50</t>
  </si>
  <si>
    <t xml:space="preserve">PAGO PASAJERA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</si>
</sst>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dd/mm/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dd-mm-yyyy"/>
  </numFmts>
  <fonts count="12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sz val="12.0"/>
      <color theme="1"/>
      <name val="Lexend"/>
    </font>
    <font>
      <color theme="1"/>
      <name val="Arial"/>
    </font>
    <font>
      <b/>
      <sz val="11.0"/>
      <color rgb="FFFFFFFF"/>
      <name val="Lexend"/>
    </font>
    <font/>
    <font>
      <sz val="11.0"/>
      <color rgb="FF212529"/>
      <name val="Lexend"/>
    </font>
    <font>
      <color rgb="FF212529"/>
      <name val="Lexend"/>
    </font>
    <font>
      <sz val="10.0"/>
      <color rgb="FF212529"/>
      <name val="Lexend"/>
    </font>
    <font>
      <color theme="1"/>
      <name val="Lexend"/>
    </font>
    <font>
      <b/>
      <sz val="11.0"/>
      <color rgb="FF212529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3" fontId="1" numFmtId="0" xfId="0" applyAlignment="1" applyFill="1" applyFont="1">
      <alignment readingOrder="0" shrinkToFit="0" wrapText="1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5" fontId="1" numFmtId="166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3" fillId="0" fontId="1" numFmtId="167" xfId="0" applyAlignment="1" applyBorder="1" applyFont="1" applyNumberFormat="1">
      <alignment horizontal="center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8" fontId="1" numFmtId="0" xfId="0" applyAlignment="1" applyBorder="1" applyFill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2" fillId="8" fontId="1" numFmtId="0" xfId="0" applyAlignment="1" applyBorder="1" applyFont="1">
      <alignment horizontal="center" readingOrder="0" vertical="center"/>
    </xf>
    <xf borderId="1" fillId="8" fontId="2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10" fontId="1" numFmtId="0" xfId="0" applyAlignment="1" applyFill="1" applyFont="1">
      <alignment horizontal="center" readingOrder="0" vertical="center"/>
    </xf>
    <xf borderId="0" fillId="1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0" fillId="0" fontId="1" numFmtId="169" xfId="0" applyAlignment="1" applyFont="1" applyNumberFormat="1">
      <alignment horizontal="center" shrinkToFit="0" vertical="center" wrapText="1"/>
    </xf>
    <xf borderId="1" fillId="4" fontId="5" numFmtId="169" xfId="0" applyAlignment="1" applyBorder="1" applyFont="1" applyNumberFormat="1">
      <alignment horizontal="center" shrinkToFit="0" vertical="center" wrapText="1"/>
    </xf>
    <xf borderId="4" fillId="4" fontId="5" numFmtId="169" xfId="0" applyAlignment="1" applyBorder="1" applyFont="1" applyNumberFormat="1">
      <alignment horizontal="center" shrinkToFit="0" vertical="center" wrapText="1"/>
    </xf>
    <xf borderId="4" fillId="0" fontId="6" numFmtId="0" xfId="0" applyBorder="1" applyFont="1"/>
    <xf borderId="4" fillId="4" fontId="1" numFmtId="170" xfId="0" applyAlignment="1" applyBorder="1" applyFont="1" applyNumberFormat="1">
      <alignment horizontal="center" shrinkToFit="0" vertical="center" wrapText="1"/>
    </xf>
    <xf borderId="4" fillId="4" fontId="1" numFmtId="164" xfId="0" applyAlignment="1" applyBorder="1" applyFont="1" applyNumberForma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169" xfId="0" applyAlignment="1" applyBorder="1" applyFont="1" applyNumberFormat="1">
      <alignment horizontal="center" shrinkToFit="0" vertical="center" wrapText="1"/>
    </xf>
    <xf borderId="6" fillId="11" fontId="5" numFmtId="169" xfId="0" applyAlignment="1" applyBorder="1" applyFill="1" applyFont="1" applyNumberFormat="1">
      <alignment horizontal="center" shrinkToFit="0" vertical="center" wrapText="1"/>
    </xf>
    <xf borderId="6" fillId="11" fontId="5" numFmtId="170" xfId="0" applyAlignment="1" applyBorder="1" applyFont="1" applyNumberFormat="1">
      <alignment horizontal="center" shrinkToFit="0" vertical="center" wrapText="1"/>
    </xf>
    <xf borderId="1" fillId="12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shrinkToFit="0" vertical="center" wrapText="1"/>
    </xf>
    <xf borderId="0" fillId="8" fontId="1" numFmtId="0" xfId="0" applyAlignment="1" applyFont="1">
      <alignment horizontal="center" vertical="center"/>
    </xf>
    <xf borderId="0" fillId="13" fontId="1" numFmtId="171" xfId="0" applyAlignment="1" applyFill="1" applyFont="1" applyNumberFormat="1">
      <alignment horizontal="center" vertical="center"/>
    </xf>
    <xf borderId="0" fillId="8" fontId="1" numFmtId="0" xfId="0" applyAlignment="1" applyFont="1">
      <alignment horizontal="center" readingOrder="0" shrinkToFit="0" vertical="center" wrapText="1"/>
    </xf>
    <xf borderId="0" fillId="8" fontId="1" numFmtId="172" xfId="0" applyAlignment="1" applyFont="1" applyNumberFormat="1">
      <alignment horizontal="center" readingOrder="0" vertical="center"/>
    </xf>
    <xf borderId="0" fillId="8" fontId="1" numFmtId="171" xfId="0" applyAlignment="1" applyFont="1" applyNumberFormat="1">
      <alignment horizontal="center" readingOrder="0" vertical="center"/>
    </xf>
    <xf borderId="0" fillId="8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13" fontId="1" numFmtId="171" xfId="0" applyAlignment="1" applyFont="1" applyNumberFormat="1">
      <alignment horizontal="center" shrinkToFit="0" vertical="center" wrapText="1"/>
    </xf>
    <xf borderId="1" fillId="14" fontId="7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" fillId="15" fontId="9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ont="1">
      <alignment horizontal="center" shrinkToFit="0" vertical="center" wrapText="1"/>
    </xf>
    <xf borderId="1" fillId="16" fontId="7" numFmtId="0" xfId="0" applyAlignment="1" applyBorder="1" applyFill="1" applyFont="1">
      <alignment horizontal="center" shrinkToFit="0" vertical="center" wrapText="1"/>
    </xf>
    <xf borderId="0" fillId="8" fontId="7" numFmtId="0" xfId="0" applyAlignment="1" applyFont="1">
      <alignment horizontal="center" readingOrder="0" vertical="center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1" fillId="14" fontId="7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vertical="center"/>
    </xf>
    <xf borderId="1" fillId="14" fontId="8" numFmtId="0" xfId="0" applyAlignment="1" applyBorder="1" applyFont="1">
      <alignment horizontal="center" readingOrder="0" shrinkToFit="0" vertical="center" wrapText="1"/>
    </xf>
    <xf borderId="1" fillId="14" fontId="7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13" fontId="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10" fontId="1" numFmtId="0" xfId="0" applyAlignment="1" applyFont="1">
      <alignment horizontal="center" readingOrder="0" shrinkToFit="0" vertical="center" wrapText="1"/>
    </xf>
    <xf borderId="0" fillId="0" fontId="10" numFmtId="0" xfId="0" applyFont="1"/>
    <xf borderId="0" fillId="8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0</xdr:row>
      <xdr:rowOff>114300</xdr:rowOff>
    </xdr:from>
    <xdr:ext cx="4714875" cy="32766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400050</xdr:colOff>
      <xdr:row>10</xdr:row>
      <xdr:rowOff>104775</xdr:rowOff>
    </xdr:from>
    <xdr:ext cx="3257550" cy="6438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42.8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"/>
      <c r="B20" s="3"/>
      <c r="C20" s="1"/>
      <c r="D20" s="2"/>
      <c r="E20" s="3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" t="s">
        <v>0</v>
      </c>
      <c r="B21" s="5" t="s">
        <v>1</v>
      </c>
      <c r="C21" s="1"/>
      <c r="D21" s="2"/>
      <c r="E21" s="3"/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" t="s">
        <v>0</v>
      </c>
      <c r="B22" s="6" t="s">
        <v>2</v>
      </c>
      <c r="C22" s="1"/>
      <c r="D22" s="2"/>
      <c r="E22" s="3"/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" t="s">
        <v>3</v>
      </c>
      <c r="B23" s="6" t="s">
        <v>4</v>
      </c>
      <c r="C23" s="1"/>
      <c r="D23" s="2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" t="s">
        <v>5</v>
      </c>
      <c r="B24" s="5" t="s">
        <v>6</v>
      </c>
      <c r="C24" s="1"/>
      <c r="D24" s="2"/>
      <c r="E24" s="3"/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" t="s">
        <v>7</v>
      </c>
      <c r="B25" s="7" t="s">
        <v>8</v>
      </c>
      <c r="C25" s="1"/>
      <c r="D25" s="2"/>
      <c r="E25" s="3"/>
      <c r="F25" s="8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" t="s">
        <v>9</v>
      </c>
      <c r="B26" s="9">
        <v>24620.0</v>
      </c>
      <c r="C26" s="1"/>
      <c r="D26" s="2"/>
      <c r="E26" s="3"/>
      <c r="F26" s="1"/>
      <c r="G26" s="3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" t="s">
        <v>10</v>
      </c>
      <c r="B27" s="3">
        <f>2026-1967</f>
        <v>59</v>
      </c>
      <c r="C27" s="1"/>
      <c r="D27" s="2"/>
      <c r="E27" s="3"/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" t="s">
        <v>11</v>
      </c>
      <c r="B28" s="3"/>
      <c r="C28" s="1"/>
      <c r="D28" s="2"/>
      <c r="E28" s="3"/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" t="s">
        <v>12</v>
      </c>
      <c r="B29" s="7" t="s">
        <v>13</v>
      </c>
      <c r="C29" s="1"/>
      <c r="D29" s="2"/>
      <c r="E29" s="3"/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" t="s">
        <v>14</v>
      </c>
      <c r="B30" s="5" t="s">
        <v>15</v>
      </c>
      <c r="C30" s="1"/>
      <c r="D30" s="2"/>
      <c r="E30" s="3"/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" t="s">
        <v>16</v>
      </c>
      <c r="B31" s="7" t="s">
        <v>17</v>
      </c>
      <c r="C31" s="1"/>
      <c r="D31" s="2"/>
      <c r="E31" s="3"/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" t="s">
        <v>18</v>
      </c>
      <c r="B32" s="5">
        <v>5.9996940876E10</v>
      </c>
      <c r="C32" s="1"/>
      <c r="D32" s="2"/>
      <c r="E32" s="3"/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" t="s">
        <v>19</v>
      </c>
      <c r="B33" s="5" t="s">
        <v>20</v>
      </c>
      <c r="C33" s="1"/>
      <c r="D33" s="2"/>
      <c r="E33" s="3"/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" t="s">
        <v>21</v>
      </c>
      <c r="B34" s="5" t="s">
        <v>22</v>
      </c>
      <c r="C34" s="1"/>
      <c r="D34" s="2"/>
      <c r="E34" s="3"/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" t="s">
        <v>23</v>
      </c>
      <c r="B35" s="3"/>
      <c r="C35" s="1"/>
      <c r="D35" s="2"/>
      <c r="E35" s="3"/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" t="s">
        <v>24</v>
      </c>
      <c r="B36" s="5">
        <v>102.0</v>
      </c>
      <c r="C36" s="1"/>
      <c r="D36" s="2"/>
      <c r="E36" s="3"/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" t="s">
        <v>25</v>
      </c>
      <c r="B37" s="5" t="s">
        <v>26</v>
      </c>
      <c r="C37" s="1"/>
      <c r="D37" s="2"/>
      <c r="E37" s="3"/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" t="s">
        <v>27</v>
      </c>
      <c r="B38" s="7" t="s">
        <v>28</v>
      </c>
      <c r="C38" s="1"/>
      <c r="D38" s="2"/>
      <c r="E38" s="3"/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0" t="s">
        <v>29</v>
      </c>
      <c r="B39" s="11" t="s">
        <v>30</v>
      </c>
      <c r="C39" s="1"/>
      <c r="D39" s="2"/>
      <c r="E39" s="3"/>
      <c r="F39" s="1"/>
      <c r="G39" s="1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1" t="s">
        <v>31</v>
      </c>
      <c r="C40" s="1"/>
      <c r="D40" s="2"/>
      <c r="E40" s="3"/>
      <c r="F40" s="1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0" t="s">
        <v>32</v>
      </c>
      <c r="C41" s="1"/>
      <c r="D41" s="2"/>
      <c r="E41" s="1"/>
      <c r="F41" s="12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0" t="s">
        <v>33</v>
      </c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34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9.25"/>
    <col customWidth="1" min="5" max="5" width="20.25"/>
    <col customWidth="1" min="6" max="6" width="12.38"/>
    <col customWidth="1" min="7" max="7" width="63.25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5.25" customHeight="1">
      <c r="A3" s="13"/>
      <c r="B3" s="14" t="s">
        <v>35</v>
      </c>
      <c r="C3" s="14" t="s">
        <v>36</v>
      </c>
      <c r="D3" s="14" t="s">
        <v>37</v>
      </c>
      <c r="E3" s="14" t="s">
        <v>38</v>
      </c>
      <c r="F3" s="14" t="s">
        <v>39</v>
      </c>
      <c r="G3" s="15" t="s">
        <v>40</v>
      </c>
      <c r="H3" s="16"/>
      <c r="I3" s="16"/>
      <c r="J3" s="16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3"/>
      <c r="B4" s="17"/>
      <c r="C4" s="18"/>
      <c r="D4" s="18"/>
      <c r="E4" s="18"/>
      <c r="F4" s="19" t="s">
        <v>41</v>
      </c>
      <c r="G4" s="20" t="s">
        <v>42</v>
      </c>
      <c r="H4" s="21" t="s">
        <v>43</v>
      </c>
      <c r="I4" s="21" t="s">
        <v>44</v>
      </c>
      <c r="J4" s="21" t="s">
        <v>45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3"/>
      <c r="B5" s="22"/>
      <c r="C5" s="18"/>
      <c r="D5" s="22"/>
      <c r="E5" s="22"/>
      <c r="F5" s="23">
        <v>1.0</v>
      </c>
      <c r="G5" s="24" t="s">
        <v>46</v>
      </c>
      <c r="H5" s="25"/>
      <c r="I5" s="25"/>
      <c r="J5" s="2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26"/>
      <c r="C6" s="26"/>
      <c r="D6" s="26"/>
      <c r="E6" s="26"/>
      <c r="F6" s="27"/>
      <c r="G6" s="28" t="s">
        <v>47</v>
      </c>
      <c r="H6" s="29"/>
      <c r="I6" s="29"/>
      <c r="J6" s="29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3"/>
      <c r="B7" s="26"/>
      <c r="C7" s="26"/>
      <c r="D7" s="26"/>
      <c r="E7" s="27" t="s">
        <v>48</v>
      </c>
      <c r="F7" s="27" t="s">
        <v>49</v>
      </c>
      <c r="G7" s="27" t="s">
        <v>50</v>
      </c>
      <c r="H7" s="26"/>
      <c r="I7" s="26"/>
      <c r="J7" s="26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/>
      <c r="B8" s="26"/>
      <c r="C8" s="26"/>
      <c r="D8" s="26"/>
      <c r="E8" s="26"/>
      <c r="F8" s="27"/>
      <c r="G8" s="27" t="s">
        <v>51</v>
      </c>
      <c r="H8" s="30"/>
      <c r="I8" s="31"/>
      <c r="J8" s="3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/>
      <c r="B9" s="26"/>
      <c r="C9" s="26"/>
      <c r="D9" s="26"/>
      <c r="E9" s="27" t="s">
        <v>52</v>
      </c>
      <c r="F9" s="27" t="s">
        <v>53</v>
      </c>
      <c r="G9" s="32" t="s">
        <v>54</v>
      </c>
      <c r="H9" s="27"/>
      <c r="I9" s="31"/>
      <c r="J9" s="31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/>
      <c r="B10" s="26"/>
      <c r="C10" s="26"/>
      <c r="D10" s="26"/>
      <c r="E10" s="26"/>
      <c r="F10" s="27" t="s">
        <v>55</v>
      </c>
      <c r="G10" s="33" t="s">
        <v>56</v>
      </c>
      <c r="H10" s="26"/>
      <c r="I10" s="26"/>
      <c r="J10" s="26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22"/>
      <c r="C11" s="18"/>
      <c r="D11" s="22"/>
      <c r="E11" s="22"/>
      <c r="F11" s="23">
        <v>2.0</v>
      </c>
      <c r="G11" s="24" t="s">
        <v>57</v>
      </c>
      <c r="H11" s="25"/>
      <c r="I11" s="25"/>
      <c r="J11" s="25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26"/>
      <c r="C12" s="26"/>
      <c r="D12" s="26"/>
      <c r="E12" s="26"/>
      <c r="F12" s="27"/>
      <c r="G12" s="28" t="s">
        <v>58</v>
      </c>
      <c r="H12" s="29"/>
      <c r="I12" s="29"/>
      <c r="J12" s="2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22"/>
      <c r="C13" s="18"/>
      <c r="D13" s="22"/>
      <c r="E13" s="22"/>
      <c r="F13" s="23">
        <v>3.0</v>
      </c>
      <c r="G13" s="24" t="s">
        <v>59</v>
      </c>
      <c r="H13" s="25"/>
      <c r="I13" s="25"/>
      <c r="J13" s="25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26"/>
      <c r="C14" s="26"/>
      <c r="D14" s="26"/>
      <c r="E14" s="26"/>
      <c r="F14" s="27"/>
      <c r="G14" s="28" t="s">
        <v>60</v>
      </c>
      <c r="H14" s="29"/>
      <c r="I14" s="29"/>
      <c r="J14" s="29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22"/>
      <c r="C15" s="18"/>
      <c r="D15" s="22"/>
      <c r="E15" s="22"/>
      <c r="F15" s="23">
        <v>4.0</v>
      </c>
      <c r="G15" s="24" t="s">
        <v>61</v>
      </c>
      <c r="H15" s="25"/>
      <c r="I15" s="25"/>
      <c r="J15" s="25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34"/>
      <c r="C16" s="34"/>
      <c r="D16" s="34"/>
      <c r="E16" s="34"/>
      <c r="F16" s="35"/>
      <c r="G16" s="27" t="s">
        <v>62</v>
      </c>
      <c r="H16" s="34"/>
      <c r="I16" s="36"/>
      <c r="J16" s="36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34"/>
      <c r="C17" s="34"/>
      <c r="D17" s="34"/>
      <c r="E17" s="34"/>
      <c r="F17" s="37" t="s">
        <v>63</v>
      </c>
      <c r="G17" s="32" t="s">
        <v>64</v>
      </c>
      <c r="H17" s="37">
        <v>1.0</v>
      </c>
      <c r="I17" s="38">
        <v>1.0</v>
      </c>
      <c r="J17" s="36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34"/>
      <c r="C18" s="34"/>
      <c r="D18" s="34"/>
      <c r="E18" s="37" t="s">
        <v>65</v>
      </c>
      <c r="F18" s="39"/>
      <c r="G18" s="40" t="s">
        <v>66</v>
      </c>
      <c r="H18" s="34"/>
      <c r="I18" s="36"/>
      <c r="J18" s="36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34"/>
      <c r="C19" s="34"/>
      <c r="D19" s="34"/>
      <c r="E19" s="37" t="s">
        <v>65</v>
      </c>
      <c r="F19" s="35"/>
      <c r="G19" s="41" t="s">
        <v>67</v>
      </c>
      <c r="H19" s="34"/>
      <c r="I19" s="36"/>
      <c r="J19" s="36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34"/>
      <c r="C20" s="34"/>
      <c r="D20" s="34"/>
      <c r="E20" s="37" t="s">
        <v>65</v>
      </c>
      <c r="F20" s="35"/>
      <c r="G20" s="40" t="s">
        <v>68</v>
      </c>
      <c r="H20" s="34"/>
      <c r="I20" s="36"/>
      <c r="J20" s="36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34"/>
      <c r="C21" s="34"/>
      <c r="D21" s="34"/>
      <c r="E21" s="37" t="s">
        <v>65</v>
      </c>
      <c r="F21" s="35"/>
      <c r="G21" s="41" t="s">
        <v>69</v>
      </c>
      <c r="H21" s="34"/>
      <c r="I21" s="36"/>
      <c r="J21" s="36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34"/>
      <c r="C22" s="34"/>
      <c r="D22" s="34"/>
      <c r="E22" s="37" t="s">
        <v>65</v>
      </c>
      <c r="F22" s="35"/>
      <c r="G22" s="41" t="s">
        <v>70</v>
      </c>
      <c r="H22" s="34"/>
      <c r="I22" s="36"/>
      <c r="J22" s="36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34"/>
      <c r="C23" s="34"/>
      <c r="D23" s="34"/>
      <c r="E23" s="37" t="s">
        <v>65</v>
      </c>
      <c r="F23" s="35"/>
      <c r="G23" s="40" t="s">
        <v>71</v>
      </c>
      <c r="H23" s="34"/>
      <c r="I23" s="36"/>
      <c r="J23" s="36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34"/>
      <c r="C24" s="34"/>
      <c r="D24" s="34"/>
      <c r="E24" s="37" t="s">
        <v>65</v>
      </c>
      <c r="F24" s="35"/>
      <c r="G24" s="41" t="s">
        <v>72</v>
      </c>
      <c r="H24" s="34"/>
      <c r="I24" s="36"/>
      <c r="J24" s="36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34"/>
      <c r="C25" s="34"/>
      <c r="D25" s="34"/>
      <c r="E25" s="37" t="s">
        <v>65</v>
      </c>
      <c r="F25" s="35"/>
      <c r="G25" s="41" t="s">
        <v>73</v>
      </c>
      <c r="H25" s="34"/>
      <c r="I25" s="36"/>
      <c r="J25" s="36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34"/>
      <c r="C26" s="34"/>
      <c r="D26" s="34"/>
      <c r="E26" s="37"/>
      <c r="F26" s="35"/>
      <c r="G26" s="27" t="s">
        <v>74</v>
      </c>
      <c r="H26" s="34"/>
      <c r="I26" s="36"/>
      <c r="J26" s="36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34"/>
      <c r="C27" s="34"/>
      <c r="D27" s="34"/>
      <c r="E27" s="37" t="s">
        <v>65</v>
      </c>
      <c r="F27" s="35"/>
      <c r="G27" s="40" t="s">
        <v>75</v>
      </c>
      <c r="H27" s="34"/>
      <c r="I27" s="36"/>
      <c r="J27" s="36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34"/>
      <c r="C28" s="34"/>
      <c r="D28" s="34"/>
      <c r="E28" s="37" t="s">
        <v>65</v>
      </c>
      <c r="F28" s="35"/>
      <c r="G28" s="41" t="s">
        <v>76</v>
      </c>
      <c r="H28" s="34"/>
      <c r="I28" s="36"/>
      <c r="J28" s="36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34"/>
      <c r="C29" s="34"/>
      <c r="D29" s="34"/>
      <c r="E29" s="37" t="s">
        <v>65</v>
      </c>
      <c r="F29" s="35"/>
      <c r="G29" s="41" t="s">
        <v>77</v>
      </c>
      <c r="H29" s="34"/>
      <c r="I29" s="36"/>
      <c r="J29" s="36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34"/>
      <c r="C30" s="34"/>
      <c r="D30" s="34"/>
      <c r="E30" s="37" t="s">
        <v>65</v>
      </c>
      <c r="F30" s="37" t="s">
        <v>78</v>
      </c>
      <c r="G30" s="32" t="s">
        <v>79</v>
      </c>
      <c r="H30" s="34"/>
      <c r="I30" s="37">
        <v>1.0</v>
      </c>
      <c r="J30" s="36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34"/>
      <c r="C31" s="34"/>
      <c r="D31" s="34"/>
      <c r="E31" s="42" t="s">
        <v>80</v>
      </c>
      <c r="F31" s="39"/>
      <c r="G31" s="41" t="s">
        <v>81</v>
      </c>
      <c r="H31" s="34"/>
      <c r="I31" s="36"/>
      <c r="J31" s="36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34"/>
      <c r="C32" s="34"/>
      <c r="D32" s="34"/>
      <c r="E32" s="42" t="s">
        <v>80</v>
      </c>
      <c r="F32" s="35"/>
      <c r="G32" s="40" t="s">
        <v>82</v>
      </c>
      <c r="H32" s="34"/>
      <c r="I32" s="36"/>
      <c r="J32" s="36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21.0" customHeight="1">
      <c r="A33" s="13"/>
      <c r="B33" s="34"/>
      <c r="C33" s="34"/>
      <c r="D33" s="34"/>
      <c r="E33" s="37" t="s">
        <v>83</v>
      </c>
      <c r="F33" s="37" t="s">
        <v>84</v>
      </c>
      <c r="G33" s="40" t="s">
        <v>85</v>
      </c>
      <c r="H33" s="34"/>
      <c r="I33" s="36"/>
      <c r="J33" s="36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34"/>
      <c r="C34" s="34"/>
      <c r="D34" s="34"/>
      <c r="E34" s="34"/>
      <c r="F34" s="35"/>
      <c r="G34" s="27" t="s">
        <v>86</v>
      </c>
      <c r="H34" s="34"/>
      <c r="I34" s="36"/>
      <c r="J34" s="36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34"/>
      <c r="C35" s="34"/>
      <c r="D35" s="34"/>
      <c r="E35" s="34"/>
      <c r="F35" s="35"/>
      <c r="G35" s="32" t="s">
        <v>87</v>
      </c>
      <c r="H35" s="34"/>
      <c r="I35" s="37">
        <v>1.0</v>
      </c>
      <c r="J35" s="36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22"/>
      <c r="C36" s="18"/>
      <c r="D36" s="22"/>
      <c r="E36" s="18"/>
      <c r="F36" s="23">
        <v>5.0</v>
      </c>
      <c r="G36" s="24" t="s">
        <v>88</v>
      </c>
      <c r="H36" s="25"/>
      <c r="I36" s="25"/>
      <c r="J36" s="25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34"/>
      <c r="C37" s="34"/>
      <c r="D37" s="34"/>
      <c r="E37" s="34"/>
      <c r="F37" s="35"/>
      <c r="G37" s="27" t="s">
        <v>89</v>
      </c>
      <c r="H37" s="34"/>
      <c r="I37" s="36"/>
      <c r="J37" s="36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34"/>
      <c r="C38" s="34"/>
      <c r="D38" s="34"/>
      <c r="E38" s="34"/>
      <c r="F38" s="35"/>
      <c r="G38" s="32" t="s">
        <v>64</v>
      </c>
      <c r="H38" s="37">
        <v>0.5</v>
      </c>
      <c r="I38" s="37">
        <v>1.0</v>
      </c>
      <c r="J38" s="36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34"/>
      <c r="C39" s="34"/>
      <c r="D39" s="34"/>
      <c r="E39" s="34"/>
      <c r="F39" s="35"/>
      <c r="G39" s="41" t="s">
        <v>90</v>
      </c>
      <c r="H39" s="34"/>
      <c r="I39" s="36"/>
      <c r="J39" s="36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34"/>
      <c r="C40" s="34"/>
      <c r="D40" s="34"/>
      <c r="E40" s="34"/>
      <c r="F40" s="35"/>
      <c r="G40" s="41" t="s">
        <v>91</v>
      </c>
      <c r="H40" s="34"/>
      <c r="I40" s="36"/>
      <c r="J40" s="36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34"/>
      <c r="C41" s="34"/>
      <c r="D41" s="34"/>
      <c r="E41" s="37"/>
      <c r="F41" s="35"/>
      <c r="G41" s="32" t="s">
        <v>87</v>
      </c>
      <c r="H41" s="34"/>
      <c r="I41" s="37">
        <v>1.0</v>
      </c>
      <c r="J41" s="36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34"/>
      <c r="C42" s="34"/>
      <c r="D42" s="34"/>
      <c r="E42" s="37"/>
      <c r="F42" s="35"/>
      <c r="G42" s="27" t="s">
        <v>92</v>
      </c>
      <c r="H42" s="34"/>
      <c r="I42" s="36"/>
      <c r="J42" s="36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8"/>
      <c r="C43" s="18"/>
      <c r="D43" s="18"/>
      <c r="E43" s="18"/>
      <c r="F43" s="23">
        <v>6.0</v>
      </c>
      <c r="G43" s="23" t="s">
        <v>93</v>
      </c>
      <c r="H43" s="18"/>
      <c r="I43" s="25"/>
      <c r="J43" s="25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34"/>
      <c r="C44" s="34"/>
      <c r="D44" s="34"/>
      <c r="E44" s="34"/>
      <c r="F44" s="39"/>
      <c r="G44" s="37" t="s">
        <v>94</v>
      </c>
      <c r="H44" s="34"/>
      <c r="I44" s="36"/>
      <c r="J44" s="36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8"/>
      <c r="C45" s="18"/>
      <c r="D45" s="18"/>
      <c r="E45" s="18"/>
      <c r="F45" s="23">
        <v>7.0</v>
      </c>
      <c r="G45" s="23" t="s">
        <v>95</v>
      </c>
      <c r="H45" s="18"/>
      <c r="I45" s="25"/>
      <c r="J45" s="25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0.0" customHeight="1">
      <c r="A46" s="13"/>
      <c r="B46" s="34"/>
      <c r="C46" s="34"/>
      <c r="D46" s="34"/>
      <c r="E46" s="34"/>
      <c r="F46" s="39"/>
      <c r="G46" s="37" t="s">
        <v>96</v>
      </c>
      <c r="H46" s="34"/>
      <c r="I46" s="36"/>
      <c r="J46" s="36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0.0" customHeight="1">
      <c r="A47" s="13"/>
      <c r="B47" s="34"/>
      <c r="C47" s="34"/>
      <c r="D47" s="34"/>
      <c r="E47" s="34"/>
      <c r="F47" s="39"/>
      <c r="G47" s="32" t="s">
        <v>64</v>
      </c>
      <c r="H47" s="37">
        <v>0.25</v>
      </c>
      <c r="I47" s="37">
        <v>1.0</v>
      </c>
      <c r="J47" s="36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0.0" customHeight="1">
      <c r="A48" s="13"/>
      <c r="B48" s="34"/>
      <c r="C48" s="34"/>
      <c r="D48" s="37" t="s">
        <v>97</v>
      </c>
      <c r="E48" s="37" t="s">
        <v>98</v>
      </c>
      <c r="F48" s="37" t="s">
        <v>99</v>
      </c>
      <c r="G48" s="41" t="s">
        <v>100</v>
      </c>
      <c r="H48" s="34"/>
      <c r="I48" s="36"/>
      <c r="J48" s="36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0.0" customHeight="1">
      <c r="A49" s="13"/>
      <c r="B49" s="34"/>
      <c r="C49" s="34"/>
      <c r="D49" s="34"/>
      <c r="E49" s="34"/>
      <c r="F49" s="39"/>
      <c r="G49" s="32" t="s">
        <v>64</v>
      </c>
      <c r="H49" s="34"/>
      <c r="I49" s="37">
        <v>1.0</v>
      </c>
      <c r="J49" s="36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8"/>
      <c r="C50" s="18"/>
      <c r="D50" s="18"/>
      <c r="E50" s="18"/>
      <c r="F50" s="23">
        <v>8.0</v>
      </c>
      <c r="G50" s="23" t="s">
        <v>101</v>
      </c>
      <c r="H50" s="18"/>
      <c r="I50" s="25"/>
      <c r="J50" s="25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34"/>
      <c r="C51" s="34"/>
      <c r="D51" s="34"/>
      <c r="E51" s="34"/>
      <c r="F51" s="39"/>
      <c r="G51" s="37" t="s">
        <v>102</v>
      </c>
      <c r="H51" s="34"/>
      <c r="I51" s="34"/>
      <c r="J51" s="34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26"/>
      <c r="C52" s="26"/>
      <c r="D52" s="26"/>
      <c r="E52" s="26"/>
      <c r="F52" s="27" t="s">
        <v>103</v>
      </c>
      <c r="G52" s="37" t="s">
        <v>104</v>
      </c>
      <c r="H52" s="26"/>
      <c r="I52" s="26"/>
      <c r="J52" s="26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26"/>
      <c r="C53" s="26"/>
      <c r="D53" s="26"/>
      <c r="E53" s="26"/>
      <c r="F53" s="27" t="s">
        <v>105</v>
      </c>
      <c r="G53" s="32" t="s">
        <v>106</v>
      </c>
      <c r="H53" s="26"/>
      <c r="I53" s="26"/>
      <c r="J53" s="26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26"/>
      <c r="C54" s="26"/>
      <c r="D54" s="26"/>
      <c r="E54" s="26"/>
      <c r="F54" s="27" t="s">
        <v>107</v>
      </c>
      <c r="G54" s="37" t="s">
        <v>108</v>
      </c>
      <c r="H54" s="26"/>
      <c r="I54" s="26"/>
      <c r="J54" s="26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>
        <f t="shared" ref="H55:J55" si="1">SUM(H5:H54)</f>
        <v>1.75</v>
      </c>
      <c r="I55" s="13">
        <f t="shared" si="1"/>
        <v>7</v>
      </c>
      <c r="J55" s="13">
        <f t="shared" si="1"/>
        <v>0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43" t="s">
        <v>109</v>
      </c>
      <c r="H56" s="43">
        <v>0.75</v>
      </c>
      <c r="I56" s="43">
        <v>4.0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44" t="s">
        <v>110</v>
      </c>
      <c r="H57" s="44">
        <f t="shared" ref="H57:I57" si="2">H55-H56</f>
        <v>1</v>
      </c>
      <c r="I57" s="45">
        <f t="shared" si="2"/>
        <v>3</v>
      </c>
      <c r="J57" s="45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46" t="s">
        <v>111</v>
      </c>
      <c r="H58" s="46">
        <v>1.5</v>
      </c>
      <c r="I58" s="46">
        <v>4.0</v>
      </c>
      <c r="J58" s="47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88"/>
    <col customWidth="1" min="4" max="4" width="12.88"/>
    <col customWidth="1" min="5" max="5" width="56.13"/>
    <col customWidth="1" min="10" max="10" width="4.13"/>
    <col customWidth="1" min="14" max="14" width="0.88"/>
    <col customWidth="1" min="15" max="15" width="12.63"/>
  </cols>
  <sheetData>
    <row r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>
      <c r="A2" s="48"/>
      <c r="B2" s="48"/>
      <c r="C2" s="48"/>
      <c r="D2" s="48"/>
      <c r="E2" s="48"/>
      <c r="F2" s="48"/>
      <c r="G2" s="48"/>
      <c r="H2" s="48"/>
      <c r="I2" s="48"/>
      <c r="J2" s="48"/>
      <c r="K2" s="50" t="s">
        <v>112</v>
      </c>
      <c r="L2" s="51"/>
      <c r="M2" s="49"/>
      <c r="N2" s="48"/>
      <c r="O2" s="52" t="s">
        <v>113</v>
      </c>
      <c r="P2" s="48"/>
      <c r="Q2" s="48"/>
      <c r="R2" s="48"/>
      <c r="S2" s="53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>
      <c r="A3" s="48"/>
      <c r="B3" s="54" t="s">
        <v>114</v>
      </c>
      <c r="C3" s="54" t="s">
        <v>115</v>
      </c>
      <c r="D3" s="54" t="s">
        <v>116</v>
      </c>
      <c r="E3" s="54" t="s">
        <v>117</v>
      </c>
      <c r="F3" s="54" t="s">
        <v>38</v>
      </c>
      <c r="G3" s="54" t="s">
        <v>118</v>
      </c>
      <c r="H3" s="55" t="s">
        <v>119</v>
      </c>
      <c r="I3" s="55" t="s">
        <v>120</v>
      </c>
      <c r="J3" s="56"/>
      <c r="K3" s="57" t="s">
        <v>121</v>
      </c>
      <c r="L3" s="54" t="s">
        <v>122</v>
      </c>
      <c r="M3" s="54" t="s">
        <v>123</v>
      </c>
      <c r="N3" s="48"/>
      <c r="O3" s="58" t="s">
        <v>124</v>
      </c>
      <c r="P3" s="59"/>
      <c r="Q3" s="59"/>
      <c r="R3" s="60"/>
      <c r="S3" s="61"/>
      <c r="T3" s="60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>
      <c r="A4" s="48"/>
      <c r="B4" s="62"/>
      <c r="C4" s="62"/>
      <c r="D4" s="62"/>
      <c r="E4" s="62"/>
      <c r="F4" s="62"/>
      <c r="G4" s="62"/>
      <c r="H4" s="62"/>
      <c r="I4" s="62"/>
      <c r="J4" s="48"/>
      <c r="K4" s="63"/>
      <c r="L4" s="63"/>
      <c r="M4" s="63"/>
      <c r="N4" s="56"/>
      <c r="O4" s="64" t="s">
        <v>125</v>
      </c>
      <c r="P4" s="65" t="s">
        <v>126</v>
      </c>
      <c r="Q4" s="65" t="s">
        <v>127</v>
      </c>
      <c r="R4" s="65" t="s">
        <v>128</v>
      </c>
      <c r="S4" s="65" t="s">
        <v>129</v>
      </c>
      <c r="T4" s="65" t="s">
        <v>130</v>
      </c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ht="35.25" customHeight="1">
      <c r="A5" s="13"/>
      <c r="B5" s="66" t="s">
        <v>131</v>
      </c>
      <c r="C5" s="66" t="s">
        <v>132</v>
      </c>
      <c r="D5" s="67" t="s">
        <v>133</v>
      </c>
      <c r="E5" s="68" t="s">
        <v>134</v>
      </c>
      <c r="F5" s="68" t="s">
        <v>135</v>
      </c>
      <c r="G5" s="68">
        <v>1.0</v>
      </c>
      <c r="H5" s="68">
        <v>61.0</v>
      </c>
      <c r="I5" s="68">
        <v>61.0</v>
      </c>
      <c r="J5" s="69"/>
      <c r="K5" s="70">
        <v>180000.0</v>
      </c>
      <c r="L5" s="70">
        <f>K5*4%</f>
        <v>7200</v>
      </c>
      <c r="M5" s="70">
        <f>K5-L5</f>
        <v>172800</v>
      </c>
      <c r="N5" s="69"/>
      <c r="O5" s="71" t="s">
        <v>136</v>
      </c>
      <c r="P5" s="72">
        <v>46189.0</v>
      </c>
      <c r="Q5" s="73">
        <v>172800.0</v>
      </c>
      <c r="R5" s="74" t="s">
        <v>137</v>
      </c>
      <c r="S5" s="74" t="s">
        <v>138</v>
      </c>
      <c r="T5" s="69"/>
      <c r="U5" s="69"/>
      <c r="V5" s="69"/>
      <c r="W5" s="69"/>
      <c r="X5" s="69"/>
      <c r="Y5" s="13"/>
      <c r="Z5" s="13"/>
      <c r="AA5" s="13"/>
      <c r="AB5" s="13"/>
      <c r="AC5" s="13"/>
      <c r="AD5" s="13"/>
    </row>
    <row r="6" ht="30.75" customHeight="1">
      <c r="A6" s="48"/>
      <c r="B6" s="75"/>
      <c r="C6" s="75"/>
      <c r="D6" s="37"/>
      <c r="E6" s="76" t="s">
        <v>139</v>
      </c>
      <c r="F6" s="76"/>
      <c r="G6" s="77" t="s">
        <v>140</v>
      </c>
      <c r="H6" s="78" t="s">
        <v>141</v>
      </c>
      <c r="I6" s="77" t="s">
        <v>142</v>
      </c>
      <c r="J6" s="48"/>
      <c r="K6" s="79"/>
      <c r="L6" s="79"/>
      <c r="M6" s="79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>
      <c r="A7" s="48"/>
      <c r="B7" s="75"/>
      <c r="C7" s="75"/>
      <c r="D7" s="75"/>
      <c r="E7" s="80" t="s">
        <v>143</v>
      </c>
      <c r="F7" s="76"/>
      <c r="G7" s="68"/>
      <c r="H7" s="68"/>
      <c r="I7" s="68"/>
      <c r="J7" s="48"/>
      <c r="K7" s="79"/>
      <c r="L7" s="79"/>
      <c r="M7" s="79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>
      <c r="A8" s="48"/>
      <c r="B8" s="75"/>
      <c r="C8" s="75"/>
      <c r="D8" s="37"/>
      <c r="E8" s="81" t="s">
        <v>144</v>
      </c>
      <c r="F8" s="76"/>
      <c r="G8" s="82" t="s">
        <v>145</v>
      </c>
      <c r="H8" s="82" t="s">
        <v>146</v>
      </c>
      <c r="I8" s="82" t="s">
        <v>146</v>
      </c>
      <c r="J8" s="48"/>
      <c r="K8" s="79"/>
      <c r="L8" s="79"/>
      <c r="M8" s="79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>
      <c r="A9" s="48"/>
      <c r="B9" s="75"/>
      <c r="C9" s="75"/>
      <c r="D9" s="37"/>
      <c r="E9" s="81" t="s">
        <v>147</v>
      </c>
      <c r="F9" s="76"/>
      <c r="G9" s="82" t="s">
        <v>145</v>
      </c>
      <c r="H9" s="82" t="s">
        <v>148</v>
      </c>
      <c r="I9" s="82" t="s">
        <v>148</v>
      </c>
      <c r="J9" s="48"/>
      <c r="K9" s="79"/>
      <c r="L9" s="79"/>
      <c r="M9" s="79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>
      <c r="A10" s="48"/>
      <c r="B10" s="75"/>
      <c r="C10" s="75"/>
      <c r="D10" s="37"/>
      <c r="E10" s="83" t="s">
        <v>149</v>
      </c>
      <c r="F10" s="76"/>
      <c r="G10" s="82" t="s">
        <v>150</v>
      </c>
      <c r="H10" s="82" t="s">
        <v>151</v>
      </c>
      <c r="I10" s="82" t="s">
        <v>152</v>
      </c>
      <c r="J10" s="48"/>
      <c r="K10" s="79"/>
      <c r="L10" s="79"/>
      <c r="M10" s="79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>
      <c r="A11" s="48"/>
      <c r="B11" s="75"/>
      <c r="C11" s="75"/>
      <c r="D11" s="37"/>
      <c r="E11" s="84" t="s">
        <v>153</v>
      </c>
      <c r="F11" s="80"/>
      <c r="G11" s="85"/>
      <c r="H11" s="85"/>
      <c r="I11" s="85"/>
      <c r="J11" s="48"/>
      <c r="K11" s="79"/>
      <c r="L11" s="79"/>
      <c r="M11" s="79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>
      <c r="A12" s="48"/>
      <c r="B12" s="75"/>
      <c r="C12" s="75"/>
      <c r="D12" s="37"/>
      <c r="E12" s="80" t="s">
        <v>154</v>
      </c>
      <c r="F12" s="80"/>
      <c r="G12" s="85"/>
      <c r="H12" s="85"/>
      <c r="I12" s="85"/>
      <c r="J12" s="48"/>
      <c r="K12" s="79"/>
      <c r="L12" s="79"/>
      <c r="M12" s="79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>
      <c r="A13" s="48"/>
      <c r="B13" s="75"/>
      <c r="C13" s="75"/>
      <c r="D13" s="37"/>
      <c r="E13" s="80" t="s">
        <v>155</v>
      </c>
      <c r="F13" s="80"/>
      <c r="G13" s="85"/>
      <c r="H13" s="85"/>
      <c r="I13" s="85"/>
      <c r="J13" s="48"/>
      <c r="K13" s="79"/>
      <c r="L13" s="79"/>
      <c r="M13" s="79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>
      <c r="A14" s="48"/>
      <c r="B14" s="75"/>
      <c r="C14" s="75"/>
      <c r="D14" s="37"/>
      <c r="E14" s="82" t="s">
        <v>156</v>
      </c>
      <c r="F14" s="82"/>
      <c r="G14" s="77" t="s">
        <v>145</v>
      </c>
      <c r="H14" s="78" t="s">
        <v>157</v>
      </c>
      <c r="I14" s="77" t="s">
        <v>157</v>
      </c>
      <c r="J14" s="48"/>
      <c r="K14" s="79"/>
      <c r="L14" s="79"/>
      <c r="M14" s="79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>
      <c r="A15" s="48"/>
      <c r="B15" s="86"/>
      <c r="C15" s="86"/>
      <c r="D15" s="86"/>
      <c r="E15" s="86" t="s">
        <v>158</v>
      </c>
      <c r="F15" s="86"/>
      <c r="G15" s="86"/>
      <c r="H15" s="86"/>
      <c r="I15" s="86"/>
      <c r="J15" s="48"/>
      <c r="K15" s="79"/>
      <c r="L15" s="79"/>
      <c r="M15" s="79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>
      <c r="A16" s="48"/>
      <c r="B16" s="75"/>
      <c r="C16" s="75"/>
      <c r="D16" s="37"/>
      <c r="E16" s="80" t="s">
        <v>159</v>
      </c>
      <c r="F16" s="80"/>
      <c r="G16" s="80"/>
      <c r="H16" s="80"/>
      <c r="I16" s="80"/>
      <c r="J16" s="48"/>
      <c r="K16" s="79"/>
      <c r="L16" s="79"/>
      <c r="M16" s="79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>
      <c r="A17" s="48"/>
      <c r="B17" s="75"/>
      <c r="C17" s="75"/>
      <c r="D17" s="37"/>
      <c r="E17" s="80" t="s">
        <v>160</v>
      </c>
      <c r="F17" s="80"/>
      <c r="G17" s="80"/>
      <c r="H17" s="80"/>
      <c r="I17" s="80"/>
      <c r="J17" s="48"/>
      <c r="K17" s="79"/>
      <c r="L17" s="79"/>
      <c r="M17" s="79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>
      <c r="A18" s="48"/>
      <c r="B18" s="75"/>
      <c r="C18" s="75"/>
      <c r="D18" s="37"/>
      <c r="E18" s="80" t="s">
        <v>161</v>
      </c>
      <c r="F18" s="80"/>
      <c r="G18" s="80"/>
      <c r="H18" s="80"/>
      <c r="I18" s="80"/>
      <c r="J18" s="48"/>
      <c r="K18" s="79"/>
      <c r="L18" s="79"/>
      <c r="M18" s="79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>
      <c r="A19" s="48"/>
      <c r="B19" s="75"/>
      <c r="C19" s="75"/>
      <c r="D19" s="37"/>
      <c r="E19" s="80" t="s">
        <v>162</v>
      </c>
      <c r="F19" s="80"/>
      <c r="G19" s="80"/>
      <c r="H19" s="80"/>
      <c r="I19" s="80"/>
      <c r="J19" s="48"/>
      <c r="K19" s="79"/>
      <c r="L19" s="79"/>
      <c r="M19" s="79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>
      <c r="A20" s="48"/>
      <c r="B20" s="75"/>
      <c r="C20" s="75"/>
      <c r="D20" s="37"/>
      <c r="E20" s="80" t="s">
        <v>163</v>
      </c>
      <c r="F20" s="80"/>
      <c r="G20" s="80"/>
      <c r="H20" s="80"/>
      <c r="I20" s="80"/>
      <c r="J20" s="48"/>
      <c r="K20" s="79"/>
      <c r="L20" s="79"/>
      <c r="M20" s="79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>
      <c r="A21" s="48"/>
      <c r="B21" s="86"/>
      <c r="C21" s="86"/>
      <c r="D21" s="86"/>
      <c r="E21" s="86" t="s">
        <v>164</v>
      </c>
      <c r="F21" s="86"/>
      <c r="G21" s="86"/>
      <c r="H21" s="86"/>
      <c r="I21" s="86"/>
      <c r="J21" s="48"/>
      <c r="K21" s="79"/>
      <c r="L21" s="79"/>
      <c r="M21" s="79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>
      <c r="A22" s="48"/>
      <c r="B22" s="75"/>
      <c r="C22" s="75"/>
      <c r="D22" s="37"/>
      <c r="E22" s="80" t="s">
        <v>165</v>
      </c>
      <c r="F22" s="80"/>
      <c r="G22" s="80"/>
      <c r="H22" s="80"/>
      <c r="I22" s="80"/>
      <c r="J22" s="48" t="s">
        <v>166</v>
      </c>
      <c r="K22" s="79"/>
      <c r="L22" s="79"/>
      <c r="M22" s="79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>
      <c r="A23" s="48"/>
      <c r="B23" s="75"/>
      <c r="C23" s="75"/>
      <c r="D23" s="37"/>
      <c r="E23" s="80" t="s">
        <v>167</v>
      </c>
      <c r="F23" s="80"/>
      <c r="G23" s="80"/>
      <c r="H23" s="80"/>
      <c r="I23" s="80"/>
      <c r="J23" s="48"/>
      <c r="K23" s="79"/>
      <c r="L23" s="79"/>
      <c r="M23" s="79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>
      <c r="A24" s="48"/>
      <c r="B24" s="75"/>
      <c r="C24" s="75"/>
      <c r="D24" s="37"/>
      <c r="E24" s="82" t="s">
        <v>168</v>
      </c>
      <c r="F24" s="82"/>
      <c r="G24" s="77" t="s">
        <v>145</v>
      </c>
      <c r="H24" s="78" t="s">
        <v>169</v>
      </c>
      <c r="I24" s="77" t="s">
        <v>169</v>
      </c>
      <c r="J24" s="48"/>
      <c r="K24" s="79"/>
      <c r="L24" s="79"/>
      <c r="M24" s="79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>
      <c r="A25" s="48"/>
      <c r="B25" s="75"/>
      <c r="C25" s="75"/>
      <c r="D25" s="37"/>
      <c r="E25" s="82" t="s">
        <v>170</v>
      </c>
      <c r="F25" s="82"/>
      <c r="G25" s="77" t="s">
        <v>145</v>
      </c>
      <c r="H25" s="78" t="s">
        <v>171</v>
      </c>
      <c r="I25" s="77" t="s">
        <v>171</v>
      </c>
      <c r="J25" s="48"/>
      <c r="K25" s="79"/>
      <c r="L25" s="79"/>
      <c r="M25" s="79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>
      <c r="A26" s="48"/>
      <c r="B26" s="75"/>
      <c r="C26" s="75"/>
      <c r="D26" s="37"/>
      <c r="E26" s="82" t="s">
        <v>172</v>
      </c>
      <c r="F26" s="82"/>
      <c r="G26" s="77" t="s">
        <v>145</v>
      </c>
      <c r="H26" s="78" t="s">
        <v>173</v>
      </c>
      <c r="I26" s="77" t="s">
        <v>173</v>
      </c>
      <c r="J26" s="48"/>
      <c r="K26" s="79"/>
      <c r="L26" s="79"/>
      <c r="M26" s="79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>
      <c r="A27" s="48"/>
      <c r="B27" s="86"/>
      <c r="C27" s="86"/>
      <c r="D27" s="86"/>
      <c r="E27" s="86" t="s">
        <v>174</v>
      </c>
      <c r="F27" s="86"/>
      <c r="G27" s="86"/>
      <c r="H27" s="86"/>
      <c r="I27" s="86"/>
      <c r="J27" s="48"/>
      <c r="K27" s="79"/>
      <c r="L27" s="79"/>
      <c r="M27" s="79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>
      <c r="A28" s="48"/>
      <c r="B28" s="75"/>
      <c r="C28" s="75"/>
      <c r="D28" s="37"/>
      <c r="E28" s="80" t="s">
        <v>175</v>
      </c>
      <c r="F28" s="80"/>
      <c r="G28" s="80"/>
      <c r="H28" s="80"/>
      <c r="I28" s="80"/>
      <c r="J28" s="48"/>
      <c r="K28" s="79"/>
      <c r="L28" s="79"/>
      <c r="M28" s="79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>
      <c r="A29" s="48"/>
      <c r="B29" s="75"/>
      <c r="C29" s="75"/>
      <c r="D29" s="37"/>
      <c r="E29" s="80" t="s">
        <v>176</v>
      </c>
      <c r="F29" s="80"/>
      <c r="G29" s="80"/>
      <c r="H29" s="80"/>
      <c r="I29" s="80"/>
      <c r="J29" s="48"/>
      <c r="K29" s="79"/>
      <c r="L29" s="79"/>
      <c r="M29" s="79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>
      <c r="A30" s="48"/>
      <c r="B30" s="86"/>
      <c r="C30" s="86"/>
      <c r="D30" s="86"/>
      <c r="E30" s="86" t="s">
        <v>177</v>
      </c>
      <c r="F30" s="86"/>
      <c r="G30" s="86"/>
      <c r="H30" s="86"/>
      <c r="I30" s="86"/>
      <c r="J30" s="48"/>
      <c r="K30" s="79"/>
      <c r="L30" s="79"/>
      <c r="M30" s="79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>
      <c r="A31" s="48"/>
      <c r="B31" s="75"/>
      <c r="C31" s="75"/>
      <c r="D31" s="37"/>
      <c r="E31" s="80" t="s">
        <v>178</v>
      </c>
      <c r="F31" s="80"/>
      <c r="G31" s="80"/>
      <c r="H31" s="80"/>
      <c r="I31" s="80"/>
      <c r="J31" s="48"/>
      <c r="K31" s="79"/>
      <c r="L31" s="79"/>
      <c r="M31" s="79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>
      <c r="A32" s="48"/>
      <c r="B32" s="75"/>
      <c r="C32" s="75"/>
      <c r="D32" s="37"/>
      <c r="E32" s="80" t="s">
        <v>179</v>
      </c>
      <c r="F32" s="80"/>
      <c r="G32" s="80"/>
      <c r="H32" s="80"/>
      <c r="I32" s="80"/>
      <c r="J32" s="48"/>
      <c r="K32" s="79"/>
      <c r="L32" s="79"/>
      <c r="M32" s="79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>
      <c r="A33" s="48"/>
      <c r="B33" s="86"/>
      <c r="C33" s="86"/>
      <c r="D33" s="86"/>
      <c r="E33" s="86" t="s">
        <v>180</v>
      </c>
      <c r="F33" s="86"/>
      <c r="G33" s="86"/>
      <c r="H33" s="86"/>
      <c r="I33" s="86"/>
      <c r="J33" s="48"/>
      <c r="K33" s="79"/>
      <c r="L33" s="79"/>
      <c r="M33" s="79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>
      <c r="A34" s="48"/>
      <c r="B34" s="75"/>
      <c r="C34" s="75"/>
      <c r="D34" s="37"/>
      <c r="E34" s="80" t="s">
        <v>181</v>
      </c>
      <c r="F34" s="80"/>
      <c r="G34" s="80"/>
      <c r="H34" s="80"/>
      <c r="I34" s="80"/>
      <c r="J34" s="48"/>
      <c r="K34" s="79"/>
      <c r="L34" s="79"/>
      <c r="M34" s="79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>
      <c r="A35" s="48"/>
      <c r="B35" s="75"/>
      <c r="C35" s="75"/>
      <c r="D35" s="37"/>
      <c r="E35" s="80" t="s">
        <v>182</v>
      </c>
      <c r="F35" s="80"/>
      <c r="G35" s="80"/>
      <c r="H35" s="80"/>
      <c r="I35" s="80"/>
      <c r="J35" s="48"/>
      <c r="K35" s="79"/>
      <c r="L35" s="79"/>
      <c r="M35" s="79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>
      <c r="A36" s="48"/>
      <c r="B36" s="75"/>
      <c r="C36" s="75"/>
      <c r="D36" s="37"/>
      <c r="E36" s="80" t="s">
        <v>183</v>
      </c>
      <c r="F36" s="80"/>
      <c r="G36" s="80"/>
      <c r="H36" s="80"/>
      <c r="I36" s="80"/>
      <c r="J36" s="48"/>
      <c r="K36" s="79"/>
      <c r="L36" s="79"/>
      <c r="M36" s="7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>
      <c r="A37" s="48"/>
      <c r="B37" s="75"/>
      <c r="C37" s="75"/>
      <c r="D37" s="37"/>
      <c r="E37" s="80" t="s">
        <v>184</v>
      </c>
      <c r="F37" s="80"/>
      <c r="G37" s="80"/>
      <c r="H37" s="80"/>
      <c r="I37" s="80"/>
      <c r="J37" s="48"/>
      <c r="K37" s="79"/>
      <c r="L37" s="79"/>
      <c r="M37" s="7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ht="26.25" customHeight="1">
      <c r="A38" s="48"/>
      <c r="B38" s="75"/>
      <c r="C38" s="75"/>
      <c r="D38" s="37"/>
      <c r="E38" s="82" t="s">
        <v>185</v>
      </c>
      <c r="F38" s="82"/>
      <c r="G38" s="77" t="s">
        <v>145</v>
      </c>
      <c r="H38" s="78" t="s">
        <v>186</v>
      </c>
      <c r="I38" s="77" t="s">
        <v>186</v>
      </c>
      <c r="J38" s="48"/>
      <c r="K38" s="79"/>
      <c r="L38" s="79"/>
      <c r="M38" s="79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>
      <c r="A39" s="48"/>
      <c r="B39" s="75"/>
      <c r="C39" s="75"/>
      <c r="D39" s="37"/>
      <c r="E39" s="82" t="s">
        <v>187</v>
      </c>
      <c r="F39" s="82"/>
      <c r="G39" s="77" t="s">
        <v>145</v>
      </c>
      <c r="H39" s="78" t="s">
        <v>173</v>
      </c>
      <c r="I39" s="77" t="s">
        <v>173</v>
      </c>
      <c r="J39" s="48"/>
      <c r="K39" s="79"/>
      <c r="L39" s="79"/>
      <c r="M39" s="79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ht="15.75" customHeight="1">
      <c r="A40" s="48"/>
      <c r="B40" s="86"/>
      <c r="C40" s="86"/>
      <c r="D40" s="86"/>
      <c r="E40" s="86" t="s">
        <v>188</v>
      </c>
      <c r="F40" s="86"/>
      <c r="G40" s="86"/>
      <c r="H40" s="86"/>
      <c r="I40" s="86"/>
      <c r="J40" s="48"/>
      <c r="K40" s="79"/>
      <c r="L40" s="79"/>
      <c r="M40" s="79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>
      <c r="A41" s="48"/>
      <c r="B41" s="75"/>
      <c r="C41" s="75"/>
      <c r="D41" s="37"/>
      <c r="E41" s="82" t="s">
        <v>189</v>
      </c>
      <c r="F41" s="82"/>
      <c r="G41" s="77" t="s">
        <v>145</v>
      </c>
      <c r="H41" s="78" t="s">
        <v>190</v>
      </c>
      <c r="I41" s="77" t="s">
        <v>190</v>
      </c>
      <c r="J41" s="48"/>
      <c r="K41" s="79"/>
      <c r="L41" s="79"/>
      <c r="M41" s="79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>
      <c r="A42" s="48"/>
      <c r="B42" s="86"/>
      <c r="C42" s="86"/>
      <c r="D42" s="86"/>
      <c r="E42" s="86" t="s">
        <v>191</v>
      </c>
      <c r="F42" s="86"/>
      <c r="G42" s="86"/>
      <c r="H42" s="86"/>
      <c r="I42" s="86"/>
      <c r="J42" s="48"/>
      <c r="K42" s="79"/>
      <c r="L42" s="79"/>
      <c r="M42" s="79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>
      <c r="A43" s="48"/>
      <c r="B43" s="75"/>
      <c r="C43" s="75"/>
      <c r="D43" s="37"/>
      <c r="E43" s="82" t="s">
        <v>192</v>
      </c>
      <c r="F43" s="82"/>
      <c r="G43" s="77" t="s">
        <v>145</v>
      </c>
      <c r="H43" s="78" t="s">
        <v>193</v>
      </c>
      <c r="I43" s="77" t="s">
        <v>193</v>
      </c>
      <c r="J43" s="48"/>
      <c r="K43" s="79"/>
      <c r="L43" s="79"/>
      <c r="M43" s="79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>
      <c r="A44" s="48"/>
      <c r="B44" s="75"/>
      <c r="C44" s="75"/>
      <c r="D44" s="37"/>
      <c r="E44" s="82" t="s">
        <v>194</v>
      </c>
      <c r="F44" s="82"/>
      <c r="G44" s="77" t="s">
        <v>145</v>
      </c>
      <c r="H44" s="78" t="s">
        <v>195</v>
      </c>
      <c r="I44" s="77" t="s">
        <v>195</v>
      </c>
      <c r="J44" s="48"/>
      <c r="K44" s="79"/>
      <c r="L44" s="79"/>
      <c r="M44" s="79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>
      <c r="A45" s="48"/>
      <c r="B45" s="86"/>
      <c r="C45" s="86"/>
      <c r="D45" s="86"/>
      <c r="E45" s="86" t="s">
        <v>196</v>
      </c>
      <c r="F45" s="86"/>
      <c r="G45" s="86"/>
      <c r="H45" s="86"/>
      <c r="I45" s="86"/>
      <c r="J45" s="48"/>
      <c r="K45" s="79"/>
      <c r="L45" s="79"/>
      <c r="M45" s="79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>
      <c r="A46" s="48"/>
      <c r="B46" s="75"/>
      <c r="C46" s="75"/>
      <c r="D46" s="37"/>
      <c r="E46" s="82" t="s">
        <v>197</v>
      </c>
      <c r="F46" s="82"/>
      <c r="G46" s="77" t="s">
        <v>145</v>
      </c>
      <c r="H46" s="78" t="s">
        <v>198</v>
      </c>
      <c r="I46" s="77" t="s">
        <v>198</v>
      </c>
      <c r="J46" s="48"/>
      <c r="K46" s="79"/>
      <c r="L46" s="79"/>
      <c r="M46" s="79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>
      <c r="A47" s="48"/>
      <c r="B47" s="75"/>
      <c r="C47" s="75"/>
      <c r="D47" s="37"/>
      <c r="E47" s="82" t="s">
        <v>199</v>
      </c>
      <c r="F47" s="82"/>
      <c r="G47" s="77" t="s">
        <v>145</v>
      </c>
      <c r="H47" s="87" t="s">
        <v>200</v>
      </c>
      <c r="I47" s="87" t="s">
        <v>200</v>
      </c>
      <c r="J47" s="48"/>
      <c r="K47" s="79"/>
      <c r="L47" s="79"/>
      <c r="M47" s="79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>
      <c r="A48" s="48"/>
      <c r="B48" s="75"/>
      <c r="C48" s="75"/>
      <c r="D48" s="37"/>
      <c r="E48" s="80" t="s">
        <v>71</v>
      </c>
      <c r="F48" s="80"/>
      <c r="G48" s="80"/>
      <c r="H48" s="80"/>
      <c r="I48" s="80"/>
      <c r="J48" s="48"/>
      <c r="K48" s="79"/>
      <c r="L48" s="79"/>
      <c r="M48" s="79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>
      <c r="A49" s="48"/>
      <c r="B49" s="75"/>
      <c r="C49" s="75"/>
      <c r="D49" s="37"/>
      <c r="E49" s="82" t="s">
        <v>201</v>
      </c>
      <c r="F49" s="82"/>
      <c r="G49" s="77" t="s">
        <v>145</v>
      </c>
      <c r="H49" s="78" t="s">
        <v>202</v>
      </c>
      <c r="I49" s="77" t="s">
        <v>202</v>
      </c>
      <c r="J49" s="48"/>
      <c r="K49" s="79"/>
      <c r="L49" s="79"/>
      <c r="M49" s="79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ht="27.0" customHeight="1">
      <c r="A50" s="48"/>
      <c r="B50" s="75"/>
      <c r="C50" s="75"/>
      <c r="D50" s="37"/>
      <c r="E50" s="88" t="s">
        <v>203</v>
      </c>
      <c r="F50" s="82"/>
      <c r="G50" s="89" t="s">
        <v>145</v>
      </c>
      <c r="H50" s="89" t="s">
        <v>204</v>
      </c>
      <c r="I50" s="89" t="s">
        <v>204</v>
      </c>
      <c r="J50" s="48"/>
      <c r="K50" s="79"/>
      <c r="L50" s="79"/>
      <c r="M50" s="79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ht="14.25" customHeight="1">
      <c r="A51" s="48"/>
      <c r="B51" s="75"/>
      <c r="C51" s="75"/>
      <c r="D51" s="37"/>
      <c r="E51" s="80" t="s">
        <v>66</v>
      </c>
      <c r="F51" s="80"/>
      <c r="G51" s="80"/>
      <c r="H51" s="80"/>
      <c r="I51" s="80"/>
      <c r="J51" s="48"/>
      <c r="K51" s="79"/>
      <c r="L51" s="79"/>
      <c r="M51" s="79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ht="14.25" customHeight="1">
      <c r="A52" s="48"/>
      <c r="B52" s="75"/>
      <c r="C52" s="75"/>
      <c r="D52" s="37"/>
      <c r="E52" s="90" t="s">
        <v>67</v>
      </c>
      <c r="F52" s="80"/>
      <c r="G52" s="80"/>
      <c r="H52" s="80"/>
      <c r="I52" s="80"/>
      <c r="J52" s="48"/>
      <c r="K52" s="79"/>
      <c r="L52" s="79"/>
      <c r="M52" s="79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48"/>
      <c r="B53" s="75"/>
      <c r="C53" s="75"/>
      <c r="D53" s="37"/>
      <c r="E53" s="82" t="s">
        <v>68</v>
      </c>
      <c r="F53" s="82"/>
      <c r="G53" s="77" t="s">
        <v>145</v>
      </c>
      <c r="H53" s="78" t="s">
        <v>205</v>
      </c>
      <c r="I53" s="77" t="s">
        <v>205</v>
      </c>
      <c r="J53" s="48"/>
      <c r="K53" s="79"/>
      <c r="L53" s="79"/>
      <c r="M53" s="79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ht="18.0" customHeight="1">
      <c r="A54" s="48"/>
      <c r="B54" s="75"/>
      <c r="C54" s="75"/>
      <c r="D54" s="37"/>
      <c r="E54" s="80" t="s">
        <v>206</v>
      </c>
      <c r="F54" s="80"/>
      <c r="G54" s="80"/>
      <c r="H54" s="80"/>
      <c r="I54" s="80"/>
      <c r="J54" s="48"/>
      <c r="K54" s="79"/>
      <c r="L54" s="79"/>
      <c r="M54" s="79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ht="18.0" customHeight="1">
      <c r="A55" s="48"/>
      <c r="B55" s="75"/>
      <c r="C55" s="75"/>
      <c r="D55" s="37"/>
      <c r="E55" s="41" t="s">
        <v>76</v>
      </c>
      <c r="F55" s="80"/>
      <c r="G55" s="80"/>
      <c r="H55" s="80"/>
      <c r="I55" s="80"/>
      <c r="J55" s="48"/>
      <c r="K55" s="79"/>
      <c r="L55" s="79"/>
      <c r="M55" s="79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ht="18.0" customHeight="1">
      <c r="A56" s="48"/>
      <c r="B56" s="75"/>
      <c r="C56" s="75"/>
      <c r="D56" s="37"/>
      <c r="E56" s="41" t="s">
        <v>77</v>
      </c>
      <c r="F56" s="80"/>
      <c r="G56" s="80"/>
      <c r="H56" s="80"/>
      <c r="I56" s="80"/>
      <c r="J56" s="48"/>
      <c r="K56" s="79"/>
      <c r="L56" s="79"/>
      <c r="M56" s="79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>
      <c r="A57" s="48"/>
      <c r="B57" s="86"/>
      <c r="C57" s="86"/>
      <c r="D57" s="86"/>
      <c r="E57" s="86" t="s">
        <v>207</v>
      </c>
      <c r="F57" s="86"/>
      <c r="G57" s="86"/>
      <c r="H57" s="86"/>
      <c r="I57" s="86"/>
      <c r="J57" s="48"/>
      <c r="K57" s="79"/>
      <c r="L57" s="79"/>
      <c r="M57" s="79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ht="29.25" customHeight="1">
      <c r="A58" s="48"/>
      <c r="B58" s="75"/>
      <c r="C58" s="75"/>
      <c r="D58" s="37"/>
      <c r="E58" s="82" t="s">
        <v>85</v>
      </c>
      <c r="F58" s="82"/>
      <c r="G58" s="77" t="s">
        <v>145</v>
      </c>
      <c r="H58" s="91" t="s">
        <v>208</v>
      </c>
      <c r="I58" s="91" t="s">
        <v>208</v>
      </c>
      <c r="J58" s="48"/>
      <c r="K58" s="79"/>
      <c r="L58" s="79"/>
      <c r="M58" s="79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ht="29.25" customHeight="1">
      <c r="A59" s="48"/>
      <c r="B59" s="75"/>
      <c r="C59" s="75"/>
      <c r="D59" s="37"/>
      <c r="E59" s="41" t="s">
        <v>100</v>
      </c>
      <c r="F59" s="80"/>
      <c r="G59" s="80"/>
      <c r="H59" s="80"/>
      <c r="I59" s="80"/>
      <c r="J59" s="48"/>
      <c r="K59" s="79"/>
      <c r="L59" s="79"/>
      <c r="M59" s="79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>
      <c r="A60" s="48"/>
      <c r="B60" s="75"/>
      <c r="C60" s="75"/>
      <c r="D60" s="37"/>
      <c r="E60" s="82" t="s">
        <v>209</v>
      </c>
      <c r="F60" s="82"/>
      <c r="G60" s="77" t="s">
        <v>145</v>
      </c>
      <c r="H60" s="78" t="s">
        <v>210</v>
      </c>
      <c r="I60" s="77" t="s">
        <v>210</v>
      </c>
      <c r="J60" s="48"/>
      <c r="K60" s="79"/>
      <c r="L60" s="79"/>
      <c r="M60" s="79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>
      <c r="A61" s="48"/>
      <c r="B61" s="75"/>
      <c r="C61" s="75"/>
      <c r="D61" s="37"/>
      <c r="E61" s="82" t="s">
        <v>211</v>
      </c>
      <c r="F61" s="82"/>
      <c r="G61" s="77" t="s">
        <v>145</v>
      </c>
      <c r="H61" s="78" t="s">
        <v>212</v>
      </c>
      <c r="I61" s="77" t="s">
        <v>212</v>
      </c>
      <c r="J61" s="48"/>
      <c r="K61" s="79"/>
      <c r="L61" s="79"/>
      <c r="M61" s="79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>
      <c r="A62" s="48"/>
      <c r="B62" s="86"/>
      <c r="C62" s="86"/>
      <c r="D62" s="86"/>
      <c r="E62" s="86" t="s">
        <v>213</v>
      </c>
      <c r="F62" s="86"/>
      <c r="G62" s="86"/>
      <c r="H62" s="86"/>
      <c r="I62" s="86"/>
      <c r="J62" s="48"/>
      <c r="K62" s="79"/>
      <c r="L62" s="79"/>
      <c r="M62" s="79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ht="33.0" customHeight="1">
      <c r="A63" s="48"/>
      <c r="B63" s="75"/>
      <c r="C63" s="75"/>
      <c r="D63" s="75"/>
      <c r="E63" s="90" t="s">
        <v>214</v>
      </c>
      <c r="F63" s="90"/>
      <c r="G63" s="92" t="s">
        <v>215</v>
      </c>
      <c r="H63" s="92" t="s">
        <v>210</v>
      </c>
      <c r="I63" s="92" t="s">
        <v>216</v>
      </c>
      <c r="J63" s="48"/>
      <c r="K63" s="79"/>
      <c r="L63" s="79"/>
      <c r="M63" s="79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ht="30.75" customHeight="1">
      <c r="A64" s="48"/>
      <c r="B64" s="75"/>
      <c r="C64" s="75"/>
      <c r="D64" s="75"/>
      <c r="E64" s="90" t="s">
        <v>217</v>
      </c>
      <c r="F64" s="90"/>
      <c r="G64" s="92" t="s">
        <v>218</v>
      </c>
      <c r="H64" s="92" t="s">
        <v>219</v>
      </c>
      <c r="I64" s="92" t="s">
        <v>205</v>
      </c>
      <c r="J64" s="48"/>
      <c r="K64" s="79"/>
      <c r="L64" s="79"/>
      <c r="M64" s="79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ht="30.75" customHeight="1">
      <c r="A65" s="48"/>
      <c r="B65" s="75"/>
      <c r="C65" s="75"/>
      <c r="D65" s="75"/>
      <c r="E65" s="90" t="s">
        <v>220</v>
      </c>
      <c r="F65" s="90"/>
      <c r="G65" s="93" t="s">
        <v>221</v>
      </c>
      <c r="H65" s="80" t="s">
        <v>222</v>
      </c>
      <c r="I65" s="80" t="s">
        <v>223</v>
      </c>
      <c r="J65" s="48"/>
      <c r="K65" s="79"/>
      <c r="L65" s="79"/>
      <c r="M65" s="79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ht="30.75" customHeight="1">
      <c r="A66" s="48"/>
      <c r="B66" s="75"/>
      <c r="C66" s="75"/>
      <c r="D66" s="94" t="s">
        <v>224</v>
      </c>
      <c r="E66" s="82" t="s">
        <v>225</v>
      </c>
      <c r="F66" s="82"/>
      <c r="G66" s="77" t="s">
        <v>145</v>
      </c>
      <c r="H66" s="78" t="s">
        <v>226</v>
      </c>
      <c r="I66" s="95" t="s">
        <v>227</v>
      </c>
      <c r="J66" s="48"/>
      <c r="K66" s="79"/>
      <c r="L66" s="79"/>
      <c r="M66" s="79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ht="30.75" customHeight="1">
      <c r="A67" s="48"/>
      <c r="B67" s="75"/>
      <c r="C67" s="75"/>
      <c r="D67" s="94" t="s">
        <v>224</v>
      </c>
      <c r="E67" s="82" t="s">
        <v>228</v>
      </c>
      <c r="F67" s="82"/>
      <c r="G67" s="77" t="s">
        <v>145</v>
      </c>
      <c r="H67" s="78" t="s">
        <v>229</v>
      </c>
      <c r="I67" s="95" t="s">
        <v>227</v>
      </c>
      <c r="J67" s="48"/>
      <c r="K67" s="79"/>
      <c r="L67" s="79"/>
      <c r="M67" s="79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ht="30.75" customHeight="1">
      <c r="A68" s="48"/>
      <c r="B68" s="75"/>
      <c r="C68" s="75"/>
      <c r="D68" s="94" t="s">
        <v>224</v>
      </c>
      <c r="E68" s="82" t="s">
        <v>230</v>
      </c>
      <c r="F68" s="82"/>
      <c r="G68" s="77" t="s">
        <v>145</v>
      </c>
      <c r="H68" s="78" t="s">
        <v>226</v>
      </c>
      <c r="I68" s="95" t="s">
        <v>227</v>
      </c>
      <c r="J68" s="48"/>
      <c r="K68" s="79"/>
      <c r="L68" s="79"/>
      <c r="M68" s="79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ht="30.75" customHeight="1">
      <c r="A69" s="48"/>
      <c r="B69" s="75"/>
      <c r="C69" s="75"/>
      <c r="D69" s="94" t="s">
        <v>224</v>
      </c>
      <c r="E69" s="82" t="s">
        <v>231</v>
      </c>
      <c r="F69" s="82"/>
      <c r="G69" s="77" t="s">
        <v>145</v>
      </c>
      <c r="H69" s="78" t="s">
        <v>171</v>
      </c>
      <c r="I69" s="95" t="s">
        <v>227</v>
      </c>
      <c r="J69" s="48"/>
      <c r="K69" s="79"/>
      <c r="L69" s="79"/>
      <c r="M69" s="79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>
      <c r="A70" s="48"/>
      <c r="B70" s="75"/>
      <c r="C70" s="75"/>
      <c r="D70" s="75"/>
      <c r="E70" s="96" t="s">
        <v>232</v>
      </c>
      <c r="F70" s="88"/>
      <c r="G70" s="97" t="s">
        <v>233</v>
      </c>
      <c r="H70" s="98" t="s">
        <v>234</v>
      </c>
      <c r="I70" s="95" t="s">
        <v>227</v>
      </c>
      <c r="J70" s="48"/>
      <c r="K70" s="79"/>
      <c r="L70" s="79"/>
      <c r="M70" s="79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>
      <c r="A71" s="48"/>
      <c r="B71" s="75"/>
      <c r="C71" s="75"/>
      <c r="D71" s="75"/>
      <c r="E71" s="96" t="s">
        <v>235</v>
      </c>
      <c r="F71" s="88"/>
      <c r="G71" s="97" t="s">
        <v>233</v>
      </c>
      <c r="H71" s="98" t="s">
        <v>236</v>
      </c>
      <c r="I71" s="95" t="s">
        <v>227</v>
      </c>
      <c r="J71" s="48"/>
      <c r="K71" s="99"/>
      <c r="L71" s="99"/>
      <c r="M71" s="99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>
      <c r="A72" s="48"/>
      <c r="B72" s="48"/>
      <c r="C72" s="48"/>
      <c r="D72" s="48"/>
      <c r="E72" s="100" t="s">
        <v>237</v>
      </c>
      <c r="F72" s="100"/>
      <c r="G72" s="48"/>
      <c r="H72" s="48"/>
      <c r="I72" s="100" t="s">
        <v>238</v>
      </c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>
      <c r="A74" s="48"/>
      <c r="B74" s="48"/>
      <c r="C74" s="48"/>
      <c r="D74" s="48"/>
      <c r="E74" s="48"/>
      <c r="F74" s="48"/>
      <c r="G74" s="48"/>
      <c r="H74" s="48"/>
      <c r="I74" s="101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4.88"/>
    <col customWidth="1" min="4" max="4" width="12.88"/>
    <col customWidth="1" min="5" max="5" width="56.13"/>
    <col customWidth="1" min="10" max="10" width="4.13"/>
    <col customWidth="1" min="14" max="14" width="0.88"/>
    <col customWidth="1" min="15" max="15" width="12.63"/>
  </cols>
  <sheetData>
    <row r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</row>
    <row r="2">
      <c r="A2" s="48"/>
      <c r="B2" s="48"/>
      <c r="C2" s="48"/>
      <c r="D2" s="48"/>
      <c r="E2" s="48"/>
      <c r="F2" s="48"/>
      <c r="G2" s="48"/>
      <c r="H2" s="48"/>
      <c r="I2" s="48"/>
      <c r="J2" s="48"/>
      <c r="K2" s="50" t="s">
        <v>112</v>
      </c>
      <c r="L2" s="51"/>
      <c r="M2" s="49"/>
      <c r="N2" s="48"/>
      <c r="O2" s="52" t="s">
        <v>113</v>
      </c>
      <c r="P2" s="48"/>
      <c r="Q2" s="48"/>
      <c r="R2" s="48"/>
      <c r="S2" s="53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>
      <c r="A3" s="48"/>
      <c r="B3" s="54" t="s">
        <v>114</v>
      </c>
      <c r="C3" s="54" t="s">
        <v>115</v>
      </c>
      <c r="D3" s="54" t="s">
        <v>116</v>
      </c>
      <c r="E3" s="54" t="s">
        <v>117</v>
      </c>
      <c r="F3" s="54" t="s">
        <v>38</v>
      </c>
      <c r="G3" s="54" t="s">
        <v>118</v>
      </c>
      <c r="H3" s="55" t="s">
        <v>119</v>
      </c>
      <c r="I3" s="55" t="s">
        <v>120</v>
      </c>
      <c r="J3" s="56"/>
      <c r="K3" s="57" t="s">
        <v>121</v>
      </c>
      <c r="L3" s="54" t="s">
        <v>122</v>
      </c>
      <c r="M3" s="54" t="s">
        <v>123</v>
      </c>
      <c r="N3" s="48"/>
      <c r="O3" s="58" t="s">
        <v>124</v>
      </c>
      <c r="P3" s="59"/>
      <c r="Q3" s="59"/>
      <c r="R3" s="60"/>
      <c r="S3" s="61"/>
      <c r="T3" s="60"/>
      <c r="U3" s="48"/>
      <c r="V3" s="48"/>
      <c r="W3" s="48"/>
      <c r="X3" s="48"/>
      <c r="Y3" s="48"/>
      <c r="Z3" s="48"/>
      <c r="AA3" s="48"/>
      <c r="AB3" s="48"/>
      <c r="AC3" s="48"/>
      <c r="AD3" s="48"/>
    </row>
    <row r="4">
      <c r="A4" s="48"/>
      <c r="B4" s="62"/>
      <c r="C4" s="62"/>
      <c r="D4" s="62"/>
      <c r="E4" s="62"/>
      <c r="F4" s="62"/>
      <c r="G4" s="62"/>
      <c r="H4" s="62"/>
      <c r="I4" s="62"/>
      <c r="J4" s="48"/>
      <c r="K4" s="63"/>
      <c r="L4" s="63"/>
      <c r="M4" s="63"/>
      <c r="N4" s="56"/>
      <c r="O4" s="64" t="s">
        <v>125</v>
      </c>
      <c r="P4" s="65" t="s">
        <v>126</v>
      </c>
      <c r="Q4" s="65" t="s">
        <v>127</v>
      </c>
      <c r="R4" s="65" t="s">
        <v>128</v>
      </c>
      <c r="S4" s="65" t="s">
        <v>129</v>
      </c>
      <c r="T4" s="65" t="s">
        <v>130</v>
      </c>
      <c r="U4" s="48"/>
      <c r="V4" s="48"/>
      <c r="W4" s="48"/>
      <c r="X4" s="48"/>
      <c r="Y4" s="48"/>
      <c r="Z4" s="48"/>
      <c r="AA4" s="48"/>
      <c r="AB4" s="48"/>
      <c r="AC4" s="48"/>
      <c r="AD4" s="48"/>
    </row>
    <row r="5" ht="35.25" customHeight="1">
      <c r="A5" s="13"/>
      <c r="B5" s="66" t="s">
        <v>131</v>
      </c>
      <c r="C5" s="66" t="s">
        <v>132</v>
      </c>
      <c r="D5" s="67" t="s">
        <v>133</v>
      </c>
      <c r="E5" s="68" t="s">
        <v>134</v>
      </c>
      <c r="F5" s="68" t="s">
        <v>135</v>
      </c>
      <c r="G5" s="68">
        <v>1.0</v>
      </c>
      <c r="H5" s="68">
        <v>61.0</v>
      </c>
      <c r="I5" s="68">
        <v>61.0</v>
      </c>
      <c r="J5" s="69"/>
      <c r="K5" s="70">
        <v>180000.0</v>
      </c>
      <c r="L5" s="70">
        <f>K5*4%</f>
        <v>7200</v>
      </c>
      <c r="M5" s="70">
        <f>K5-L5</f>
        <v>172800</v>
      </c>
      <c r="N5" s="69"/>
      <c r="O5" s="71" t="s">
        <v>136</v>
      </c>
      <c r="P5" s="72">
        <v>46189.0</v>
      </c>
      <c r="Q5" s="73">
        <v>172800.0</v>
      </c>
      <c r="R5" s="74" t="s">
        <v>137</v>
      </c>
      <c r="S5" s="74" t="s">
        <v>138</v>
      </c>
      <c r="T5" s="69"/>
      <c r="U5" s="69"/>
      <c r="V5" s="69"/>
      <c r="W5" s="69"/>
      <c r="X5" s="69"/>
      <c r="Y5" s="13"/>
      <c r="Z5" s="13"/>
      <c r="AA5" s="13"/>
      <c r="AB5" s="13"/>
      <c r="AC5" s="13"/>
      <c r="AD5" s="13"/>
    </row>
    <row r="6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</row>
    <row r="10">
      <c r="A10" s="48"/>
      <c r="B10" s="48"/>
      <c r="C10" s="48"/>
      <c r="D10" s="48"/>
      <c r="E10" s="102" t="s">
        <v>239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</sheetData>
  <mergeCells count="1">
    <mergeCell ref="O3:Q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>
      <c r="A10" s="103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>
      <c r="A11" s="103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>
      <c r="A12" s="103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>
      <c r="A16" s="103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>
      <c r="A17" s="103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>
      <c r="A18" s="103"/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</row>
    <row r="19">
      <c r="A19" s="103"/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>
      <c r="A20" s="103"/>
      <c r="B20" s="104"/>
      <c r="C20" s="104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>
      <c r="A21" s="103"/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>
      <c r="A22" s="103"/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>
      <c r="A23" s="103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>
      <c r="A25" s="103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>
      <c r="A26" s="103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>
      <c r="A27" s="103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</row>
    <row r="28">
      <c r="A28" s="103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>
      <c r="A29" s="103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>
      <c r="A30" s="103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>
      <c r="A31" s="103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</row>
    <row r="32">
      <c r="A32" s="103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</row>
    <row r="33">
      <c r="A33" s="103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</row>
    <row r="34">
      <c r="A34" s="103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>
      <c r="A35" s="103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>
      <c r="A36" s="103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>
      <c r="A37" s="103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</sheetData>
  <drawing r:id="rId1"/>
</worksheet>
</file>