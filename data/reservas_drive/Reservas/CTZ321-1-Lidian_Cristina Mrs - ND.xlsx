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PLANTILLA CHEQUEO MEDICO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0jpgBDBmy0qS2UmRGJIrOsy1JL5WKYohX2jGvCBcFrI="/>
    </ext>
  </extLst>
</workbook>
</file>

<file path=xl/sharedStrings.xml><?xml version="1.0" encoding="utf-8"?>
<sst xmlns="http://schemas.openxmlformats.org/spreadsheetml/2006/main" count="220" uniqueCount="169">
  <si>
    <t>Nombre</t>
  </si>
  <si>
    <t>Lidian</t>
  </si>
  <si>
    <t>Apellido</t>
  </si>
  <si>
    <t>Cristina</t>
  </si>
  <si>
    <t>Apellido de casada</t>
  </si>
  <si>
    <t>Género:  .</t>
  </si>
  <si>
    <t>Femenino</t>
  </si>
  <si>
    <t>Pasaporte</t>
  </si>
  <si>
    <t>Nw1F5kfk29</t>
  </si>
  <si>
    <t>Fecha de nacimiento</t>
  </si>
  <si>
    <t>Edad</t>
  </si>
  <si>
    <t>Estado civil</t>
  </si>
  <si>
    <t>Soltera</t>
  </si>
  <si>
    <t>Dirección</t>
  </si>
  <si>
    <t>Paises Bajos</t>
  </si>
  <si>
    <t xml:space="preserve">Nacionalidad  y  domicilio:  </t>
  </si>
  <si>
    <t>Holanda</t>
  </si>
  <si>
    <t>Email:</t>
  </si>
  <si>
    <t>Lidianac685@gmail.com</t>
  </si>
  <si>
    <t>Teléfono</t>
  </si>
  <si>
    <t>31 64710274</t>
  </si>
  <si>
    <t xml:space="preserve">Profesión </t>
  </si>
  <si>
    <t>Enfermera</t>
  </si>
  <si>
    <t>RH</t>
  </si>
  <si>
    <t>Seguro</t>
  </si>
  <si>
    <t>Peso</t>
  </si>
  <si>
    <t>Altura</t>
  </si>
  <si>
    <t>Idioma</t>
  </si>
  <si>
    <t>Papiamento - español</t>
  </si>
  <si>
    <t xml:space="preserve"> </t>
  </si>
  <si>
    <t>no tiene fechas estas son inventadas</t>
  </si>
  <si>
    <t>CONFIRMACIÓN</t>
  </si>
  <si>
    <t>DIRECCIÓN</t>
  </si>
  <si>
    <t>SEDE</t>
  </si>
  <si>
    <t>PROVEEDOR</t>
  </si>
  <si>
    <t>PASAJERO</t>
  </si>
  <si>
    <t>HORA</t>
  </si>
  <si>
    <t>FECHAS: Tentativas 06 Sep a 13 Sep</t>
  </si>
  <si>
    <t>DIA/HORA</t>
  </si>
  <si>
    <t>Actividad</t>
  </si>
  <si>
    <t>ACP horas</t>
  </si>
  <si>
    <t>Traslado cerca</t>
  </si>
  <si>
    <t>Traslado lejos</t>
  </si>
  <si>
    <t>Domingo</t>
  </si>
  <si>
    <t>00:00 pm</t>
  </si>
  <si>
    <t>Vuelo Amsterdam - Bogota</t>
  </si>
  <si>
    <t>Vuelo Bogota - Medellín</t>
  </si>
  <si>
    <t>Traslado aeropuerto - Hotel</t>
  </si>
  <si>
    <t>Lunes</t>
  </si>
  <si>
    <t>No desayunar -vejiga llena</t>
  </si>
  <si>
    <t>CIMA</t>
  </si>
  <si>
    <t>05:30 am</t>
  </si>
  <si>
    <t>Traslado Hotel  - centro médico</t>
  </si>
  <si>
    <t>Ecografia abdomen total</t>
  </si>
  <si>
    <t>Ecografía de tiroides y paratiroides</t>
  </si>
  <si>
    <t>Ecografia de mama</t>
  </si>
  <si>
    <t>Ecografía articular del hombro</t>
  </si>
  <si>
    <t>Ecografia Pélvica Ginecologia Transvaginal</t>
  </si>
  <si>
    <t>Toma de muestras de laboratorio clínico</t>
  </si>
  <si>
    <t>Citología cervical</t>
  </si>
  <si>
    <t>Radiografia de tórax</t>
  </si>
  <si>
    <t>Tiempo para desayunar</t>
  </si>
  <si>
    <t>Electrocardiograma EKG - ECG</t>
  </si>
  <si>
    <t>Traslado Centro medico  - centro médico</t>
  </si>
  <si>
    <t>10:00 am</t>
  </si>
  <si>
    <t>Resonancia de hombro derecho</t>
  </si>
  <si>
    <t>CRE-MEDIALFA</t>
  </si>
  <si>
    <t>Resonancia de hombro izquierda</t>
  </si>
  <si>
    <t>Traslado centro médico - Hotel</t>
  </si>
  <si>
    <t>Tiempo para almorzar - resto del día libre</t>
  </si>
  <si>
    <t>Martes</t>
  </si>
  <si>
    <t>Miércoles</t>
  </si>
  <si>
    <t>LAS VEGAS</t>
  </si>
  <si>
    <t>IPS Electrodiagnóstico</t>
  </si>
  <si>
    <t>09:00 am</t>
  </si>
  <si>
    <t>Electromiografía y velocidad de conducción nerviosa miembros SUPERIORES</t>
  </si>
  <si>
    <t>Consulta con especialista en FISIATRÍA</t>
  </si>
  <si>
    <t>Dr Manuel Dávila</t>
  </si>
  <si>
    <t>11:00 am</t>
  </si>
  <si>
    <t>Consulta con especialista en MEDICINA INTERNA</t>
  </si>
  <si>
    <t>Traslado centro médico - restaurante</t>
  </si>
  <si>
    <t>Tiempo para almorzar</t>
  </si>
  <si>
    <t>Traslado restaurante - centro médico</t>
  </si>
  <si>
    <t>LAURELES</t>
  </si>
  <si>
    <t>Dr Juan Manuel Soto</t>
  </si>
  <si>
    <t>02:00 pm</t>
  </si>
  <si>
    <t>Consulta con especialista en HOMBRO Incluye ecografía</t>
  </si>
  <si>
    <t>Jueves</t>
  </si>
  <si>
    <t>Viernes</t>
  </si>
  <si>
    <t>INCLUIDO EN EL PAQUETE DE CHEQUEO MÉDICO</t>
  </si>
  <si>
    <t>TOTAL A COBRAR</t>
  </si>
  <si>
    <t>Consulta con RESULTADOS con especialista en NUTRIÓLOGA VIRTUAL Dra Marlen Villalba</t>
  </si>
  <si>
    <t>Consulta de control VIRTUAL  con RESULTADOS con Medico Funcional Dr Marcos Yépes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</si>
  <si>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</si>
  <si>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</si>
  <si>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</si>
  <si>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</si>
  <si>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</si>
  <si>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</si>
  <si>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</si>
  <si>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</si>
  <si>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</si>
  <si>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</si>
  <si>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</si>
  <si>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</si>
  <si>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</si>
  <si>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</si>
  <si>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</si>
  <si>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</si>
  <si>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</si>
  <si>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</si>
  <si>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</si>
  <si>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</t>
  </si>
  <si>
    <t>DSM 401</t>
  </si>
  <si>
    <t>Confirmado</t>
  </si>
  <si>
    <t>Consulta primera Vez Medico Funcional</t>
  </si>
  <si>
    <t>Dr Marcos</t>
  </si>
  <si>
    <t>Dr Marcos yepes</t>
  </si>
  <si>
    <t>JURIDICA BANCOLOMBIA</t>
  </si>
  <si>
    <t>TRANSFERENCIA BANCARIA</t>
  </si>
  <si>
    <t>ACV documentos MÉDICOS</t>
  </si>
  <si>
    <t>PAGOS - FACTURAS</t>
  </si>
  <si>
    <t>CONFIRMACIÓN DE RESERVAS</t>
  </si>
  <si>
    <t>CHEQUEO MÉDICO EJECUTIVO PREVENTIVO</t>
  </si>
  <si>
    <t>Póliza de asistencia médica al viajero para 8 días</t>
  </si>
  <si>
    <t>Domicilio chequeo</t>
  </si>
  <si>
    <t>PSA - Antígeno específico de próstata</t>
  </si>
  <si>
    <t>* Citología Cervical</t>
  </si>
  <si>
    <t>* Coprológico</t>
  </si>
  <si>
    <t>* Vitamina D 25 hidroxi</t>
  </si>
  <si>
    <t>Perfil lipídico</t>
  </si>
  <si>
    <t>* Colesterol total</t>
  </si>
  <si>
    <t>* Colesterol HDL</t>
  </si>
  <si>
    <t>* Colesterol  LDL</t>
  </si>
  <si>
    <t>* Colesterol  VLDL</t>
  </si>
  <si>
    <t>* Triglicéridos</t>
  </si>
  <si>
    <t>Perfil tiroideo</t>
  </si>
  <si>
    <t>* TSH</t>
  </si>
  <si>
    <t xml:space="preserve">  </t>
  </si>
  <si>
    <t>* T4 libre</t>
  </si>
  <si>
    <t>Perfil Hepático</t>
  </si>
  <si>
    <t>* AST - aspartato transferasa</t>
  </si>
  <si>
    <t>* ALT- Alanina transferasa</t>
  </si>
  <si>
    <t>Perfil Renal</t>
  </si>
  <si>
    <t>* Creatinina en suero</t>
  </si>
  <si>
    <t>* Uroanálisis</t>
  </si>
  <si>
    <t>Sangre</t>
  </si>
  <si>
    <t>* Hemograma</t>
  </si>
  <si>
    <t>* Hemoglobina Glicosilada</t>
  </si>
  <si>
    <t>* Ferritina</t>
  </si>
  <si>
    <t>* Glucosa sérica</t>
  </si>
  <si>
    <t>Enfermedades de transmisión sexual</t>
  </si>
  <si>
    <t>* VIH</t>
  </si>
  <si>
    <t>* Serología (sífilis)</t>
  </si>
  <si>
    <t>IMÁGENES DIAGNÓSTICAS</t>
  </si>
  <si>
    <t>Radiografía de tórax</t>
  </si>
  <si>
    <t>Ecografía de abdomen total</t>
  </si>
  <si>
    <t>Ecografía de mama</t>
  </si>
  <si>
    <t>Electro cardiograma</t>
  </si>
  <si>
    <t>Audiometría</t>
  </si>
  <si>
    <t>Optometría</t>
  </si>
  <si>
    <t>ESPECIALISTAS</t>
  </si>
  <si>
    <t>Consulta con Médico Internista</t>
  </si>
  <si>
    <t>SERVICIOS MEDICAL TRIP COLOMBIA</t>
  </si>
  <si>
    <t>Tarros para orina y material fecal</t>
  </si>
  <si>
    <t>04 traslados cortos hotel - centro médico</t>
  </si>
  <si>
    <t>Acompañamiento virtual y presencial</t>
  </si>
  <si>
    <t>Caja menor a Johanns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</si>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</sst>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/M/yyyy"/>
    <numFmt numFmtId="165" formatCode="dd/mm/yyyy"/>
    <numFmt numFmtId="166" formatCode="d/m/yyyy"/>
    <numFmt numFmtId="167" formatCode="dd mmmm"/>
    <numFmt numFmtId="168" formatCode="&quot;$&quot;#,##0.00"/>
    <numFmt numFmtId="169" formatCode="[$$]#,##0.00"/>
    <numFmt numFmtId="170" formatCode="[$cop]#,##0"/>
    <numFmt numFmtId="171" formatCode="d/MM/yyyy"/>
    <numFmt numFmtId="172" formatCode="&quot;$&quot;#,##0"/>
    <numFmt numFmtId="173" formatCode="dd-mm-yyyy"/>
    <numFmt numFmtId="174" formatCode="&quot;$&quot;#,##0.000"/>
  </numFmts>
  <fonts count="15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color theme="1"/>
      <name val="Lexend"/>
    </font>
    <font>
      <b/>
      <sz val="11.0"/>
      <color rgb="FFFFFFFF"/>
      <name val="Lexend"/>
    </font>
    <font>
      <sz val="9.0"/>
      <color theme="1"/>
      <name val="Lexend"/>
    </font>
    <font>
      <color theme="1"/>
      <name val="Arial"/>
      <scheme val="minor"/>
    </font>
    <font>
      <b/>
      <color theme="1"/>
      <name val="Lexend"/>
    </font>
    <font/>
    <font>
      <sz val="11.0"/>
      <color rgb="FF212529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sz val="10.0"/>
      <color rgb="FF212529"/>
      <name val="Lexend"/>
    </font>
  </fonts>
  <fills count="1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073763"/>
        <bgColor rgb="FF073763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5" fontId="3" numFmtId="166" xfId="0" applyAlignment="1" applyBorder="1" applyFont="1" applyNumberFormat="1">
      <alignment horizontal="center" vertical="center"/>
    </xf>
    <xf borderId="1" fillId="5" fontId="3" numFmtId="166" xfId="0" applyAlignment="1" applyBorder="1" applyFont="1" applyNumberFormat="1">
      <alignment horizontal="center" shrinkToFit="0" vertical="center" wrapText="1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vertical="center"/>
    </xf>
    <xf borderId="1" fillId="6" fontId="6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7" fontId="1" numFmtId="168" xfId="0" applyAlignment="1" applyBorder="1" applyFill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6" fontId="1" numFmtId="168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6" fontId="2" numFmtId="168" xfId="0" applyAlignment="1" applyBorder="1" applyFont="1" applyNumberFormat="1">
      <alignment horizontal="center" readingOrder="0" vertical="center"/>
    </xf>
    <xf borderId="1" fillId="7" fontId="1" numFmtId="168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0" fillId="0" fontId="3" numFmtId="0" xfId="0" applyFont="1"/>
    <xf borderId="1" fillId="5" fontId="3" numFmtId="0" xfId="0" applyBorder="1" applyFont="1"/>
    <xf borderId="1" fillId="5" fontId="2" numFmtId="0" xfId="0" applyAlignment="1" applyBorder="1" applyFont="1">
      <alignment horizontal="center" readingOrder="0"/>
    </xf>
    <xf borderId="1" fillId="5" fontId="4" numFmtId="0" xfId="0" applyBorder="1" applyFont="1"/>
    <xf borderId="0" fillId="8" fontId="1" numFmtId="0" xfId="0" applyAlignment="1" applyFont="1">
      <alignment horizontal="center" readingOrder="0" shrinkToFit="0" vertical="center" wrapText="1"/>
    </xf>
    <xf borderId="0" fillId="8" fontId="1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" fillId="4" fontId="5" numFmtId="0" xfId="0" applyAlignment="1" applyBorder="1" applyFont="1">
      <alignment horizontal="center" shrinkToFit="0" vertical="center" wrapText="1"/>
    </xf>
    <xf borderId="0" fillId="0" fontId="1" numFmtId="170" xfId="0" applyAlignment="1" applyFont="1" applyNumberFormat="1">
      <alignment horizontal="center" vertical="center"/>
    </xf>
    <xf borderId="1" fillId="4" fontId="5" numFmtId="170" xfId="0" applyAlignment="1" applyBorder="1" applyFont="1" applyNumberFormat="1">
      <alignment horizontal="center" shrinkToFit="0" vertical="center" wrapText="1"/>
    </xf>
    <xf borderId="2" fillId="4" fontId="5" numFmtId="170" xfId="0" applyAlignment="1" applyBorder="1" applyFont="1" applyNumberFormat="1">
      <alignment horizontal="center" shrinkToFit="0" vertical="center" wrapText="1"/>
    </xf>
    <xf borderId="2" fillId="0" fontId="9" numFmtId="0" xfId="0" applyBorder="1" applyFont="1"/>
    <xf borderId="2" fillId="4" fontId="1" numFmtId="171" xfId="0" applyAlignment="1" applyBorder="1" applyFont="1" applyNumberFormat="1">
      <alignment horizontal="center" vertical="center"/>
    </xf>
    <xf borderId="2" fillId="4" fontId="1" numFmtId="16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" numFmtId="170" xfId="0" applyAlignment="1" applyBorder="1" applyFont="1" applyNumberFormat="1">
      <alignment horizontal="center" vertical="center"/>
    </xf>
    <xf borderId="4" fillId="9" fontId="5" numFmtId="170" xfId="0" applyAlignment="1" applyBorder="1" applyFill="1" applyFont="1" applyNumberFormat="1">
      <alignment horizontal="center" shrinkToFit="0" vertical="center" wrapText="1"/>
    </xf>
    <xf borderId="4" fillId="9" fontId="5" numFmtId="171" xfId="0" applyAlignment="1" applyBorder="1" applyFont="1" applyNumberFormat="1">
      <alignment horizontal="center" shrinkToFit="0" vertical="center" wrapText="1"/>
    </xf>
    <xf borderId="0" fillId="10" fontId="1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readingOrder="0" shrinkToFit="0" vertical="center" wrapText="1"/>
    </xf>
    <xf borderId="0" fillId="6" fontId="1" numFmtId="0" xfId="0" applyAlignment="1" applyFont="1">
      <alignment horizontal="center" vertical="center"/>
    </xf>
    <xf borderId="0" fillId="6" fontId="1" numFmtId="172" xfId="0" applyAlignment="1" applyFont="1" applyNumberFormat="1">
      <alignment horizontal="center" readingOrder="0" vertical="center"/>
    </xf>
    <xf borderId="0" fillId="6" fontId="1" numFmtId="172" xfId="0" applyAlignment="1" applyFont="1" applyNumberFormat="1">
      <alignment horizontal="center" vertical="center"/>
    </xf>
    <xf borderId="1" fillId="6" fontId="10" numFmtId="0" xfId="0" applyAlignment="1" applyBorder="1" applyFont="1">
      <alignment horizontal="center" readingOrder="0" shrinkToFit="0" vertical="center" wrapText="1"/>
    </xf>
    <xf borderId="1" fillId="0" fontId="1" numFmtId="173" xfId="0" applyAlignment="1" applyBorder="1" applyFont="1" applyNumberFormat="1">
      <alignment horizontal="center" readingOrder="0" vertical="center"/>
    </xf>
    <xf borderId="1" fillId="0" fontId="10" numFmtId="172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" numFmtId="1" xfId="0" applyAlignment="1" applyFont="1" applyNumberFormat="1">
      <alignment horizontal="center" readingOrder="0" vertical="center"/>
    </xf>
    <xf borderId="0" fillId="0" fontId="11" numFmtId="0" xfId="0" applyAlignment="1" applyFont="1">
      <alignment shrinkToFit="0" vertical="center" wrapText="1"/>
    </xf>
    <xf borderId="0" fillId="0" fontId="11" numFmtId="169" xfId="0" applyAlignment="1" applyFont="1" applyNumberFormat="1">
      <alignment shrinkToFit="0" vertical="center" wrapText="1"/>
    </xf>
    <xf borderId="2" fillId="0" fontId="12" numFmtId="0" xfId="0" applyAlignment="1" applyBorder="1" applyFont="1">
      <alignment horizontal="left" shrinkToFit="0" vertical="center" wrapText="0"/>
    </xf>
    <xf borderId="0" fillId="0" fontId="11" numFmtId="164" xfId="0" applyAlignment="1" applyFont="1" applyNumberFormat="1">
      <alignment shrinkToFit="0" vertical="center" wrapText="1"/>
    </xf>
    <xf borderId="0" fillId="0" fontId="12" numFmtId="0" xfId="0" applyAlignment="1" applyFont="1">
      <alignment horizontal="left" shrinkToFit="0" vertical="center" wrapText="0"/>
    </xf>
    <xf borderId="2" fillId="0" fontId="11" numFmtId="0" xfId="0" applyAlignment="1" applyBorder="1" applyFont="1">
      <alignment shrinkToFit="0" vertical="center" wrapText="1"/>
    </xf>
    <xf borderId="2" fillId="4" fontId="13" numFmtId="170" xfId="0" applyAlignment="1" applyBorder="1" applyFont="1" applyNumberFormat="1">
      <alignment horizontal="center" shrinkToFit="0" vertical="center" wrapText="1"/>
    </xf>
    <xf borderId="2" fillId="4" fontId="11" numFmtId="171" xfId="0" applyAlignment="1" applyBorder="1" applyFont="1" applyNumberFormat="1">
      <alignment shrinkToFit="0" vertical="center" wrapText="1"/>
    </xf>
    <xf borderId="2" fillId="4" fontId="11" numFmtId="164" xfId="0" applyAlignment="1" applyBorder="1" applyFont="1" applyNumberFormat="1">
      <alignment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3" fillId="4" fontId="13" numFmtId="0" xfId="0" applyAlignment="1" applyBorder="1" applyFont="1">
      <alignment horizontal="center" shrinkToFit="0" vertical="center" wrapText="1"/>
    </xf>
    <xf borderId="0" fillId="0" fontId="11" numFmtId="170" xfId="0" applyAlignment="1" applyFont="1" applyNumberFormat="1">
      <alignment shrinkToFit="0" vertical="center" wrapText="1"/>
    </xf>
    <xf borderId="1" fillId="4" fontId="13" numFmtId="170" xfId="0" applyAlignment="1" applyBorder="1" applyFont="1" applyNumberFormat="1">
      <alignment horizontal="center" shrinkToFit="0" vertical="center" wrapText="1"/>
    </xf>
    <xf borderId="5" fillId="9" fontId="13" numFmtId="170" xfId="0" applyAlignment="1" applyBorder="1" applyFont="1" applyNumberFormat="1">
      <alignment horizontal="center" shrinkToFit="0" vertical="center" wrapText="1"/>
    </xf>
    <xf borderId="5" fillId="9" fontId="13" numFmtId="171" xfId="0" applyAlignment="1" applyBorder="1" applyFont="1" applyNumberFormat="1">
      <alignment horizontal="center" shrinkToFit="0" vertical="center" wrapText="1"/>
    </xf>
    <xf borderId="1" fillId="5" fontId="11" numFmtId="0" xfId="0" applyAlignment="1" applyBorder="1" applyFont="1">
      <alignment shrinkToFit="0" vertical="center" wrapText="1"/>
    </xf>
    <xf borderId="1" fillId="5" fontId="11" numFmtId="170" xfId="0" applyAlignment="1" applyBorder="1" applyFont="1" applyNumberFormat="1">
      <alignment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shrinkToFit="0" vertical="center" wrapText="1"/>
    </xf>
    <xf borderId="0" fillId="11" fontId="11" numFmtId="172" xfId="0" applyAlignment="1" applyFill="1" applyFont="1" applyNumberFormat="1">
      <alignment horizontal="center" shrinkToFit="0" vertical="center" wrapText="1"/>
    </xf>
    <xf borderId="1" fillId="12" fontId="14" numFmtId="0" xfId="0" applyAlignment="1" applyBorder="1" applyFill="1" applyFont="1">
      <alignment horizontal="center" shrinkToFit="0" vertical="center" wrapText="1"/>
    </xf>
    <xf borderId="1" fillId="12" fontId="11" numFmtId="0" xfId="0" applyAlignment="1" applyBorder="1" applyFont="1">
      <alignment shrinkToFit="0" vertical="center" wrapText="1"/>
    </xf>
    <xf borderId="1" fillId="11" fontId="14" numFmtId="0" xfId="0" applyAlignment="1" applyBorder="1" applyFont="1">
      <alignment horizontal="center" shrinkToFit="0" vertical="center" wrapText="1"/>
    </xf>
    <xf borderId="1" fillId="13" fontId="14" numFmtId="0" xfId="0" applyAlignment="1" applyBorder="1" applyFill="1" applyFont="1">
      <alignment horizontal="center" shrinkToFit="0" vertical="center" wrapText="1"/>
    </xf>
    <xf borderId="1" fillId="14" fontId="14" numFmtId="0" xfId="0" applyAlignment="1" applyBorder="1" applyFill="1" applyFont="1">
      <alignment horizontal="center" shrinkToFit="0" vertical="center" wrapText="1"/>
    </xf>
    <xf borderId="1" fillId="15" fontId="11" numFmtId="0" xfId="0" applyAlignment="1" applyBorder="1" applyFill="1" applyFont="1">
      <alignment shrinkToFit="0" vertical="center" wrapText="1"/>
    </xf>
    <xf borderId="5" fillId="12" fontId="14" numFmtId="0" xfId="0" applyAlignment="1" applyBorder="1" applyFont="1">
      <alignment horizontal="center" shrinkToFit="0" vertical="center" wrapText="1"/>
    </xf>
    <xf borderId="1" fillId="12" fontId="11" numFmtId="174" xfId="0" applyAlignment="1" applyBorder="1" applyFont="1" applyNumberFormat="1">
      <alignment shrinkToFit="0" vertical="center" wrapText="1"/>
    </xf>
    <xf borderId="1" fillId="16" fontId="14" numFmtId="0" xfId="0" applyAlignment="1" applyBorder="1" applyFill="1" applyFont="1">
      <alignment horizontal="center" shrinkToFit="0" vertical="center" wrapText="1"/>
    </xf>
    <xf borderId="1" fillId="16" fontId="11" numFmtId="0" xfId="0" applyAlignment="1" applyBorder="1" applyFont="1">
      <alignment shrinkToFit="0" vertical="center" wrapText="1"/>
    </xf>
    <xf borderId="0" fillId="11" fontId="11" numFmtId="0" xfId="0" applyAlignment="1" applyFont="1">
      <alignment shrinkToFit="0" vertical="center" wrapText="1"/>
    </xf>
    <xf borderId="0" fillId="0" fontId="4" numFmtId="0" xfId="0" applyFont="1"/>
    <xf borderId="0" fillId="6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ITINERARIO-style">
      <tableStyleElement dxfId="1" type="firstRowStripe"/>
      <tableStyleElement dxfId="2" type="secondRowStripe"/>
    </tableStyle>
    <tableStyle count="2" pivot="0" name="ITINERARIO-style 2">
      <tableStyleElement dxfId="1" type="firstRowStripe"/>
      <tableStyleElement dxfId="2" type="secondRowStripe"/>
    </tableStyle>
    <tableStyle count="2" pivot="0" name="ITINERARIO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F7:H8" displayName="Table_1" name="Table_1" id="1">
  <tableColumns count="3">
    <tableColumn name="Column1" id="1"/>
    <tableColumn name="Column2" id="2"/>
    <tableColumn name="Column3" id="3"/>
  </tableColumns>
  <tableStyleInfo name="ITINERARIO-style" showColumnStripes="0" showFirstColumn="1" showLastColumn="1" showRowStripes="1"/>
</table>
</file>

<file path=xl/tables/table2.xml><?xml version="1.0" encoding="utf-8"?>
<table xmlns="http://schemas.openxmlformats.org/spreadsheetml/2006/main" headerRowCount="0" ref="H18:K46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ITINERARIO-style 2" showColumnStripes="0" showFirstColumn="1" showLastColumn="1" showRowStripes="1"/>
</table>
</file>

<file path=xl/tables/table3.xml><?xml version="1.0" encoding="utf-8"?>
<table xmlns="http://schemas.openxmlformats.org/spreadsheetml/2006/main" headerRowCount="0" ref="E20:E21" displayName="Table_3" name="Table_3" id="3">
  <tableColumns count="1">
    <tableColumn name="Column1" id="1"/>
  </tableColumns>
  <tableStyleInfo name="ITINERARI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38"/>
    <col customWidth="1" min="3" max="3" width="19.25"/>
    <col customWidth="1" min="4" max="4" width="2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"/>
      <c r="B20" s="3"/>
      <c r="C20" s="1"/>
      <c r="D20" s="2"/>
      <c r="E20" s="3"/>
      <c r="F20" s="4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3" t="s">
        <v>0</v>
      </c>
      <c r="B21" s="5" t="s">
        <v>1</v>
      </c>
      <c r="C21" s="1"/>
      <c r="D21" s="2"/>
      <c r="E21" s="3" t="s">
        <v>0</v>
      </c>
      <c r="F21" s="1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3" t="s">
        <v>2</v>
      </c>
      <c r="B22" s="5" t="s">
        <v>3</v>
      </c>
      <c r="C22" s="1"/>
      <c r="D22" s="2"/>
      <c r="E22" s="3" t="s">
        <v>2</v>
      </c>
      <c r="F22" s="1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3" t="s">
        <v>4</v>
      </c>
      <c r="B23" s="3"/>
      <c r="C23" s="1"/>
      <c r="D23" s="2"/>
      <c r="E23" s="3"/>
      <c r="F23" s="1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3" t="s">
        <v>5</v>
      </c>
      <c r="B24" s="5" t="s">
        <v>6</v>
      </c>
      <c r="C24" s="1"/>
      <c r="D24" s="2"/>
      <c r="E24" s="3" t="s">
        <v>5</v>
      </c>
      <c r="F24" s="1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3" t="s">
        <v>7</v>
      </c>
      <c r="B25" s="5" t="s">
        <v>8</v>
      </c>
      <c r="C25" s="1"/>
      <c r="D25" s="2"/>
      <c r="E25" s="3" t="s">
        <v>7</v>
      </c>
      <c r="F25" s="6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3" t="s">
        <v>9</v>
      </c>
      <c r="B26" s="7">
        <v>31368.0</v>
      </c>
      <c r="C26" s="1"/>
      <c r="D26" s="2"/>
      <c r="E26" s="3" t="s">
        <v>9</v>
      </c>
      <c r="F26" s="1"/>
      <c r="G26" s="3"/>
      <c r="H26" s="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3" t="s">
        <v>10</v>
      </c>
      <c r="B27" s="5">
        <v>41.0</v>
      </c>
      <c r="C27" s="1"/>
      <c r="D27" s="2"/>
      <c r="E27" s="3" t="s">
        <v>10</v>
      </c>
      <c r="F27" s="1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3" t="s">
        <v>11</v>
      </c>
      <c r="B28" s="5" t="s">
        <v>12</v>
      </c>
      <c r="C28" s="1"/>
      <c r="D28" s="2"/>
      <c r="E28" s="3" t="s">
        <v>11</v>
      </c>
      <c r="F28" s="1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3" t="s">
        <v>13</v>
      </c>
      <c r="B29" s="5" t="s">
        <v>14</v>
      </c>
      <c r="C29" s="1"/>
      <c r="D29" s="2"/>
      <c r="E29" s="3" t="s">
        <v>13</v>
      </c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3" t="s">
        <v>15</v>
      </c>
      <c r="B30" s="5" t="s">
        <v>16</v>
      </c>
      <c r="C30" s="1"/>
      <c r="D30" s="2"/>
      <c r="E30" s="3" t="s">
        <v>15</v>
      </c>
      <c r="F30" s="1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3" t="s">
        <v>17</v>
      </c>
      <c r="B31" s="5" t="s">
        <v>18</v>
      </c>
      <c r="C31" s="1"/>
      <c r="D31" s="2"/>
      <c r="E31" s="3" t="s">
        <v>17</v>
      </c>
      <c r="F31" s="1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3" t="s">
        <v>19</v>
      </c>
      <c r="B32" s="5" t="s">
        <v>20</v>
      </c>
      <c r="C32" s="1"/>
      <c r="D32" s="2"/>
      <c r="E32" s="3" t="s">
        <v>19</v>
      </c>
      <c r="F32" s="1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3" t="s">
        <v>21</v>
      </c>
      <c r="B33" s="5" t="s">
        <v>22</v>
      </c>
      <c r="C33" s="1"/>
      <c r="D33" s="2"/>
      <c r="E33" s="3" t="s">
        <v>21</v>
      </c>
      <c r="F33" s="1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3" t="s">
        <v>23</v>
      </c>
      <c r="B34" s="3"/>
      <c r="C34" s="1"/>
      <c r="D34" s="2"/>
      <c r="E34" s="3" t="s">
        <v>23</v>
      </c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3" t="s">
        <v>24</v>
      </c>
      <c r="B35" s="3"/>
      <c r="C35" s="1"/>
      <c r="D35" s="2"/>
      <c r="E35" s="3" t="s">
        <v>24</v>
      </c>
      <c r="F35" s="1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3" t="s">
        <v>25</v>
      </c>
      <c r="B36" s="5">
        <v>90.0</v>
      </c>
      <c r="C36" s="1"/>
      <c r="D36" s="2"/>
      <c r="E36" s="3" t="s">
        <v>25</v>
      </c>
      <c r="F36" s="1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3" t="s">
        <v>26</v>
      </c>
      <c r="B37" s="5">
        <v>162.0</v>
      </c>
      <c r="C37" s="1"/>
      <c r="D37" s="2"/>
      <c r="E37" s="3" t="s">
        <v>26</v>
      </c>
      <c r="F37" s="1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3" t="s">
        <v>27</v>
      </c>
      <c r="B38" s="5" t="s">
        <v>28</v>
      </c>
      <c r="C38" s="1"/>
      <c r="D38" s="2"/>
      <c r="E38" s="3" t="s">
        <v>27</v>
      </c>
      <c r="F38" s="1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2"/>
      <c r="E39" s="3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2"/>
      <c r="E40" s="3"/>
      <c r="F40" s="1"/>
      <c r="G40" s="3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8"/>
      <c r="G41" s="3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12.75"/>
    <col customWidth="1" min="4" max="4" width="11.0"/>
    <col customWidth="1" min="5" max="5" width="24.0"/>
    <col customWidth="1" min="6" max="6" width="20.88"/>
    <col customWidth="1" min="7" max="7" width="12.38"/>
    <col customWidth="1" min="8" max="8" width="57.5"/>
  </cols>
  <sheetData>
    <row r="1">
      <c r="A1" s="9"/>
      <c r="B1" s="9"/>
      <c r="C1" s="10"/>
      <c r="D1" s="10"/>
      <c r="E1" s="10"/>
      <c r="F1" s="9"/>
      <c r="G1" s="9"/>
      <c r="H1" s="9"/>
      <c r="I1" s="11"/>
      <c r="J1" s="11"/>
      <c r="K1" s="11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9"/>
      <c r="B2" s="9"/>
      <c r="C2" s="10"/>
      <c r="D2" s="10"/>
      <c r="E2" s="10"/>
      <c r="F2" s="9"/>
      <c r="G2" s="9"/>
      <c r="H2" s="12" t="s">
        <v>30</v>
      </c>
      <c r="I2" s="11"/>
      <c r="J2" s="11"/>
      <c r="K2" s="11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9"/>
      <c r="B3" s="13" t="s">
        <v>31</v>
      </c>
      <c r="C3" s="14" t="s">
        <v>32</v>
      </c>
      <c r="D3" s="14" t="s">
        <v>33</v>
      </c>
      <c r="E3" s="14" t="s">
        <v>34</v>
      </c>
      <c r="F3" s="13" t="s">
        <v>35</v>
      </c>
      <c r="G3" s="13" t="s">
        <v>36</v>
      </c>
      <c r="H3" s="15" t="s">
        <v>37</v>
      </c>
      <c r="I3" s="16"/>
      <c r="J3" s="16"/>
      <c r="K3" s="16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9"/>
      <c r="B4" s="17"/>
      <c r="C4" s="18"/>
      <c r="D4" s="18"/>
      <c r="E4" s="18"/>
      <c r="F4" s="19"/>
      <c r="G4" s="20" t="s">
        <v>38</v>
      </c>
      <c r="H4" s="17" t="s">
        <v>39</v>
      </c>
      <c r="I4" s="21" t="s">
        <v>40</v>
      </c>
      <c r="J4" s="21" t="s">
        <v>41</v>
      </c>
      <c r="K4" s="21" t="s">
        <v>42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9"/>
      <c r="B5" s="22"/>
      <c r="C5" s="18"/>
      <c r="D5" s="23"/>
      <c r="E5" s="23"/>
      <c r="F5" s="19"/>
      <c r="G5" s="20">
        <v>0.0</v>
      </c>
      <c r="H5" s="24" t="s">
        <v>43</v>
      </c>
      <c r="I5" s="25"/>
      <c r="J5" s="25"/>
      <c r="K5" s="25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9"/>
      <c r="B6" s="26"/>
      <c r="C6" s="27"/>
      <c r="D6" s="27"/>
      <c r="E6" s="27"/>
      <c r="F6" s="28"/>
      <c r="G6" s="29" t="s">
        <v>44</v>
      </c>
      <c r="H6" s="29" t="s">
        <v>45</v>
      </c>
      <c r="I6" s="30"/>
      <c r="J6" s="30"/>
      <c r="K6" s="30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26"/>
      <c r="C7" s="27"/>
      <c r="D7" s="27"/>
      <c r="E7" s="27"/>
      <c r="F7" s="31"/>
      <c r="G7" s="29" t="s">
        <v>44</v>
      </c>
      <c r="H7" s="32" t="s">
        <v>46</v>
      </c>
      <c r="I7" s="30"/>
      <c r="J7" s="30"/>
      <c r="K7" s="30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9"/>
      <c r="B8" s="26"/>
      <c r="C8" s="27"/>
      <c r="D8" s="27"/>
      <c r="E8" s="27"/>
      <c r="F8" s="31"/>
      <c r="G8" s="33"/>
      <c r="H8" s="34" t="s">
        <v>47</v>
      </c>
      <c r="I8" s="35"/>
      <c r="J8" s="35"/>
      <c r="K8" s="35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19"/>
      <c r="C9" s="18"/>
      <c r="D9" s="18"/>
      <c r="E9" s="18"/>
      <c r="F9" s="19"/>
      <c r="G9" s="24">
        <v>1.0</v>
      </c>
      <c r="H9" s="24" t="s">
        <v>48</v>
      </c>
      <c r="I9" s="36"/>
      <c r="J9" s="25"/>
      <c r="K9" s="25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9"/>
      <c r="B10" s="26"/>
      <c r="C10" s="27"/>
      <c r="D10" s="32"/>
      <c r="E10" s="32"/>
      <c r="F10" s="26"/>
      <c r="G10" s="26"/>
      <c r="H10" s="37" t="s">
        <v>49</v>
      </c>
      <c r="I10" s="30"/>
      <c r="J10" s="30"/>
      <c r="K10" s="30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9"/>
      <c r="B11" s="26"/>
      <c r="C11" s="27"/>
      <c r="D11" s="32"/>
      <c r="E11" s="32" t="s">
        <v>50</v>
      </c>
      <c r="F11" s="26"/>
      <c r="G11" s="38" t="s">
        <v>51</v>
      </c>
      <c r="H11" s="34" t="s">
        <v>52</v>
      </c>
      <c r="I11" s="39">
        <v>1.0</v>
      </c>
      <c r="J11" s="39">
        <v>1.0</v>
      </c>
      <c r="K11" s="30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9"/>
      <c r="B12" s="26"/>
      <c r="C12" s="27"/>
      <c r="D12" s="32"/>
      <c r="E12" s="32" t="s">
        <v>50</v>
      </c>
      <c r="F12" s="26"/>
      <c r="G12" s="40"/>
      <c r="H12" s="41" t="s">
        <v>53</v>
      </c>
      <c r="I12" s="30"/>
      <c r="J12" s="30"/>
      <c r="K12" s="30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9"/>
      <c r="B13" s="26"/>
      <c r="C13" s="27"/>
      <c r="D13" s="32"/>
      <c r="E13" s="32" t="s">
        <v>50</v>
      </c>
      <c r="F13" s="26"/>
      <c r="G13" s="40"/>
      <c r="H13" s="41" t="s">
        <v>54</v>
      </c>
      <c r="I13" s="30"/>
      <c r="J13" s="30"/>
      <c r="K13" s="30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9"/>
      <c r="B14" s="26"/>
      <c r="C14" s="27"/>
      <c r="D14" s="32"/>
      <c r="E14" s="32" t="s">
        <v>50</v>
      </c>
      <c r="F14" s="26"/>
      <c r="G14" s="40"/>
      <c r="H14" s="41" t="s">
        <v>55</v>
      </c>
      <c r="I14" s="30"/>
      <c r="J14" s="30"/>
      <c r="K14" s="30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9"/>
      <c r="B15" s="26"/>
      <c r="C15" s="27"/>
      <c r="D15" s="32"/>
      <c r="E15" s="32" t="s">
        <v>50</v>
      </c>
      <c r="F15" s="26"/>
      <c r="G15" s="40"/>
      <c r="H15" s="41" t="s">
        <v>56</v>
      </c>
      <c r="I15" s="30"/>
      <c r="J15" s="30"/>
      <c r="K15" s="30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9"/>
      <c r="B16" s="26"/>
      <c r="C16" s="27"/>
      <c r="D16" s="27"/>
      <c r="E16" s="32" t="s">
        <v>50</v>
      </c>
      <c r="F16" s="26"/>
      <c r="G16" s="26"/>
      <c r="H16" s="41" t="s">
        <v>57</v>
      </c>
      <c r="I16" s="30"/>
      <c r="J16" s="30"/>
      <c r="K16" s="30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9"/>
      <c r="B17" s="26"/>
      <c r="C17" s="27"/>
      <c r="D17" s="32"/>
      <c r="E17" s="32" t="s">
        <v>50</v>
      </c>
      <c r="F17" s="26"/>
      <c r="G17" s="40"/>
      <c r="H17" s="42" t="s">
        <v>58</v>
      </c>
      <c r="I17" s="30"/>
      <c r="J17" s="30"/>
      <c r="K17" s="30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9"/>
      <c r="B18" s="26"/>
      <c r="C18" s="27"/>
      <c r="D18" s="32"/>
      <c r="E18" s="32" t="s">
        <v>50</v>
      </c>
      <c r="F18" s="26"/>
      <c r="G18" s="40"/>
      <c r="H18" s="41" t="s">
        <v>59</v>
      </c>
      <c r="I18" s="30"/>
      <c r="J18" s="30"/>
      <c r="K18" s="30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9"/>
      <c r="B19" s="26"/>
      <c r="C19" s="27"/>
      <c r="D19" s="32"/>
      <c r="E19" s="32" t="s">
        <v>50</v>
      </c>
      <c r="F19" s="26"/>
      <c r="G19" s="40"/>
      <c r="H19" s="41" t="s">
        <v>60</v>
      </c>
      <c r="I19" s="35"/>
      <c r="J19" s="35"/>
      <c r="K19" s="35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9"/>
      <c r="B20" s="26"/>
      <c r="C20" s="43"/>
      <c r="D20" s="32"/>
      <c r="E20" s="32"/>
      <c r="F20" s="26"/>
      <c r="G20" s="26"/>
      <c r="H20" s="44" t="s">
        <v>61</v>
      </c>
      <c r="I20" s="30"/>
      <c r="J20" s="30"/>
      <c r="K20" s="30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9"/>
      <c r="B21" s="26"/>
      <c r="C21" s="27"/>
      <c r="D21" s="32"/>
      <c r="E21" s="32" t="s">
        <v>50</v>
      </c>
      <c r="F21" s="26"/>
      <c r="G21" s="26"/>
      <c r="H21" s="41" t="s">
        <v>62</v>
      </c>
      <c r="I21" s="35"/>
      <c r="J21" s="35"/>
      <c r="K21" s="35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9"/>
      <c r="B22" s="26"/>
      <c r="C22" s="27"/>
      <c r="D22" s="32"/>
      <c r="E22" s="32"/>
      <c r="F22" s="26"/>
      <c r="G22" s="26"/>
      <c r="H22" s="45" t="s">
        <v>63</v>
      </c>
      <c r="I22" s="30"/>
      <c r="J22" s="39">
        <v>1.0</v>
      </c>
      <c r="K22" s="30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9"/>
      <c r="B23" s="26"/>
      <c r="C23" s="27"/>
      <c r="D23" s="27"/>
      <c r="E23" s="32"/>
      <c r="F23" s="26"/>
      <c r="G23" s="38" t="s">
        <v>64</v>
      </c>
      <c r="H23" s="41" t="s">
        <v>65</v>
      </c>
      <c r="I23" s="35"/>
      <c r="J23" s="35"/>
      <c r="K23" s="35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9"/>
      <c r="B24" s="26"/>
      <c r="C24" s="27"/>
      <c r="D24" s="27"/>
      <c r="E24" s="32" t="s">
        <v>66</v>
      </c>
      <c r="F24" s="26"/>
      <c r="G24" s="26"/>
      <c r="H24" s="41" t="s">
        <v>67</v>
      </c>
      <c r="I24" s="30"/>
      <c r="J24" s="30"/>
      <c r="K24" s="30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9"/>
      <c r="B25" s="26"/>
      <c r="C25" s="27"/>
      <c r="D25" s="27"/>
      <c r="E25" s="27"/>
      <c r="F25" s="26"/>
      <c r="G25" s="26"/>
      <c r="H25" s="45" t="s">
        <v>68</v>
      </c>
      <c r="I25" s="35"/>
      <c r="J25" s="39">
        <v>1.0</v>
      </c>
      <c r="K25" s="35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26"/>
      <c r="C26" s="27"/>
      <c r="D26" s="27"/>
      <c r="E26" s="27"/>
      <c r="F26" s="26"/>
      <c r="G26" s="26"/>
      <c r="H26" s="32" t="s">
        <v>69</v>
      </c>
      <c r="I26" s="30"/>
      <c r="J26" s="30"/>
      <c r="K26" s="30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8.75" customHeight="1">
      <c r="A27" s="9"/>
      <c r="B27" s="19"/>
      <c r="C27" s="18"/>
      <c r="D27" s="18"/>
      <c r="E27" s="18"/>
      <c r="F27" s="19"/>
      <c r="G27" s="24">
        <v>2.0</v>
      </c>
      <c r="H27" s="24" t="s">
        <v>70</v>
      </c>
      <c r="I27" s="25"/>
      <c r="J27" s="25"/>
      <c r="K27" s="25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8.75" customHeight="1">
      <c r="A28" s="9"/>
      <c r="B28" s="19"/>
      <c r="C28" s="18"/>
      <c r="D28" s="18"/>
      <c r="E28" s="18"/>
      <c r="F28" s="19"/>
      <c r="G28" s="24">
        <v>3.0</v>
      </c>
      <c r="H28" s="24" t="s">
        <v>71</v>
      </c>
      <c r="I28" s="36"/>
      <c r="J28" s="25"/>
      <c r="K28" s="25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26"/>
      <c r="C29" s="27"/>
      <c r="D29" s="27"/>
      <c r="E29" s="27"/>
      <c r="F29" s="26"/>
      <c r="G29" s="26"/>
      <c r="H29" s="37" t="s">
        <v>61</v>
      </c>
      <c r="I29" s="35"/>
      <c r="J29" s="35"/>
      <c r="K29" s="35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26"/>
      <c r="C30" s="27"/>
      <c r="D30" s="27"/>
      <c r="E30" s="32"/>
      <c r="F30" s="26"/>
      <c r="G30" s="26"/>
      <c r="H30" s="34" t="s">
        <v>52</v>
      </c>
      <c r="I30" s="39">
        <v>0.75</v>
      </c>
      <c r="J30" s="39">
        <v>1.0</v>
      </c>
      <c r="K30" s="35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26"/>
      <c r="C31" s="27"/>
      <c r="D31" s="32" t="s">
        <v>72</v>
      </c>
      <c r="E31" s="32" t="s">
        <v>73</v>
      </c>
      <c r="F31" s="26"/>
      <c r="G31" s="38" t="s">
        <v>74</v>
      </c>
      <c r="H31" s="41" t="s">
        <v>75</v>
      </c>
      <c r="I31" s="35"/>
      <c r="J31" s="35"/>
      <c r="K31" s="35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26"/>
      <c r="C32" s="27"/>
      <c r="D32" s="32" t="s">
        <v>72</v>
      </c>
      <c r="E32" s="32" t="s">
        <v>73</v>
      </c>
      <c r="F32" s="26"/>
      <c r="G32" s="26"/>
      <c r="H32" s="41" t="s">
        <v>76</v>
      </c>
      <c r="I32" s="35"/>
      <c r="J32" s="35"/>
      <c r="K32" s="35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26"/>
      <c r="C33" s="27"/>
      <c r="D33" s="32" t="s">
        <v>72</v>
      </c>
      <c r="E33" s="32" t="s">
        <v>77</v>
      </c>
      <c r="F33" s="26"/>
      <c r="G33" s="38" t="s">
        <v>78</v>
      </c>
      <c r="H33" s="41" t="s">
        <v>79</v>
      </c>
      <c r="I33" s="35"/>
      <c r="J33" s="35"/>
      <c r="K33" s="35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46"/>
      <c r="B34" s="47"/>
      <c r="C34" s="47"/>
      <c r="D34" s="47"/>
      <c r="E34" s="47"/>
      <c r="F34" s="47"/>
      <c r="G34" s="47"/>
      <c r="H34" s="45" t="s">
        <v>80</v>
      </c>
      <c r="I34" s="48"/>
      <c r="J34" s="39">
        <v>1.0</v>
      </c>
      <c r="K34" s="39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>
      <c r="A35" s="9"/>
      <c r="B35" s="26"/>
      <c r="C35" s="27"/>
      <c r="D35" s="27"/>
      <c r="E35" s="27"/>
      <c r="F35" s="26"/>
      <c r="G35" s="26"/>
      <c r="H35" s="37" t="s">
        <v>81</v>
      </c>
      <c r="I35" s="48"/>
      <c r="J35" s="48"/>
      <c r="K35" s="48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26"/>
      <c r="C36" s="27"/>
      <c r="D36" s="32"/>
      <c r="E36" s="32"/>
      <c r="F36" s="26"/>
      <c r="G36" s="38"/>
      <c r="H36" s="45" t="s">
        <v>82</v>
      </c>
      <c r="I36" s="48"/>
      <c r="J36" s="48"/>
      <c r="K36" s="39">
        <v>1.0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26"/>
      <c r="C37" s="27"/>
      <c r="D37" s="32" t="s">
        <v>83</v>
      </c>
      <c r="E37" s="32" t="s">
        <v>84</v>
      </c>
      <c r="F37" s="26"/>
      <c r="G37" s="38" t="s">
        <v>85</v>
      </c>
      <c r="H37" s="41" t="s">
        <v>86</v>
      </c>
      <c r="I37" s="48"/>
      <c r="J37" s="48"/>
      <c r="K37" s="48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26"/>
      <c r="C38" s="27"/>
      <c r="D38" s="32"/>
      <c r="E38" s="32"/>
      <c r="F38" s="26"/>
      <c r="G38" s="26"/>
      <c r="H38" s="45" t="s">
        <v>68</v>
      </c>
      <c r="I38" s="48"/>
      <c r="J38" s="39"/>
      <c r="K38" s="39">
        <v>1.0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49"/>
      <c r="B39" s="50"/>
      <c r="C39" s="50"/>
      <c r="D39" s="50"/>
      <c r="E39" s="50"/>
      <c r="F39" s="50"/>
      <c r="G39" s="51">
        <v>4.0</v>
      </c>
      <c r="H39" s="51" t="s">
        <v>87</v>
      </c>
      <c r="I39" s="52"/>
      <c r="J39" s="52"/>
      <c r="K39" s="52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>
      <c r="A40" s="49"/>
      <c r="B40" s="50"/>
      <c r="C40" s="50"/>
      <c r="D40" s="50"/>
      <c r="E40" s="50"/>
      <c r="F40" s="50"/>
      <c r="G40" s="51">
        <v>5.0</v>
      </c>
      <c r="H40" s="51" t="s">
        <v>88</v>
      </c>
      <c r="I40" s="52"/>
      <c r="J40" s="52"/>
      <c r="K40" s="52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>
      <c r="A41" s="9"/>
      <c r="B41" s="9"/>
      <c r="C41" s="10"/>
      <c r="D41" s="10"/>
      <c r="E41" s="10"/>
      <c r="F41" s="9"/>
      <c r="G41" s="9"/>
      <c r="H41" s="46"/>
      <c r="I41" s="53">
        <f>SUM(I8:I40)</f>
        <v>1.75</v>
      </c>
      <c r="J41" s="53">
        <f>SUM(J9:J40)</f>
        <v>5</v>
      </c>
      <c r="K41" s="54">
        <v>2.0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10"/>
      <c r="D42" s="10"/>
      <c r="E42" s="10"/>
      <c r="F42" s="9"/>
      <c r="G42" s="9"/>
      <c r="H42" s="55" t="s">
        <v>89</v>
      </c>
      <c r="I42" s="56">
        <v>0.75</v>
      </c>
      <c r="J42" s="56">
        <v>4.0</v>
      </c>
      <c r="K42" s="5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10"/>
      <c r="D43" s="10"/>
      <c r="E43" s="10"/>
      <c r="F43" s="9"/>
      <c r="G43" s="9"/>
      <c r="H43" s="58" t="s">
        <v>90</v>
      </c>
      <c r="I43" s="53">
        <f t="shared" ref="I43:K43" si="1">I41-I42</f>
        <v>1</v>
      </c>
      <c r="J43" s="53">
        <f t="shared" si="1"/>
        <v>1</v>
      </c>
      <c r="K43" s="53">
        <f t="shared" si="1"/>
        <v>2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10"/>
      <c r="D44" s="10"/>
      <c r="E44" s="10"/>
      <c r="F44" s="9"/>
      <c r="G44" s="9"/>
      <c r="H44" s="46"/>
      <c r="I44" s="53"/>
      <c r="J44" s="53"/>
      <c r="K44" s="53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10"/>
      <c r="D45" s="10"/>
      <c r="E45" s="10"/>
      <c r="F45" s="9"/>
      <c r="G45" s="9"/>
      <c r="H45" s="9"/>
      <c r="I45" s="53"/>
      <c r="J45" s="53"/>
      <c r="K45" s="53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10"/>
      <c r="D46" s="10"/>
      <c r="E46" s="10"/>
      <c r="F46" s="9"/>
      <c r="G46" s="9"/>
      <c r="H46" s="9"/>
      <c r="I46" s="53"/>
      <c r="J46" s="53"/>
      <c r="K46" s="53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10"/>
      <c r="D47" s="10"/>
      <c r="E47" s="10"/>
      <c r="F47" s="9"/>
      <c r="G47" s="9"/>
      <c r="H47" s="9"/>
      <c r="I47" s="11"/>
      <c r="J47" s="11"/>
      <c r="K47" s="11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10"/>
      <c r="D48" s="10"/>
      <c r="E48" s="10"/>
      <c r="F48" s="9"/>
      <c r="G48" s="9"/>
      <c r="H48" s="41" t="s">
        <v>91</v>
      </c>
      <c r="I48" s="11"/>
      <c r="J48" s="11"/>
      <c r="K48" s="11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10"/>
      <c r="D49" s="10"/>
      <c r="E49" s="10"/>
      <c r="F49" s="9"/>
      <c r="G49" s="9"/>
      <c r="H49" s="41" t="s">
        <v>92</v>
      </c>
      <c r="I49" s="11"/>
      <c r="J49" s="11"/>
      <c r="K49" s="11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6.25"/>
    <col customWidth="1" min="3" max="4" width="18.88"/>
    <col customWidth="1" min="5" max="5" width="40.38"/>
    <col customWidth="1" min="6" max="6" width="16.38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32.0"/>
    <col customWidth="1" min="19" max="19" width="30.63"/>
    <col customWidth="1" min="20" max="30" width="14.63"/>
  </cols>
  <sheetData>
    <row r="1" ht="15.75" customHeight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60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</row>
    <row r="2">
      <c r="A2" s="59"/>
      <c r="B2" s="59"/>
      <c r="C2" s="59"/>
      <c r="D2" s="59"/>
      <c r="E2" s="59"/>
      <c r="F2" s="59"/>
      <c r="G2" s="59"/>
      <c r="H2" s="59"/>
      <c r="I2" s="59"/>
      <c r="J2" s="59"/>
      <c r="K2" s="61" t="s">
        <v>93</v>
      </c>
      <c r="L2" s="62"/>
      <c r="M2" s="60"/>
      <c r="N2" s="59"/>
      <c r="O2" s="62" t="s">
        <v>94</v>
      </c>
      <c r="P2" s="59"/>
      <c r="Q2" s="59"/>
      <c r="R2" s="59"/>
      <c r="S2" s="63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</row>
    <row r="3">
      <c r="A3" s="59"/>
      <c r="B3" s="64" t="s">
        <v>95</v>
      </c>
      <c r="C3" s="64" t="s">
        <v>96</v>
      </c>
      <c r="D3" s="64" t="s">
        <v>97</v>
      </c>
      <c r="E3" s="13" t="s">
        <v>98</v>
      </c>
      <c r="F3" s="13" t="s">
        <v>34</v>
      </c>
      <c r="G3" s="13" t="s">
        <v>99</v>
      </c>
      <c r="H3" s="64" t="s">
        <v>100</v>
      </c>
      <c r="I3" s="64" t="s">
        <v>101</v>
      </c>
      <c r="J3" s="65"/>
      <c r="K3" s="66" t="s">
        <v>102</v>
      </c>
      <c r="L3" s="14" t="s">
        <v>103</v>
      </c>
      <c r="M3" s="14" t="s">
        <v>104</v>
      </c>
      <c r="N3" s="59"/>
      <c r="O3" s="67" t="s">
        <v>105</v>
      </c>
      <c r="P3" s="68"/>
      <c r="Q3" s="68"/>
      <c r="R3" s="69"/>
      <c r="S3" s="70"/>
      <c r="T3" s="69"/>
      <c r="U3" s="59"/>
      <c r="V3" s="59"/>
      <c r="W3" s="59"/>
      <c r="X3" s="59"/>
      <c r="Y3" s="59"/>
      <c r="Z3" s="59"/>
      <c r="AA3" s="59"/>
      <c r="AB3" s="59"/>
      <c r="AC3" s="59"/>
      <c r="AD3" s="59"/>
    </row>
    <row r="4" ht="28.5" customHeight="1">
      <c r="A4" s="59"/>
      <c r="B4" s="71"/>
      <c r="C4" s="71"/>
      <c r="D4" s="71"/>
      <c r="E4" s="71"/>
      <c r="F4" s="71"/>
      <c r="G4" s="71"/>
      <c r="H4" s="71"/>
      <c r="I4" s="71"/>
      <c r="J4" s="59"/>
      <c r="K4" s="72"/>
      <c r="L4" s="72"/>
      <c r="M4" s="72"/>
      <c r="N4" s="65"/>
      <c r="O4" s="73" t="s">
        <v>106</v>
      </c>
      <c r="P4" s="74" t="s">
        <v>107</v>
      </c>
      <c r="Q4" s="74" t="s">
        <v>108</v>
      </c>
      <c r="R4" s="74" t="s">
        <v>109</v>
      </c>
      <c r="S4" s="74" t="s">
        <v>110</v>
      </c>
      <c r="T4" s="74" t="s">
        <v>111</v>
      </c>
      <c r="U4" s="59"/>
      <c r="V4" s="59"/>
      <c r="W4" s="59"/>
      <c r="X4" s="59"/>
      <c r="Y4" s="59"/>
      <c r="Z4" s="59"/>
      <c r="AA4" s="59"/>
      <c r="AB4" s="59"/>
      <c r="AC4" s="59"/>
      <c r="AD4" s="59"/>
    </row>
    <row r="5" ht="35.25" customHeight="1">
      <c r="A5" s="59"/>
      <c r="B5" s="75" t="s">
        <v>112</v>
      </c>
      <c r="C5" s="75" t="s">
        <v>113</v>
      </c>
      <c r="D5" s="75" t="s">
        <v>114</v>
      </c>
      <c r="E5" s="76" t="s">
        <v>115</v>
      </c>
      <c r="F5" s="76" t="s">
        <v>116</v>
      </c>
      <c r="G5" s="76">
        <v>1.0</v>
      </c>
      <c r="H5" s="76">
        <v>61.0</v>
      </c>
      <c r="I5" s="76">
        <v>61.0</v>
      </c>
      <c r="J5" s="77"/>
      <c r="K5" s="78">
        <v>180000.0</v>
      </c>
      <c r="L5" s="79">
        <f>K5*4%</f>
        <v>7200</v>
      </c>
      <c r="M5" s="79">
        <f>K5-L5</f>
        <v>172800</v>
      </c>
      <c r="N5" s="77"/>
      <c r="O5" s="80" t="s">
        <v>117</v>
      </c>
      <c r="P5" s="81">
        <v>46178.0</v>
      </c>
      <c r="Q5" s="82">
        <v>172800.0</v>
      </c>
      <c r="R5" s="83" t="s">
        <v>118</v>
      </c>
      <c r="S5" s="83" t="s">
        <v>119</v>
      </c>
      <c r="T5" s="77"/>
      <c r="U5" s="77"/>
      <c r="V5" s="77"/>
      <c r="W5" s="77"/>
      <c r="X5" s="77"/>
      <c r="Y5" s="59"/>
      <c r="Z5" s="59"/>
      <c r="AA5" s="59"/>
      <c r="AB5" s="59"/>
      <c r="AC5" s="59"/>
      <c r="AD5" s="59"/>
    </row>
    <row r="6" ht="26.25" customHeight="1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</row>
    <row r="7" ht="26.25" customHeight="1">
      <c r="A7" s="59"/>
      <c r="B7" s="59"/>
      <c r="C7" s="59"/>
      <c r="D7" s="59"/>
      <c r="E7" s="84"/>
      <c r="F7" s="84"/>
      <c r="G7" s="84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</row>
    <row r="8" ht="15.75" customHeight="1">
      <c r="A8" s="59"/>
      <c r="B8" s="59"/>
      <c r="C8" s="59"/>
      <c r="D8" s="59"/>
      <c r="E8" s="84"/>
      <c r="F8" s="84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</row>
    <row r="9" ht="15.75" customHeight="1">
      <c r="A9" s="59"/>
      <c r="B9" s="59"/>
      <c r="C9" s="59"/>
      <c r="D9" s="59"/>
      <c r="E9" s="84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</row>
    <row r="10" ht="15.75" customHeight="1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</row>
    <row r="11" ht="15.75" customHeight="1">
      <c r="A11" s="59"/>
      <c r="B11" s="59"/>
      <c r="C11" s="59"/>
      <c r="D11" s="59"/>
      <c r="E11" s="84"/>
      <c r="F11" s="85"/>
      <c r="G11" s="84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</row>
    <row r="12" ht="15.75" customHeight="1">
      <c r="A12" s="59"/>
      <c r="B12" s="59"/>
      <c r="C12" s="59"/>
      <c r="D12" s="59"/>
      <c r="E12" s="84"/>
      <c r="F12" s="84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</row>
    <row r="13" ht="15.75" customHeight="1">
      <c r="A13" s="59"/>
      <c r="B13" s="59"/>
      <c r="C13" s="59"/>
      <c r="D13" s="59"/>
      <c r="E13" s="84"/>
      <c r="F13" s="84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</row>
    <row r="14" ht="15.75" customHeight="1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</row>
    <row r="15" ht="15.75" customHeight="1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</row>
    <row r="16" ht="15.75" customHeight="1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</row>
    <row r="17" ht="15.75" customHeight="1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</row>
    <row r="18" ht="15.75" customHeight="1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</row>
    <row r="19" ht="15.75" customHeight="1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</row>
    <row r="20" ht="15.75" customHeight="1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</row>
    <row r="21" ht="15.75" customHeight="1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</row>
    <row r="22" ht="15.75" customHeight="1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</row>
    <row r="23" ht="15.75" customHeight="1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</row>
    <row r="24" ht="15.75" customHeight="1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</row>
    <row r="25" ht="15.75" customHeight="1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</row>
    <row r="26" ht="15.75" customHeight="1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</row>
    <row r="27" ht="15.75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</row>
    <row r="28" ht="25.5" customHeight="1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</row>
    <row r="29" ht="26.25" customHeight="1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</row>
    <row r="30" ht="15.75" customHeight="1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</row>
    <row r="31" ht="15.75" customHeight="1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</row>
    <row r="32" ht="15.75" customHeight="1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</row>
    <row r="33" ht="15.75" customHeight="1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</row>
    <row r="34" ht="15.75" customHeight="1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</row>
    <row r="35" ht="15.75" customHeight="1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</row>
    <row r="36" ht="15.75" customHeight="1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</row>
    <row r="37" ht="28.5" customHeight="1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</row>
    <row r="38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</row>
    <row r="39" ht="15.75" customHeight="1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</row>
    <row r="40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</row>
    <row r="41" ht="15.75" customHeight="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</row>
    <row r="42" ht="15.75" customHeight="1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</row>
    <row r="43" ht="15.75" customHeight="1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</row>
    <row r="44" ht="15.75" customHeight="1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</row>
    <row r="45" ht="15.75" customHeight="1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</row>
    <row r="46" ht="15.75" customHeight="1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</row>
    <row r="47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</row>
    <row r="48" ht="27.0" customHeight="1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</row>
    <row r="49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</row>
    <row r="50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</row>
    <row r="5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</row>
    <row r="52" ht="15.75" customHeight="1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</row>
    <row r="5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</row>
    <row r="54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</row>
    <row r="55" ht="15.0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</row>
    <row r="56" ht="15.0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</row>
    <row r="57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</row>
    <row r="58" ht="37.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</row>
    <row r="59" ht="38.2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</row>
  </sheetData>
  <mergeCells count="1"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8.13"/>
    <col customWidth="1" min="5" max="5" width="56.13"/>
    <col customWidth="1" min="10" max="10" width="3.5"/>
    <col customWidth="1" min="14" max="14" width="3.75"/>
  </cols>
  <sheetData>
    <row r="1">
      <c r="A1" s="86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86"/>
      <c r="O1" s="88" t="s">
        <v>94</v>
      </c>
      <c r="P1" s="86"/>
      <c r="Q1" s="86"/>
      <c r="R1" s="86"/>
      <c r="S1" s="89"/>
      <c r="T1" s="86"/>
      <c r="U1" s="86"/>
      <c r="V1" s="86"/>
      <c r="W1" s="86"/>
      <c r="X1" s="86"/>
      <c r="Y1" s="86"/>
      <c r="Z1" s="86"/>
      <c r="AA1" s="86"/>
      <c r="AB1" s="86"/>
      <c r="AC1" s="86"/>
      <c r="AD1" s="86"/>
    </row>
    <row r="2">
      <c r="A2" s="86"/>
      <c r="B2" s="86"/>
      <c r="C2" s="86"/>
      <c r="D2" s="86"/>
      <c r="E2" s="86"/>
      <c r="F2" s="86"/>
      <c r="G2" s="86"/>
      <c r="H2" s="86"/>
      <c r="I2" s="86"/>
      <c r="J2" s="86"/>
      <c r="K2" s="90" t="s">
        <v>93</v>
      </c>
      <c r="L2" s="91"/>
      <c r="M2" s="87"/>
      <c r="N2" s="86"/>
      <c r="O2" s="92" t="s">
        <v>105</v>
      </c>
      <c r="P2" s="68"/>
      <c r="Q2" s="68"/>
      <c r="R2" s="93"/>
      <c r="S2" s="94"/>
      <c r="T2" s="93"/>
      <c r="U2" s="86"/>
      <c r="V2" s="86"/>
      <c r="W2" s="86"/>
      <c r="X2" s="86"/>
      <c r="Y2" s="86"/>
      <c r="Z2" s="86"/>
      <c r="AA2" s="86"/>
      <c r="AB2" s="86"/>
      <c r="AC2" s="86"/>
      <c r="AD2" s="86"/>
    </row>
    <row r="3">
      <c r="A3" s="86"/>
      <c r="B3" s="95" t="s">
        <v>120</v>
      </c>
      <c r="C3" s="95" t="s">
        <v>121</v>
      </c>
      <c r="D3" s="95" t="s">
        <v>122</v>
      </c>
      <c r="E3" s="95" t="s">
        <v>98</v>
      </c>
      <c r="F3" s="95" t="s">
        <v>34</v>
      </c>
      <c r="G3" s="95" t="s">
        <v>99</v>
      </c>
      <c r="H3" s="96" t="s">
        <v>100</v>
      </c>
      <c r="I3" s="96" t="s">
        <v>101</v>
      </c>
      <c r="J3" s="97"/>
      <c r="K3" s="98" t="s">
        <v>102</v>
      </c>
      <c r="L3" s="95" t="s">
        <v>103</v>
      </c>
      <c r="M3" s="95" t="s">
        <v>104</v>
      </c>
      <c r="N3" s="86"/>
      <c r="O3" s="99" t="s">
        <v>106</v>
      </c>
      <c r="P3" s="100" t="s">
        <v>107</v>
      </c>
      <c r="Q3" s="100" t="s">
        <v>108</v>
      </c>
      <c r="R3" s="100" t="s">
        <v>109</v>
      </c>
      <c r="S3" s="100" t="s">
        <v>110</v>
      </c>
      <c r="T3" s="100" t="s">
        <v>111</v>
      </c>
      <c r="U3" s="86"/>
      <c r="V3" s="86"/>
      <c r="W3" s="86"/>
      <c r="X3" s="86"/>
      <c r="Y3" s="86"/>
      <c r="Z3" s="86"/>
      <c r="AA3" s="86"/>
      <c r="AB3" s="86"/>
      <c r="AC3" s="86"/>
      <c r="AD3" s="86"/>
    </row>
    <row r="4" ht="16.5" customHeight="1">
      <c r="A4" s="86"/>
      <c r="B4" s="101"/>
      <c r="C4" s="101"/>
      <c r="D4" s="101"/>
      <c r="E4" s="101"/>
      <c r="F4" s="101"/>
      <c r="G4" s="101"/>
      <c r="H4" s="101"/>
      <c r="I4" s="101"/>
      <c r="J4" s="86"/>
      <c r="K4" s="102"/>
      <c r="L4" s="102"/>
      <c r="M4" s="102"/>
      <c r="N4" s="97"/>
      <c r="U4" s="86"/>
      <c r="V4" s="86"/>
      <c r="W4" s="86"/>
      <c r="X4" s="86"/>
      <c r="Y4" s="86"/>
      <c r="Z4" s="86"/>
      <c r="AA4" s="86"/>
      <c r="AB4" s="86"/>
      <c r="AC4" s="86"/>
      <c r="AD4" s="86"/>
    </row>
    <row r="5">
      <c r="A5" s="86"/>
      <c r="B5" s="86"/>
      <c r="C5" s="86"/>
      <c r="D5" s="86"/>
      <c r="E5" s="103" t="s">
        <v>123</v>
      </c>
      <c r="F5" s="104"/>
      <c r="G5" s="103"/>
      <c r="H5" s="103"/>
      <c r="I5" s="103"/>
      <c r="J5" s="86"/>
      <c r="K5" s="105"/>
      <c r="L5" s="105"/>
      <c r="M5" s="10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</row>
    <row r="6">
      <c r="A6" s="86"/>
      <c r="B6" s="86"/>
      <c r="C6" s="86"/>
      <c r="D6" s="86"/>
      <c r="E6" s="106" t="s">
        <v>124</v>
      </c>
      <c r="F6" s="106"/>
      <c r="G6" s="107"/>
      <c r="H6" s="107"/>
      <c r="I6" s="107"/>
      <c r="J6" s="86"/>
      <c r="K6" s="105"/>
      <c r="L6" s="105"/>
      <c r="M6" s="10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</row>
    <row r="7">
      <c r="A7" s="86"/>
      <c r="B7" s="86"/>
      <c r="C7" s="86"/>
      <c r="D7" s="86"/>
      <c r="E7" s="106" t="s">
        <v>125</v>
      </c>
      <c r="F7" s="106"/>
      <c r="G7" s="107"/>
      <c r="H7" s="107"/>
      <c r="I7" s="107"/>
      <c r="J7" s="86"/>
      <c r="K7" s="105"/>
      <c r="L7" s="105"/>
      <c r="M7" s="10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</row>
    <row r="8">
      <c r="A8" s="86"/>
      <c r="B8" s="86"/>
      <c r="C8" s="86"/>
      <c r="D8" s="86"/>
      <c r="E8" s="108" t="s">
        <v>126</v>
      </c>
      <c r="F8" s="106"/>
      <c r="G8" s="107"/>
      <c r="H8" s="107"/>
      <c r="I8" s="107"/>
      <c r="J8" s="86"/>
      <c r="K8" s="105"/>
      <c r="L8" s="105"/>
      <c r="M8" s="10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</row>
    <row r="9">
      <c r="A9" s="86"/>
      <c r="B9" s="86"/>
      <c r="C9" s="86"/>
      <c r="D9" s="86"/>
      <c r="E9" s="109" t="s">
        <v>127</v>
      </c>
      <c r="F9" s="106"/>
      <c r="G9" s="107"/>
      <c r="H9" s="107"/>
      <c r="I9" s="107"/>
      <c r="J9" s="86"/>
      <c r="K9" s="105"/>
      <c r="L9" s="105"/>
      <c r="M9" s="10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</row>
    <row r="10">
      <c r="A10" s="86"/>
      <c r="B10" s="86"/>
      <c r="C10" s="86"/>
      <c r="D10" s="86"/>
      <c r="E10" s="106" t="s">
        <v>128</v>
      </c>
      <c r="F10" s="106"/>
      <c r="G10" s="107"/>
      <c r="H10" s="107"/>
      <c r="I10" s="107"/>
      <c r="J10" s="86"/>
      <c r="K10" s="105"/>
      <c r="L10" s="105"/>
      <c r="M10" s="10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</row>
    <row r="11">
      <c r="A11" s="86"/>
      <c r="B11" s="86"/>
      <c r="C11" s="86"/>
      <c r="D11" s="86"/>
      <c r="E11" s="106" t="s">
        <v>129</v>
      </c>
      <c r="F11" s="106"/>
      <c r="G11" s="107"/>
      <c r="H11" s="107"/>
      <c r="I11" s="107"/>
      <c r="J11" s="86"/>
      <c r="K11" s="105"/>
      <c r="L11" s="105"/>
      <c r="M11" s="10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</row>
    <row r="12">
      <c r="A12" s="86"/>
      <c r="B12" s="86"/>
      <c r="C12" s="86"/>
      <c r="D12" s="86"/>
      <c r="E12" s="110" t="s">
        <v>130</v>
      </c>
      <c r="F12" s="111"/>
      <c r="G12" s="111"/>
      <c r="H12" s="111"/>
      <c r="I12" s="111"/>
      <c r="J12" s="86"/>
      <c r="K12" s="105"/>
      <c r="L12" s="105"/>
      <c r="M12" s="10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</row>
    <row r="13">
      <c r="A13" s="86"/>
      <c r="B13" s="86"/>
      <c r="C13" s="86"/>
      <c r="D13" s="86"/>
      <c r="E13" s="106" t="s">
        <v>131</v>
      </c>
      <c r="F13" s="106"/>
      <c r="G13" s="107"/>
      <c r="H13" s="107"/>
      <c r="I13" s="107"/>
      <c r="J13" s="86"/>
      <c r="K13" s="105"/>
      <c r="L13" s="105"/>
      <c r="M13" s="10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</row>
    <row r="14">
      <c r="A14" s="86"/>
      <c r="B14" s="86"/>
      <c r="C14" s="86"/>
      <c r="D14" s="86"/>
      <c r="E14" s="106" t="s">
        <v>132</v>
      </c>
      <c r="F14" s="106"/>
      <c r="G14" s="107"/>
      <c r="H14" s="107"/>
      <c r="I14" s="107"/>
      <c r="J14" s="86"/>
      <c r="K14" s="105"/>
      <c r="L14" s="105"/>
      <c r="M14" s="10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</row>
    <row r="15">
      <c r="A15" s="86"/>
      <c r="B15" s="86"/>
      <c r="C15" s="86"/>
      <c r="D15" s="86"/>
      <c r="E15" s="106" t="s">
        <v>133</v>
      </c>
      <c r="F15" s="106"/>
      <c r="G15" s="107"/>
      <c r="H15" s="107"/>
      <c r="I15" s="107"/>
      <c r="J15" s="86"/>
      <c r="K15" s="105"/>
      <c r="L15" s="105"/>
      <c r="M15" s="10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</row>
    <row r="16">
      <c r="A16" s="86"/>
      <c r="B16" s="86"/>
      <c r="C16" s="86"/>
      <c r="D16" s="86"/>
      <c r="E16" s="106" t="s">
        <v>134</v>
      </c>
      <c r="F16" s="106"/>
      <c r="G16" s="107"/>
      <c r="H16" s="107"/>
      <c r="I16" s="107"/>
      <c r="J16" s="86"/>
      <c r="K16" s="105"/>
      <c r="L16" s="105"/>
      <c r="M16" s="10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</row>
    <row r="17">
      <c r="A17" s="86"/>
      <c r="B17" s="86"/>
      <c r="C17" s="86"/>
      <c r="D17" s="86"/>
      <c r="E17" s="106" t="s">
        <v>135</v>
      </c>
      <c r="F17" s="106"/>
      <c r="G17" s="107"/>
      <c r="H17" s="107"/>
      <c r="I17" s="107"/>
      <c r="J17" s="86"/>
      <c r="K17" s="105"/>
      <c r="L17" s="105"/>
      <c r="M17" s="10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</row>
    <row r="18">
      <c r="A18" s="86"/>
      <c r="B18" s="86"/>
      <c r="C18" s="86"/>
      <c r="D18" s="86"/>
      <c r="E18" s="110" t="s">
        <v>136</v>
      </c>
      <c r="F18" s="111"/>
      <c r="G18" s="111"/>
      <c r="H18" s="111"/>
      <c r="I18" s="111"/>
      <c r="J18" s="86"/>
      <c r="K18" s="105"/>
      <c r="L18" s="105"/>
      <c r="M18" s="10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</row>
    <row r="19">
      <c r="A19" s="86"/>
      <c r="B19" s="86"/>
      <c r="C19" s="86"/>
      <c r="D19" s="86"/>
      <c r="E19" s="106" t="s">
        <v>137</v>
      </c>
      <c r="F19" s="106"/>
      <c r="G19" s="107"/>
      <c r="H19" s="107"/>
      <c r="I19" s="107"/>
      <c r="J19" s="86" t="s">
        <v>138</v>
      </c>
      <c r="K19" s="105"/>
      <c r="L19" s="105"/>
      <c r="M19" s="10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</row>
    <row r="20">
      <c r="A20" s="86"/>
      <c r="B20" s="86"/>
      <c r="C20" s="86"/>
      <c r="D20" s="86"/>
      <c r="E20" s="106" t="s">
        <v>139</v>
      </c>
      <c r="F20" s="106"/>
      <c r="G20" s="107"/>
      <c r="H20" s="107"/>
      <c r="I20" s="107"/>
      <c r="J20" s="86"/>
      <c r="K20" s="105"/>
      <c r="L20" s="105"/>
      <c r="M20" s="10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</row>
    <row r="21">
      <c r="A21" s="86"/>
      <c r="B21" s="86"/>
      <c r="C21" s="86"/>
      <c r="D21" s="86"/>
      <c r="E21" s="110" t="s">
        <v>140</v>
      </c>
      <c r="F21" s="111"/>
      <c r="G21" s="111"/>
      <c r="H21" s="111"/>
      <c r="I21" s="111"/>
      <c r="J21" s="86"/>
      <c r="K21" s="105"/>
      <c r="L21" s="105"/>
      <c r="M21" s="10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</row>
    <row r="22">
      <c r="A22" s="86"/>
      <c r="B22" s="86"/>
      <c r="C22" s="86"/>
      <c r="D22" s="86"/>
      <c r="E22" s="106" t="s">
        <v>141</v>
      </c>
      <c r="F22" s="106"/>
      <c r="G22" s="107"/>
      <c r="H22" s="107"/>
      <c r="I22" s="107"/>
      <c r="J22" s="86"/>
      <c r="K22" s="105"/>
      <c r="L22" s="105"/>
      <c r="M22" s="10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</row>
    <row r="23">
      <c r="A23" s="86"/>
      <c r="B23" s="86"/>
      <c r="C23" s="86"/>
      <c r="D23" s="86"/>
      <c r="E23" s="106" t="s">
        <v>142</v>
      </c>
      <c r="F23" s="106"/>
      <c r="G23" s="107"/>
      <c r="H23" s="107"/>
      <c r="I23" s="107"/>
      <c r="J23" s="86"/>
      <c r="K23" s="105"/>
      <c r="L23" s="105"/>
      <c r="M23" s="10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</row>
    <row r="24">
      <c r="A24" s="86"/>
      <c r="B24" s="86"/>
      <c r="C24" s="86"/>
      <c r="D24" s="86"/>
      <c r="E24" s="110" t="s">
        <v>143</v>
      </c>
      <c r="F24" s="111"/>
      <c r="G24" s="111"/>
      <c r="H24" s="111"/>
      <c r="I24" s="111"/>
      <c r="J24" s="86"/>
      <c r="K24" s="105"/>
      <c r="L24" s="105"/>
      <c r="M24" s="10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</row>
    <row r="25">
      <c r="A25" s="86"/>
      <c r="B25" s="86"/>
      <c r="C25" s="86"/>
      <c r="D25" s="86"/>
      <c r="E25" s="106" t="s">
        <v>144</v>
      </c>
      <c r="F25" s="106"/>
      <c r="G25" s="107"/>
      <c r="H25" s="107"/>
      <c r="I25" s="107"/>
      <c r="J25" s="86"/>
      <c r="K25" s="105"/>
      <c r="L25" s="105"/>
      <c r="M25" s="10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</row>
    <row r="26">
      <c r="A26" s="86"/>
      <c r="B26" s="86"/>
      <c r="C26" s="86"/>
      <c r="D26" s="86"/>
      <c r="E26" s="106" t="s">
        <v>145</v>
      </c>
      <c r="F26" s="106"/>
      <c r="G26" s="107"/>
      <c r="H26" s="107"/>
      <c r="I26" s="107"/>
      <c r="J26" s="86"/>
      <c r="K26" s="105"/>
      <c r="L26" s="105"/>
      <c r="M26" s="10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</row>
    <row r="27">
      <c r="A27" s="86"/>
      <c r="B27" s="86"/>
      <c r="C27" s="86"/>
      <c r="D27" s="86"/>
      <c r="E27" s="110" t="s">
        <v>146</v>
      </c>
      <c r="F27" s="111"/>
      <c r="G27" s="111"/>
      <c r="H27" s="111"/>
      <c r="I27" s="111"/>
      <c r="J27" s="86"/>
      <c r="K27" s="105"/>
      <c r="L27" s="105"/>
      <c r="M27" s="10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</row>
    <row r="28">
      <c r="A28" s="86"/>
      <c r="B28" s="86"/>
      <c r="C28" s="86"/>
      <c r="D28" s="86"/>
      <c r="E28" s="106" t="s">
        <v>147</v>
      </c>
      <c r="F28" s="106"/>
      <c r="G28" s="107"/>
      <c r="H28" s="107"/>
      <c r="I28" s="107"/>
      <c r="J28" s="86"/>
      <c r="K28" s="105"/>
      <c r="L28" s="105"/>
      <c r="M28" s="10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</row>
    <row r="29">
      <c r="A29" s="86"/>
      <c r="B29" s="86"/>
      <c r="C29" s="86"/>
      <c r="D29" s="86"/>
      <c r="E29" s="106" t="s">
        <v>148</v>
      </c>
      <c r="F29" s="106"/>
      <c r="G29" s="107"/>
      <c r="H29" s="107"/>
      <c r="I29" s="107"/>
      <c r="J29" s="86"/>
      <c r="K29" s="105"/>
      <c r="L29" s="105"/>
      <c r="M29" s="10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</row>
    <row r="30">
      <c r="A30" s="86"/>
      <c r="B30" s="86"/>
      <c r="C30" s="86"/>
      <c r="D30" s="86"/>
      <c r="E30" s="106" t="s">
        <v>149</v>
      </c>
      <c r="F30" s="106"/>
      <c r="G30" s="107"/>
      <c r="H30" s="107"/>
      <c r="I30" s="107"/>
      <c r="J30" s="86"/>
      <c r="K30" s="105"/>
      <c r="L30" s="105"/>
      <c r="M30" s="10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</row>
    <row r="31">
      <c r="A31" s="86"/>
      <c r="B31" s="86"/>
      <c r="C31" s="86"/>
      <c r="D31" s="86"/>
      <c r="E31" s="106" t="s">
        <v>150</v>
      </c>
      <c r="F31" s="106"/>
      <c r="G31" s="107"/>
      <c r="H31" s="107"/>
      <c r="I31" s="107"/>
      <c r="J31" s="86"/>
      <c r="K31" s="105"/>
      <c r="L31" s="105"/>
      <c r="M31" s="10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</row>
    <row r="32">
      <c r="A32" s="86"/>
      <c r="B32" s="86"/>
      <c r="C32" s="86"/>
      <c r="D32" s="86"/>
      <c r="E32" s="110" t="s">
        <v>151</v>
      </c>
      <c r="F32" s="111"/>
      <c r="G32" s="111"/>
      <c r="H32" s="111"/>
      <c r="I32" s="111"/>
      <c r="J32" s="86"/>
      <c r="K32" s="105"/>
      <c r="L32" s="105"/>
      <c r="M32" s="10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</row>
    <row r="33">
      <c r="A33" s="86"/>
      <c r="B33" s="86"/>
      <c r="C33" s="86"/>
      <c r="D33" s="86"/>
      <c r="E33" s="106" t="s">
        <v>152</v>
      </c>
      <c r="F33" s="106"/>
      <c r="G33" s="107"/>
      <c r="H33" s="107"/>
      <c r="I33" s="107"/>
      <c r="J33" s="86"/>
      <c r="K33" s="105"/>
      <c r="L33" s="105"/>
      <c r="M33" s="10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</row>
    <row r="34">
      <c r="A34" s="86"/>
      <c r="B34" s="86"/>
      <c r="C34" s="86"/>
      <c r="D34" s="86"/>
      <c r="E34" s="106" t="s">
        <v>153</v>
      </c>
      <c r="F34" s="106"/>
      <c r="G34" s="107"/>
      <c r="H34" s="107"/>
      <c r="I34" s="107"/>
      <c r="J34" s="86"/>
      <c r="K34" s="105"/>
      <c r="L34" s="105"/>
      <c r="M34" s="10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</row>
    <row r="35">
      <c r="A35" s="86"/>
      <c r="B35" s="86"/>
      <c r="C35" s="86"/>
      <c r="D35" s="86"/>
      <c r="E35" s="110" t="s">
        <v>154</v>
      </c>
      <c r="F35" s="111"/>
      <c r="G35" s="111"/>
      <c r="H35" s="111"/>
      <c r="I35" s="111"/>
      <c r="J35" s="86"/>
      <c r="K35" s="105"/>
      <c r="L35" s="105"/>
      <c r="M35" s="10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</row>
    <row r="36">
      <c r="A36" s="86"/>
      <c r="B36" s="86"/>
      <c r="C36" s="86"/>
      <c r="D36" s="86"/>
      <c r="E36" s="112" t="s">
        <v>155</v>
      </c>
      <c r="F36" s="106"/>
      <c r="G36" s="106"/>
      <c r="H36" s="107"/>
      <c r="I36" s="113"/>
      <c r="J36" s="86"/>
      <c r="K36" s="105"/>
      <c r="L36" s="105"/>
      <c r="M36" s="10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</row>
    <row r="37">
      <c r="A37" s="86"/>
      <c r="B37" s="86"/>
      <c r="C37" s="86"/>
      <c r="D37" s="86"/>
      <c r="E37" s="112" t="s">
        <v>156</v>
      </c>
      <c r="F37" s="106"/>
      <c r="G37" s="106"/>
      <c r="H37" s="107"/>
      <c r="I37" s="113"/>
      <c r="J37" s="86"/>
      <c r="K37" s="105"/>
      <c r="L37" s="105"/>
      <c r="M37" s="10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</row>
    <row r="38">
      <c r="A38" s="86"/>
      <c r="B38" s="86"/>
      <c r="C38" s="86"/>
      <c r="D38" s="86"/>
      <c r="E38" s="109" t="s">
        <v>157</v>
      </c>
      <c r="F38" s="106"/>
      <c r="G38" s="106"/>
      <c r="H38" s="107"/>
      <c r="I38" s="113"/>
      <c r="J38" s="86"/>
      <c r="K38" s="105"/>
      <c r="L38" s="105"/>
      <c r="M38" s="10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</row>
    <row r="39">
      <c r="A39" s="86"/>
      <c r="B39" s="86"/>
      <c r="C39" s="86"/>
      <c r="D39" s="86"/>
      <c r="E39" s="112" t="s">
        <v>158</v>
      </c>
      <c r="F39" s="106"/>
      <c r="G39" s="106"/>
      <c r="H39" s="107"/>
      <c r="I39" s="113"/>
      <c r="J39" s="86"/>
      <c r="K39" s="105"/>
      <c r="L39" s="105"/>
      <c r="M39" s="10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</row>
    <row r="40">
      <c r="A40" s="86"/>
      <c r="B40" s="86"/>
      <c r="C40" s="86"/>
      <c r="D40" s="86"/>
      <c r="E40" s="112" t="s">
        <v>159</v>
      </c>
      <c r="F40" s="106"/>
      <c r="G40" s="106"/>
      <c r="H40" s="107"/>
      <c r="I40" s="113"/>
      <c r="J40" s="86"/>
      <c r="K40" s="105"/>
      <c r="L40" s="105"/>
      <c r="M40" s="10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</row>
    <row r="41">
      <c r="A41" s="86"/>
      <c r="B41" s="86"/>
      <c r="C41" s="86"/>
      <c r="D41" s="86"/>
      <c r="E41" s="112" t="s">
        <v>160</v>
      </c>
      <c r="F41" s="106"/>
      <c r="G41" s="106"/>
      <c r="H41" s="107"/>
      <c r="I41" s="113"/>
      <c r="J41" s="86"/>
      <c r="K41" s="105"/>
      <c r="L41" s="105"/>
      <c r="M41" s="10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</row>
    <row r="42">
      <c r="A42" s="86"/>
      <c r="B42" s="86"/>
      <c r="C42" s="86"/>
      <c r="D42" s="86"/>
      <c r="E42" s="110" t="s">
        <v>161</v>
      </c>
      <c r="F42" s="111"/>
      <c r="G42" s="111"/>
      <c r="H42" s="111"/>
      <c r="I42" s="111"/>
      <c r="J42" s="86"/>
      <c r="K42" s="105"/>
      <c r="L42" s="105"/>
      <c r="M42" s="10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</row>
    <row r="43">
      <c r="A43" s="86"/>
      <c r="B43" s="86"/>
      <c r="C43" s="86"/>
      <c r="D43" s="86"/>
      <c r="E43" s="106" t="s">
        <v>162</v>
      </c>
      <c r="F43" s="106"/>
      <c r="G43" s="106"/>
      <c r="H43" s="107"/>
      <c r="I43" s="113"/>
      <c r="J43" s="86"/>
      <c r="K43" s="105"/>
      <c r="L43" s="105"/>
      <c r="M43" s="10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</row>
    <row r="44">
      <c r="A44" s="86"/>
      <c r="B44" s="86"/>
      <c r="C44" s="86"/>
      <c r="D44" s="86"/>
      <c r="E44" s="110" t="s">
        <v>163</v>
      </c>
      <c r="F44" s="111"/>
      <c r="G44" s="111"/>
      <c r="H44" s="111"/>
      <c r="I44" s="111"/>
      <c r="J44" s="86"/>
      <c r="K44" s="105"/>
      <c r="L44" s="105"/>
      <c r="M44" s="10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</row>
    <row r="45">
      <c r="A45" s="86"/>
      <c r="B45" s="86"/>
      <c r="C45" s="86"/>
      <c r="D45" s="86"/>
      <c r="E45" s="106" t="s">
        <v>164</v>
      </c>
      <c r="F45" s="106"/>
      <c r="G45" s="107"/>
      <c r="H45" s="107"/>
      <c r="I45" s="107"/>
      <c r="J45" s="86"/>
      <c r="K45" s="105"/>
      <c r="L45" s="105"/>
      <c r="M45" s="10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</row>
    <row r="46">
      <c r="A46" s="86"/>
      <c r="B46" s="86"/>
      <c r="C46" s="86"/>
      <c r="D46" s="86"/>
      <c r="E46" s="106" t="s">
        <v>165</v>
      </c>
      <c r="F46" s="106"/>
      <c r="G46" s="107"/>
      <c r="H46" s="107"/>
      <c r="I46" s="107"/>
      <c r="J46" s="86"/>
      <c r="K46" s="105"/>
      <c r="L46" s="105"/>
      <c r="M46" s="10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</row>
    <row r="47">
      <c r="A47" s="86"/>
      <c r="B47" s="86"/>
      <c r="C47" s="86"/>
      <c r="D47" s="86"/>
      <c r="E47" s="106" t="s">
        <v>166</v>
      </c>
      <c r="F47" s="106"/>
      <c r="G47" s="107"/>
      <c r="H47" s="107"/>
      <c r="I47" s="107"/>
      <c r="J47" s="86"/>
      <c r="K47" s="105"/>
      <c r="L47" s="105"/>
      <c r="M47" s="10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</row>
    <row r="48">
      <c r="A48" s="86"/>
      <c r="B48" s="86"/>
      <c r="C48" s="86"/>
      <c r="D48" s="86"/>
      <c r="E48" s="114" t="s">
        <v>167</v>
      </c>
      <c r="F48" s="115"/>
      <c r="G48" s="115"/>
      <c r="H48" s="115"/>
      <c r="I48" s="115"/>
      <c r="J48" s="86"/>
      <c r="K48" s="105"/>
      <c r="L48" s="105"/>
      <c r="M48" s="10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</row>
    <row r="49">
      <c r="A49" s="86"/>
      <c r="B49" s="86"/>
      <c r="C49" s="86"/>
      <c r="D49" s="86"/>
      <c r="E49" s="86"/>
      <c r="F49" s="86"/>
      <c r="G49" s="104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</row>
    <row r="50">
      <c r="A50" s="86"/>
      <c r="B50" s="86"/>
      <c r="C50" s="86"/>
      <c r="D50" s="86"/>
      <c r="E50" s="86"/>
      <c r="F50" s="86"/>
      <c r="G50" s="108" t="s">
        <v>168</v>
      </c>
      <c r="H50" s="116"/>
      <c r="I50" s="108">
        <f>SUM(I5:I48)</f>
        <v>0</v>
      </c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</row>
    <row r="52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</row>
    <row r="53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</row>
    <row r="54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</row>
    <row r="55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</row>
    <row r="56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</row>
    <row r="5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</row>
    <row r="59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</row>
    <row r="60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</row>
    <row r="6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</row>
    <row r="62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</row>
    <row r="63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</row>
    <row r="64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</row>
    <row r="65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</row>
    <row r="66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</row>
    <row r="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</row>
    <row r="69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</row>
    <row r="70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</row>
    <row r="71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</row>
    <row r="7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</row>
    <row r="73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</row>
    <row r="74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</row>
    <row r="75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</row>
    <row r="77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</row>
    <row r="7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</row>
    <row r="79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</row>
    <row r="80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</row>
    <row r="81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</row>
    <row r="8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</row>
    <row r="83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</row>
    <row r="84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</row>
    <row r="86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</row>
    <row r="87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</row>
    <row r="8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</row>
    <row r="89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</row>
    <row r="90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</row>
    <row r="91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</row>
    <row r="9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</row>
    <row r="93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</row>
    <row r="94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</row>
    <row r="96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</row>
    <row r="97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</row>
    <row r="9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</row>
    <row r="99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</row>
    <row r="100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</row>
    <row r="10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</row>
    <row r="103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</row>
    <row r="978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</row>
    <row r="979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</row>
    <row r="980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</row>
    <row r="98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</row>
    <row r="982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</row>
    <row r="983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</row>
    <row r="984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</row>
    <row r="985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</row>
    <row r="986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</row>
    <row r="987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</row>
    <row r="988">
      <c r="A988" s="86"/>
      <c r="B988" s="86"/>
      <c r="C988" s="86"/>
      <c r="D988" s="86"/>
      <c r="E988" s="86"/>
      <c r="F988" s="86"/>
      <c r="G988" s="86"/>
      <c r="H988" s="86"/>
      <c r="I988" s="86"/>
      <c r="J988" s="86"/>
      <c r="K988" s="86"/>
      <c r="L988" s="86"/>
      <c r="M988" s="86"/>
      <c r="N988" s="86"/>
      <c r="O988" s="86"/>
      <c r="P988" s="86"/>
      <c r="Q988" s="86"/>
      <c r="R988" s="86"/>
      <c r="S988" s="86"/>
      <c r="T988" s="86"/>
      <c r="U988" s="86"/>
      <c r="V988" s="86"/>
      <c r="W988" s="86"/>
      <c r="X988" s="86"/>
      <c r="Y988" s="86"/>
      <c r="Z988" s="86"/>
      <c r="AA988" s="86"/>
      <c r="AB988" s="86"/>
      <c r="AC988" s="86"/>
      <c r="AD988" s="86"/>
    </row>
    <row r="989">
      <c r="A989" s="86"/>
      <c r="B989" s="86"/>
      <c r="C989" s="86"/>
      <c r="D989" s="86"/>
      <c r="E989" s="86"/>
      <c r="F989" s="86"/>
      <c r="G989" s="86"/>
      <c r="H989" s="86"/>
      <c r="I989" s="86"/>
      <c r="J989" s="86"/>
      <c r="K989" s="86"/>
      <c r="L989" s="86"/>
      <c r="M989" s="86"/>
      <c r="N989" s="86"/>
      <c r="O989" s="86"/>
      <c r="P989" s="86"/>
      <c r="Q989" s="86"/>
      <c r="R989" s="86"/>
      <c r="S989" s="86"/>
      <c r="T989" s="86"/>
      <c r="U989" s="86"/>
      <c r="V989" s="86"/>
      <c r="W989" s="86"/>
      <c r="X989" s="86"/>
      <c r="Y989" s="86"/>
      <c r="Z989" s="86"/>
      <c r="AA989" s="86"/>
      <c r="AB989" s="86"/>
      <c r="AC989" s="86"/>
      <c r="AD989" s="86"/>
    </row>
    <row r="990">
      <c r="A990" s="86"/>
      <c r="B990" s="86"/>
      <c r="C990" s="86"/>
      <c r="D990" s="86"/>
      <c r="E990" s="86"/>
      <c r="F990" s="86"/>
      <c r="G990" s="86"/>
      <c r="H990" s="86"/>
      <c r="I990" s="86"/>
      <c r="J990" s="86"/>
      <c r="K990" s="86"/>
      <c r="L990" s="86"/>
      <c r="M990" s="86"/>
      <c r="N990" s="86"/>
      <c r="O990" s="86"/>
      <c r="P990" s="86"/>
      <c r="Q990" s="86"/>
      <c r="R990" s="86"/>
      <c r="S990" s="86"/>
      <c r="T990" s="86"/>
      <c r="U990" s="86"/>
      <c r="V990" s="86"/>
      <c r="W990" s="86"/>
      <c r="X990" s="86"/>
      <c r="Y990" s="86"/>
      <c r="Z990" s="86"/>
      <c r="AA990" s="86"/>
      <c r="AB990" s="86"/>
      <c r="AC990" s="86"/>
      <c r="AD990" s="86"/>
    </row>
    <row r="991">
      <c r="A991" s="86"/>
      <c r="B991" s="86"/>
      <c r="C991" s="86"/>
      <c r="D991" s="86"/>
      <c r="E991" s="86"/>
      <c r="F991" s="86"/>
      <c r="G991" s="86"/>
      <c r="H991" s="86"/>
      <c r="I991" s="86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</row>
    <row r="992">
      <c r="A992" s="86"/>
      <c r="B992" s="86"/>
      <c r="C992" s="86"/>
      <c r="D992" s="86"/>
      <c r="E992" s="86"/>
      <c r="F992" s="86"/>
      <c r="G992" s="86"/>
      <c r="H992" s="86"/>
      <c r="I992" s="86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U992" s="86"/>
      <c r="V992" s="86"/>
      <c r="W992" s="86"/>
      <c r="X992" s="86"/>
      <c r="Y992" s="86"/>
      <c r="Z992" s="86"/>
      <c r="AA992" s="86"/>
      <c r="AB992" s="86"/>
      <c r="AC992" s="86"/>
      <c r="AD992" s="86"/>
    </row>
    <row r="993">
      <c r="A993" s="86"/>
      <c r="B993" s="86"/>
      <c r="C993" s="86"/>
      <c r="D993" s="86"/>
      <c r="E993" s="86"/>
      <c r="F993" s="86"/>
      <c r="G993" s="86"/>
      <c r="H993" s="86"/>
      <c r="I993" s="86"/>
      <c r="J993" s="86"/>
      <c r="K993" s="86"/>
      <c r="L993" s="86"/>
      <c r="M993" s="86"/>
      <c r="N993" s="86"/>
      <c r="O993" s="86"/>
      <c r="P993" s="86"/>
      <c r="Q993" s="86"/>
      <c r="R993" s="86"/>
      <c r="S993" s="86"/>
      <c r="T993" s="86"/>
      <c r="U993" s="86"/>
      <c r="V993" s="86"/>
      <c r="W993" s="86"/>
      <c r="X993" s="86"/>
      <c r="Y993" s="86"/>
      <c r="Z993" s="86"/>
      <c r="AA993" s="86"/>
      <c r="AB993" s="86"/>
      <c r="AC993" s="86"/>
      <c r="AD993" s="86"/>
    </row>
    <row r="994">
      <c r="A994" s="86"/>
      <c r="B994" s="86"/>
      <c r="C994" s="86"/>
      <c r="D994" s="86"/>
      <c r="E994" s="86"/>
      <c r="F994" s="86"/>
      <c r="G994" s="86"/>
      <c r="H994" s="86"/>
      <c r="I994" s="86"/>
      <c r="J994" s="86"/>
      <c r="K994" s="86"/>
      <c r="L994" s="86"/>
      <c r="M994" s="86"/>
      <c r="N994" s="86"/>
      <c r="O994" s="86"/>
      <c r="P994" s="86"/>
      <c r="Q994" s="86"/>
      <c r="R994" s="86"/>
      <c r="S994" s="86"/>
      <c r="T994" s="86"/>
      <c r="U994" s="86"/>
      <c r="V994" s="86"/>
      <c r="W994" s="86"/>
      <c r="X994" s="86"/>
      <c r="Y994" s="86"/>
      <c r="Z994" s="86"/>
      <c r="AA994" s="86"/>
      <c r="AB994" s="86"/>
      <c r="AC994" s="86"/>
      <c r="AD994" s="86"/>
    </row>
  </sheetData>
  <mergeCells count="1">
    <mergeCell ref="O2:Q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117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17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17"/>
      <c r="B20" s="118"/>
      <c r="C20" s="118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drawing r:id="rId1"/>
</worksheet>
</file>