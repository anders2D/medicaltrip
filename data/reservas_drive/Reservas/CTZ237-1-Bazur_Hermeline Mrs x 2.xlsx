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COSTEO" sheetId="3" r:id="rId6"/>
    <sheet state="visible" name="DETALLE SERVICIOS" sheetId="4" r:id="rId7"/>
    <sheet state="visible" name="CONFIRMACIÓN PAX 1" sheetId="5" r:id="rId8"/>
    <sheet state="visible" name="VUELO" sheetId="6" r:id="rId9"/>
    <sheet state="visible" name="CARPETA - ARCHIVO" sheetId="7" r:id="rId10"/>
  </sheets>
  <definedNames/>
  <calcPr/>
  <extLst>
    <ext uri="GoogleSheetsCustomDataVersion2">
      <go:sheetsCustomData xmlns:go="http://customooxmlschemas.google.com/" r:id="rId11" roundtripDataChecksum="bjKe+R80QO5mUf2Ql9WtfviG9Bwny+o5vtk9iMWmg1s="/>
    </ext>
  </extLst>
</workbook>
</file>

<file path=xl/sharedStrings.xml><?xml version="1.0" encoding="utf-8"?>
<sst xmlns="http://schemas.openxmlformats.org/spreadsheetml/2006/main" count="281" uniqueCount="164">
  <si>
    <t>Nombre</t>
  </si>
  <si>
    <t>HERMELINE</t>
  </si>
  <si>
    <t>Apellido</t>
  </si>
  <si>
    <t>BAZUR</t>
  </si>
  <si>
    <t>Apellido de casada</t>
  </si>
  <si>
    <t>Género:  .</t>
  </si>
  <si>
    <t>Femenino</t>
  </si>
  <si>
    <t>Pasaporte</t>
  </si>
  <si>
    <t>NMFD9P7R5</t>
  </si>
  <si>
    <t>Fecha de nacimiento</t>
  </si>
  <si>
    <t>19 de julio 1973</t>
  </si>
  <si>
    <t>Edad</t>
  </si>
  <si>
    <t>Estado civil</t>
  </si>
  <si>
    <t>Soltera</t>
  </si>
  <si>
    <t>Dirección</t>
  </si>
  <si>
    <t>R.Kaya Epidendrum 35, Curazao</t>
  </si>
  <si>
    <t xml:space="preserve">Nacionalidad  y  domicilio:  </t>
  </si>
  <si>
    <t>Curazao</t>
  </si>
  <si>
    <t>Email:</t>
  </si>
  <si>
    <t>Thinktwice34@hotmail.com</t>
  </si>
  <si>
    <t>Teléfono</t>
  </si>
  <si>
    <t>599 9 5209836</t>
  </si>
  <si>
    <t xml:space="preserve">Profesión </t>
  </si>
  <si>
    <t>RH</t>
  </si>
  <si>
    <t>O +</t>
  </si>
  <si>
    <t>Seguro</t>
  </si>
  <si>
    <t>SVB</t>
  </si>
  <si>
    <t>Peso</t>
  </si>
  <si>
    <t>Altura</t>
  </si>
  <si>
    <t>Idioma</t>
  </si>
  <si>
    <t>Español, Inglés, Francés y Papiamento</t>
  </si>
  <si>
    <t>Estadia:</t>
  </si>
  <si>
    <t>Salud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</si>
  <si>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</si>
  <si>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</si>
  <si>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</si>
  <si>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</si>
  <si>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</si>
  <si>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</si>
  <si>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</si>
  <si>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</si>
  <si>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</si>
  <si>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</si>
  <si>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</si>
  <si>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</si>
  <si>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Traslado Hotel - Centro médico</t>
  </si>
  <si>
    <t>Toma de muestras de sangre laboratorio clínico</t>
  </si>
  <si>
    <t>Ecografía de abdomen total</t>
  </si>
  <si>
    <t>Citología</t>
  </si>
  <si>
    <t>Mamografía</t>
  </si>
  <si>
    <t>Radiografía de tórax</t>
  </si>
  <si>
    <t>Radiografía pie derecho e izquierdo</t>
  </si>
  <si>
    <t>Electrocardiograma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</si>
  <si>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</si>
  <si>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</si>
  <si>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</si>
  <si>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</si>
  <si>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</si>
  <si>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</si>
  <si>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</si>
  <si>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</si>
  <si>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</si>
  <si>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</si>
  <si>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</si>
  <si>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</si>
  <si>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</si>
  <si>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</si>
  <si>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</si>
  <si>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</si>
  <si>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</si>
  <si>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PAX 2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</si>
  <si>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</si>
  <si>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</si>
  <si>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</si>
  <si>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</si>
  <si>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</si>
  <si>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</si>
  <si>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</si>
  <si>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</si>
  <si>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</si>
  <si>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</si>
  <si>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</si>
  <si>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</si>
  <si>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</si>
  <si>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</si>
  <si>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</si>
  <si>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07 días</t>
  </si>
  <si>
    <t>Colasistencia</t>
  </si>
  <si>
    <t xml:space="preserve">PAQUETE DE CHEQUEO MÉDICO </t>
  </si>
  <si>
    <t>LABORATORIOS CLÍNICOS</t>
  </si>
  <si>
    <t>ok</t>
  </si>
  <si>
    <t>Citología cervical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</si>
  <si>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</si>
  <si>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</si>
  <si>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</si>
  <si>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</si>
  <si>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</si>
  <si>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</si>
  <si>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</si>
  <si>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</si>
  <si>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</si>
  <si>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</si>
  <si>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</si>
  <si>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</si>
  <si>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</si>
  <si>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</si>
  <si>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</si>
  <si>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e-GFR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</si>
  <si>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</si>
  <si>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</si>
  <si>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</si>
  <si>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</si>
  <si>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</si>
  <si>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</si>
  <si>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</si>
  <si>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Frotis de sangre periférica - (extendido de sangre periférica estudio de morfología)</t>
  </si>
  <si>
    <t>Test de sicklemia: (Células Falciformes-drepanocitosis)</t>
  </si>
  <si>
    <t>Perfil Tiroideo</t>
  </si>
  <si>
    <t>T4 libre</t>
  </si>
  <si>
    <t>TSH</t>
  </si>
  <si>
    <t>Paratohormona</t>
  </si>
  <si>
    <t>Enfermedades de transmisión sexual</t>
  </si>
  <si>
    <t>VDRL</t>
  </si>
  <si>
    <t xml:space="preserve">VIH 1 Y 2, Anticuerpos </t>
  </si>
  <si>
    <t xml:space="preserve">Minerales  </t>
  </si>
  <si>
    <t>Fosforo</t>
  </si>
  <si>
    <t>No</t>
  </si>
  <si>
    <t>Ionograma: calcio - sodio - cloro- potasio</t>
  </si>
  <si>
    <t>Corazón</t>
  </si>
  <si>
    <t>Homocisteína</t>
  </si>
  <si>
    <t>IMÁGENES DIAGNÓSTICAS</t>
  </si>
  <si>
    <t>OK</t>
  </si>
  <si>
    <t>Ecografía de mama</t>
  </si>
  <si>
    <t>Ecografía de tiroides</t>
  </si>
  <si>
    <t>Ecografía Uterina</t>
  </si>
  <si>
    <t>Ecocardiografía</t>
  </si>
  <si>
    <t>Prueba de esfuerzo</t>
  </si>
  <si>
    <t>Resonancia de cabeza simple</t>
  </si>
  <si>
    <t>ESPECIALISTAS</t>
  </si>
  <si>
    <t>Consulta con CARDIOLOGÍA - INTERNISTA</t>
  </si>
  <si>
    <t>Consulta con GINECOLOGIA</t>
  </si>
  <si>
    <t>Consulta con PSIQUIATRIA</t>
  </si>
  <si>
    <t xml:space="preserve">Consulta con VIRTUAL DE CONTROL DR Marcos Yepes </t>
  </si>
  <si>
    <t>Consulta con VIRTUAL DE NUTRICIÓN Y PSICO NUTRICIÓN</t>
  </si>
  <si>
    <t>Consulta con GLACOMATOLOGO Incluye exámen de Optometría</t>
  </si>
  <si>
    <t>Tomografía de coherencia óptica (OCT):</t>
  </si>
  <si>
    <t>Tarros para + orina uroanalisis y fecal</t>
  </si>
  <si>
    <t>04 Traslados hotel - clínica por trayecto Cortos - cerca adicionales</t>
  </si>
  <si>
    <t>Servicios Medical Trip Colombia: Acompañamiento Virtual</t>
  </si>
  <si>
    <t xml:space="preserve">Servicios Medical Trip Colombia: Acompañamiento presencial </t>
  </si>
  <si>
    <t>Caja menor</t>
  </si>
  <si>
    <t>Total neto</t>
  </si>
  <si>
    <t>Gastos bancarios</t>
  </si>
  <si>
    <t>4 * 1000</t>
  </si>
  <si>
    <t>Tasa del dólar</t>
  </si>
  <si>
    <t>EXÁMENES OPCIONALES DE LABORATORIO CLÍNICO</t>
  </si>
  <si>
    <t>CA 19-9 Antígeno de cáncer de tubo digestivo</t>
  </si>
  <si>
    <t>CA-125 - Antígeno de cáncer de ovario</t>
  </si>
  <si>
    <t>CEA (carcinoembrionario Antígeno)</t>
  </si>
  <si>
    <t xml:space="preserve">AFP (Alfa fetoproteína) </t>
  </si>
  <si>
    <t>DETALLE DE LOS SERVICIOS</t>
  </si>
  <si>
    <t>4 * 1000 Impuesto bancario en Colombia</t>
  </si>
  <si>
    <t>TOTAL A PAGAR EN DÓLARES AMERICANOS</t>
  </si>
  <si>
    <t>ARCHIVO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</si>
</sst>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0"/>
    <numFmt numFmtId="171" formatCode="d mmmm"/>
    <numFmt numFmtId="172" formatCode="0.0%"/>
    <numFmt numFmtId="173" formatCode="&quot;$&quot;#,##0.0"/>
  </numFmts>
  <fonts count="20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color theme="1"/>
      <name val="Lexend"/>
    </font>
    <font>
      <b/>
      <color rgb="FFFFFFFF"/>
      <name val="Lexend"/>
    </font>
    <font/>
    <font>
      <b/>
      <sz val="9.0"/>
      <color rgb="FFFFFFFF"/>
      <name val="Lexend"/>
    </font>
    <font>
      <color rgb="FFFFFFFF"/>
      <name val="Lexend"/>
    </font>
    <font>
      <b/>
      <sz val="11.0"/>
      <color theme="1"/>
      <name val="Calibri"/>
    </font>
    <font>
      <b/>
      <sz val="12.0"/>
      <color theme="1"/>
      <name val="Arial"/>
    </font>
    <font>
      <b/>
      <sz val="15.0"/>
      <color rgb="FFFFFFFF"/>
      <name val="Lexend"/>
    </font>
  </fonts>
  <fills count="2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4" fontId="8" numFmtId="0" xfId="0" applyAlignment="1" applyBorder="1" applyFill="1" applyFont="1">
      <alignment horizontal="left"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vertical="center"/>
    </xf>
    <xf borderId="2" fillId="5" fontId="9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vertical="center"/>
    </xf>
    <xf borderId="3" fillId="5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6" numFmtId="165" xfId="0" applyAlignment="1" applyBorder="1" applyFont="1" applyNumberFormat="1">
      <alignment vertical="center"/>
    </xf>
    <xf borderId="2" fillId="0" fontId="6" numFmtId="165" xfId="0" applyAlignment="1" applyBorder="1" applyFont="1" applyNumberFormat="1">
      <alignment vertical="center"/>
    </xf>
    <xf borderId="1" fillId="6" fontId="7" numFmtId="0" xfId="0" applyAlignment="1" applyBorder="1" applyFill="1" applyFont="1">
      <alignment vertical="center"/>
    </xf>
    <xf borderId="1" fillId="7" fontId="7" numFmtId="0" xfId="0" applyAlignment="1" applyBorder="1" applyFill="1" applyFont="1">
      <alignment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8" fontId="7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6" xfId="0" applyAlignment="1" applyFont="1" applyNumberFormat="1">
      <alignment vertical="center"/>
    </xf>
    <xf borderId="0" fillId="0" fontId="2" numFmtId="167" xfId="0" applyAlignment="1" applyFont="1" applyNumberFormat="1">
      <alignment vertical="center"/>
    </xf>
    <xf borderId="0" fillId="0" fontId="2" numFmtId="168" xfId="0" applyAlignment="1" applyFont="1" applyNumberFormat="1">
      <alignment vertical="center"/>
    </xf>
    <xf borderId="5" fillId="0" fontId="12" numFmtId="167" xfId="0" applyAlignment="1" applyBorder="1" applyFont="1" applyNumberFormat="1">
      <alignment shrinkToFit="0" vertical="center" wrapText="1"/>
    </xf>
    <xf borderId="5" fillId="0" fontId="1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13" numFmtId="0" xfId="0" applyAlignment="1" applyBorder="1" applyFont="1">
      <alignment shrinkToFit="0" vertical="center" wrapText="1"/>
    </xf>
    <xf borderId="0" fillId="4" fontId="2" numFmtId="0" xfId="0" applyAlignment="1" applyFont="1">
      <alignment vertical="center"/>
    </xf>
    <xf borderId="5" fillId="4" fontId="2" numFmtId="0" xfId="0" applyAlignment="1" applyBorder="1" applyFont="1">
      <alignment vertical="center"/>
    </xf>
    <xf borderId="5" fillId="4" fontId="2" numFmtId="166" xfId="0" applyAlignment="1" applyBorder="1" applyFont="1" applyNumberFormat="1">
      <alignment vertical="center"/>
    </xf>
    <xf borderId="1" fillId="4" fontId="2" numFmtId="168" xfId="0" applyAlignment="1" applyBorder="1" applyFont="1" applyNumberFormat="1">
      <alignment vertical="center"/>
    </xf>
    <xf borderId="5" fillId="4" fontId="13" numFmtId="168" xfId="0" applyAlignment="1" applyBorder="1" applyFont="1" applyNumberFormat="1">
      <alignment shrinkToFit="0" vertical="center" wrapText="1"/>
    </xf>
    <xf borderId="5" fillId="4" fontId="2" numFmtId="167" xfId="0" applyAlignment="1" applyBorder="1" applyFont="1" applyNumberFormat="1">
      <alignment vertical="center"/>
    </xf>
    <xf borderId="5" fillId="4" fontId="13" numFmtId="167" xfId="0" applyAlignment="1" applyBorder="1" applyFont="1" applyNumberFormat="1">
      <alignment horizontal="center" shrinkToFit="0" vertical="center" wrapText="1"/>
    </xf>
    <xf borderId="5" fillId="0" fontId="14" numFmtId="0" xfId="0" applyBorder="1" applyFont="1"/>
    <xf borderId="5" fillId="4" fontId="13" numFmtId="0" xfId="0" applyAlignment="1" applyBorder="1" applyFont="1">
      <alignment horizontal="center" shrinkToFit="0" vertical="center" wrapText="1"/>
    </xf>
    <xf borderId="3" fillId="0" fontId="14" numFmtId="0" xfId="0" applyBorder="1" applyFont="1"/>
    <xf borderId="3" fillId="4" fontId="2" numFmtId="0" xfId="0" applyAlignment="1" applyBorder="1" applyFont="1">
      <alignment vertical="center"/>
    </xf>
    <xf borderId="1" fillId="5" fontId="4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9" fontId="2" numFmtId="168" xfId="0" applyAlignment="1" applyBorder="1" applyFill="1" applyFont="1" applyNumberFormat="1">
      <alignment vertical="center"/>
    </xf>
    <xf borderId="1" fillId="9" fontId="2" numFmtId="0" xfId="0" applyAlignment="1" applyBorder="1" applyFont="1">
      <alignment vertical="center"/>
    </xf>
    <xf borderId="1" fillId="10" fontId="10" numFmtId="168" xfId="0" applyAlignment="1" applyBorder="1" applyFill="1" applyFont="1" applyNumberFormat="1">
      <alignment horizontal="center" shrinkToFit="0" vertical="center" wrapText="1"/>
    </xf>
    <xf borderId="2" fillId="5" fontId="10" numFmtId="168" xfId="0" applyAlignment="1" applyBorder="1" applyFont="1" applyNumberFormat="1">
      <alignment horizontal="center" shrinkToFit="0" vertical="center" wrapText="1"/>
    </xf>
    <xf borderId="3" fillId="5" fontId="10" numFmtId="167" xfId="0" applyAlignment="1" applyBorder="1" applyFont="1" applyNumberFormat="1">
      <alignment horizontal="center" shrinkToFit="0" vertical="center" wrapText="1"/>
    </xf>
    <xf borderId="4" fillId="11" fontId="15" numFmtId="168" xfId="0" applyAlignment="1" applyBorder="1" applyFill="1" applyFont="1" applyNumberFormat="1">
      <alignment horizontal="center" shrinkToFit="0" vertical="center" wrapText="1"/>
    </xf>
    <xf borderId="4" fillId="11" fontId="15" numFmtId="169" xfId="0" applyAlignment="1" applyBorder="1" applyFont="1" applyNumberFormat="1">
      <alignment horizontal="center" shrinkToFit="0" vertical="center" wrapText="1"/>
    </xf>
    <xf borderId="0" fillId="0" fontId="2" numFmtId="169" xfId="0" applyAlignment="1" applyFont="1" applyNumberFormat="1">
      <alignment vertical="center"/>
    </xf>
    <xf borderId="1" fillId="11" fontId="15" numFmtId="169" xfId="0" applyAlignment="1" applyBorder="1" applyFont="1" applyNumberFormat="1">
      <alignment horizontal="center" shrinkToFit="0" vertical="center" wrapText="1"/>
    </xf>
    <xf borderId="4" fillId="11" fontId="15" numFmtId="0" xfId="0" applyAlignment="1" applyBorder="1" applyFont="1">
      <alignment horizontal="center" shrinkToFit="0" vertical="center" wrapText="1"/>
    </xf>
    <xf borderId="2" fillId="12" fontId="6" numFmtId="0" xfId="0" applyAlignment="1" applyBorder="1" applyFill="1" applyFont="1">
      <alignment shrinkToFit="0" vertical="center" wrapText="1"/>
    </xf>
    <xf borderId="1" fillId="0" fontId="6" numFmtId="166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vertical="center"/>
    </xf>
    <xf borderId="1" fillId="5" fontId="6" numFmtId="170" xfId="0" applyAlignment="1" applyBorder="1" applyFont="1" applyNumberFormat="1">
      <alignment horizontal="center" shrinkToFit="0" vertical="center" wrapText="1"/>
    </xf>
    <xf borderId="1" fillId="10" fontId="2" numFmtId="168" xfId="0" applyAlignment="1" applyBorder="1" applyFont="1" applyNumberFormat="1">
      <alignment vertical="center"/>
    </xf>
    <xf borderId="2" fillId="5" fontId="2" numFmtId="168" xfId="0" applyAlignment="1" applyBorder="1" applyFont="1" applyNumberFormat="1">
      <alignment vertical="center"/>
    </xf>
    <xf borderId="3" fillId="5" fontId="2" numFmtId="167" xfId="0" applyAlignment="1" applyBorder="1" applyFont="1" applyNumberFormat="1">
      <alignment vertical="center"/>
    </xf>
    <xf borderId="1" fillId="13" fontId="2" numFmtId="168" xfId="0" applyAlignment="1" applyBorder="1" applyFill="1" applyFont="1" applyNumberFormat="1">
      <alignment vertical="center"/>
    </xf>
    <xf borderId="1" fillId="13" fontId="2" numFmtId="167" xfId="0" applyAlignment="1" applyBorder="1" applyFont="1" applyNumberFormat="1">
      <alignment vertical="center"/>
    </xf>
    <xf borderId="1" fillId="13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14" fontId="2" numFmtId="0" xfId="0" applyAlignment="1" applyFill="1" applyFont="1">
      <alignment vertical="center"/>
    </xf>
    <xf borderId="1" fillId="15" fontId="13" numFmtId="0" xfId="0" applyAlignment="1" applyBorder="1" applyFill="1" applyFont="1">
      <alignment shrinkToFit="0" vertical="center" wrapText="1"/>
    </xf>
    <xf borderId="1" fillId="15" fontId="2" numFmtId="0" xfId="0" applyAlignment="1" applyBorder="1" applyFont="1">
      <alignment vertical="center"/>
    </xf>
    <xf borderId="1" fillId="15" fontId="2" numFmtId="166" xfId="0" applyAlignment="1" applyBorder="1" applyFont="1" applyNumberFormat="1">
      <alignment vertical="center"/>
    </xf>
    <xf borderId="3" fillId="15" fontId="2" numFmtId="0" xfId="0" applyAlignment="1" applyBorder="1" applyFont="1">
      <alignment vertical="center"/>
    </xf>
    <xf borderId="1" fillId="15" fontId="16" numFmtId="166" xfId="0" applyAlignment="1" applyBorder="1" applyFont="1" applyNumberFormat="1">
      <alignment horizontal="center" vertical="center"/>
    </xf>
    <xf borderId="1" fillId="15" fontId="16" numFmtId="166" xfId="0" applyAlignment="1" applyBorder="1" applyFont="1" applyNumberFormat="1">
      <alignment horizontal="center" readingOrder="0" vertical="center"/>
    </xf>
    <xf borderId="1" fillId="0" fontId="2" numFmtId="167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vertical="center"/>
    </xf>
    <xf borderId="1" fillId="0" fontId="2" numFmtId="171" xfId="0" applyAlignment="1" applyBorder="1" applyFont="1" applyNumberFormat="1">
      <alignment vertical="center"/>
    </xf>
    <xf borderId="4" fillId="0" fontId="2" numFmtId="166" xfId="0" applyAlignment="1" applyBorder="1" applyFont="1" applyNumberFormat="1">
      <alignment vertical="center"/>
    </xf>
    <xf borderId="1" fillId="16" fontId="12" numFmtId="0" xfId="0" applyAlignment="1" applyBorder="1" applyFill="1" applyFont="1">
      <alignment shrinkToFit="0" vertical="center" wrapText="1"/>
    </xf>
    <xf borderId="1" fillId="16" fontId="2" numFmtId="0" xfId="0" applyAlignment="1" applyBorder="1" applyFont="1">
      <alignment vertical="center"/>
    </xf>
    <xf borderId="1" fillId="16" fontId="2" numFmtId="166" xfId="0" applyAlignment="1" applyBorder="1" applyFont="1" applyNumberFormat="1">
      <alignment vertical="center"/>
    </xf>
    <xf borderId="3" fillId="16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1" fillId="8" fontId="6" numFmtId="0" xfId="0" applyAlignment="1" applyBorder="1" applyFont="1">
      <alignment readingOrder="0" shrinkToFit="0" vertical="center" wrapText="1"/>
    </xf>
    <xf borderId="1" fillId="8" fontId="2" numFmtId="0" xfId="0" applyAlignment="1" applyBorder="1" applyFont="1">
      <alignment vertical="center"/>
    </xf>
    <xf borderId="1" fillId="8" fontId="2" numFmtId="166" xfId="0" applyAlignment="1" applyBorder="1" applyFont="1" applyNumberFormat="1">
      <alignment vertical="center"/>
    </xf>
    <xf borderId="3" fillId="8" fontId="2" numFmtId="0" xfId="0" applyAlignment="1" applyBorder="1" applyFont="1">
      <alignment vertical="center"/>
    </xf>
    <xf borderId="1" fillId="8" fontId="6" numFmtId="0" xfId="0" applyAlignment="1" applyBorder="1" applyFont="1">
      <alignment shrinkToFit="0" vertical="center" wrapText="1"/>
    </xf>
    <xf borderId="1" fillId="17" fontId="12" numFmtId="0" xfId="0" applyAlignment="1" applyBorder="1" applyFill="1" applyFont="1">
      <alignment shrinkToFit="0" vertical="center" wrapText="1"/>
    </xf>
    <xf borderId="1" fillId="17" fontId="2" numFmtId="0" xfId="0" applyAlignment="1" applyBorder="1" applyFont="1">
      <alignment vertical="center"/>
    </xf>
    <xf borderId="1" fillId="17" fontId="2" numFmtId="166" xfId="0" applyAlignment="1" applyBorder="1" applyFont="1" applyNumberFormat="1">
      <alignment vertical="center"/>
    </xf>
    <xf borderId="1" fillId="0" fontId="6" numFmtId="0" xfId="0" applyAlignment="1" applyBorder="1" applyFont="1">
      <alignment shrinkToFit="0" vertical="center" wrapText="1"/>
    </xf>
    <xf borderId="1" fillId="0" fontId="2" numFmtId="166" xfId="0" applyAlignment="1" applyBorder="1" applyFont="1" applyNumberFormat="1">
      <alignment vertical="center"/>
    </xf>
    <xf borderId="1" fillId="0" fontId="6" numFmtId="166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166" xfId="0" applyAlignment="1" applyBorder="1" applyFont="1" applyNumberFormat="1">
      <alignment horizontal="center" vertical="center"/>
    </xf>
    <xf borderId="1" fillId="13" fontId="2" numFmtId="166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2" numFmtId="166" xfId="0" applyAlignment="1" applyBorder="1" applyFont="1" applyNumberFormat="1">
      <alignment vertical="center"/>
    </xf>
    <xf borderId="3" fillId="8" fontId="2" numFmtId="166" xfId="0" applyAlignment="1" applyBorder="1" applyFont="1" applyNumberFormat="1">
      <alignment vertical="center"/>
    </xf>
    <xf borderId="1" fillId="18" fontId="12" numFmtId="0" xfId="0" applyAlignment="1" applyBorder="1" applyFill="1" applyFont="1">
      <alignment shrinkToFit="0" vertical="center" wrapText="1"/>
    </xf>
    <xf borderId="1" fillId="18" fontId="2" numFmtId="0" xfId="0" applyAlignment="1" applyBorder="1" applyFont="1">
      <alignment vertical="center"/>
    </xf>
    <xf borderId="1" fillId="18" fontId="2" numFmtId="166" xfId="0" applyAlignment="1" applyBorder="1" applyFont="1" applyNumberFormat="1">
      <alignment vertical="center"/>
    </xf>
    <xf borderId="3" fillId="18" fontId="2" numFmtId="166" xfId="0" applyAlignment="1" applyBorder="1" applyFont="1" applyNumberFormat="1">
      <alignment vertical="center"/>
    </xf>
    <xf borderId="0" fillId="0" fontId="2" numFmtId="171" xfId="0" applyAlignment="1" applyFont="1" applyNumberFormat="1">
      <alignment vertical="center"/>
    </xf>
    <xf borderId="1" fillId="13" fontId="6" numFmtId="166" xfId="0" applyAlignment="1" applyBorder="1" applyFont="1" applyNumberFormat="1">
      <alignment horizontal="center" vertical="center"/>
    </xf>
    <xf borderId="0" fillId="10" fontId="2" numFmtId="168" xfId="0" applyAlignment="1" applyFont="1" applyNumberFormat="1">
      <alignment vertical="center"/>
    </xf>
    <xf borderId="0" fillId="5" fontId="2" numFmtId="168" xfId="0" applyAlignment="1" applyFont="1" applyNumberFormat="1">
      <alignment vertical="center"/>
    </xf>
    <xf borderId="0" fillId="5" fontId="2" numFmtId="167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1" fillId="10" fontId="6" numFmtId="0" xfId="0" applyAlignment="1" applyBorder="1" applyFont="1">
      <alignment shrinkToFit="0" vertical="center" wrapText="1"/>
    </xf>
    <xf borderId="1" fillId="10" fontId="2" numFmtId="0" xfId="0" applyAlignment="1" applyBorder="1" applyFont="1">
      <alignment vertical="center"/>
    </xf>
    <xf borderId="1" fillId="10" fontId="2" numFmtId="166" xfId="0" applyAlignment="1" applyBorder="1" applyFont="1" applyNumberFormat="1">
      <alignment vertical="center"/>
    </xf>
    <xf borderId="3" fillId="10" fontId="2" numFmtId="166" xfId="0" applyAlignment="1" applyBorder="1" applyFont="1" applyNumberFormat="1">
      <alignment vertical="center"/>
    </xf>
    <xf borderId="1" fillId="10" fontId="6" numFmtId="0" xfId="0" applyAlignment="1" applyBorder="1" applyFont="1">
      <alignment readingOrder="0" shrinkToFit="0" vertical="center" wrapText="1"/>
    </xf>
    <xf borderId="3" fillId="10" fontId="2" numFmtId="0" xfId="0" applyAlignment="1" applyBorder="1" applyFont="1">
      <alignment vertical="center"/>
    </xf>
    <xf borderId="1" fillId="14" fontId="2" numFmtId="168" xfId="0" applyAlignment="1" applyBorder="1" applyFont="1" applyNumberFormat="1">
      <alignment vertical="center"/>
    </xf>
    <xf borderId="1" fillId="0" fontId="6" numFmtId="0" xfId="0" applyAlignment="1" applyBorder="1" applyFont="1">
      <alignment readingOrder="0" shrinkToFit="0" vertical="center" wrapText="1"/>
    </xf>
    <xf borderId="1" fillId="0" fontId="6" numFmtId="166" xfId="0" applyAlignment="1" applyBorder="1" applyFont="1" applyNumberFormat="1">
      <alignment horizontal="center" readingOrder="0" shrinkToFit="0" vertical="center" wrapText="1"/>
    </xf>
    <xf borderId="1" fillId="19" fontId="12" numFmtId="0" xfId="0" applyAlignment="1" applyBorder="1" applyFill="1" applyFont="1">
      <alignment shrinkToFit="0" vertical="center" wrapText="1"/>
    </xf>
    <xf borderId="3" fillId="19" fontId="2" numFmtId="166" xfId="0" applyAlignment="1" applyBorder="1" applyFont="1" applyNumberFormat="1">
      <alignment vertical="center"/>
    </xf>
    <xf borderId="1" fillId="19" fontId="2" numFmtId="166" xfId="0" applyAlignment="1" applyBorder="1" applyFont="1" applyNumberFormat="1">
      <alignment vertical="center"/>
    </xf>
    <xf borderId="1" fillId="6" fontId="6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vertical="center"/>
    </xf>
    <xf borderId="3" fillId="6" fontId="2" numFmtId="166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3" fontId="6" numFmtId="166" xfId="0" applyAlignment="1" applyBorder="1" applyFont="1" applyNumberFormat="1">
      <alignment horizontal="center" shrinkToFit="0" vertical="center" wrapText="1"/>
    </xf>
    <xf borderId="1" fillId="0" fontId="6" numFmtId="166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ont="1">
      <alignment readingOrder="0" shrinkToFit="0" vertical="center" wrapText="1"/>
    </xf>
    <xf borderId="1" fillId="5" fontId="6" numFmtId="166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shrinkToFit="0" vertical="center" wrapText="1"/>
    </xf>
    <xf borderId="1" fillId="5" fontId="6" numFmtId="166" xfId="0" applyAlignment="1" applyBorder="1" applyFont="1" applyNumberFormat="1">
      <alignment horizontal="center" readingOrder="0" shrinkToFit="0" vertical="center" wrapText="1"/>
    </xf>
    <xf borderId="1" fillId="0" fontId="6" numFmtId="10" xfId="0" applyAlignment="1" applyBorder="1" applyFont="1" applyNumberFormat="1">
      <alignment horizontal="center" shrinkToFit="0" vertical="center" wrapText="1"/>
    </xf>
    <xf borderId="0" fillId="0" fontId="2" numFmtId="172" xfId="0" applyAlignment="1" applyFont="1" applyNumberFormat="1">
      <alignment vertical="center"/>
    </xf>
    <xf borderId="0" fillId="0" fontId="6" numFmtId="166" xfId="0" applyAlignment="1" applyFont="1" applyNumberFormat="1">
      <alignment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0" fillId="0" fontId="2" numFmtId="173" xfId="0" applyAlignment="1" applyFont="1" applyNumberFormat="1">
      <alignment vertical="center"/>
    </xf>
    <xf borderId="0" fillId="0" fontId="6" numFmtId="10" xfId="0" applyAlignment="1" applyFont="1" applyNumberFormat="1">
      <alignment horizontal="right" shrinkToFit="0" vertical="center" wrapText="1"/>
    </xf>
    <xf borderId="0" fillId="0" fontId="5" numFmtId="166" xfId="0" applyAlignment="1" applyFont="1" applyNumberFormat="1">
      <alignment shrinkToFit="0" vertical="center" wrapText="1"/>
    </xf>
    <xf borderId="0" fillId="0" fontId="6" numFmtId="166" xfId="0" applyAlignment="1" applyFont="1" applyNumberFormat="1">
      <alignment horizontal="right" shrinkToFit="0" vertical="center" wrapText="1"/>
    </xf>
    <xf borderId="0" fillId="20" fontId="12" numFmtId="166" xfId="0" applyAlignment="1" applyFill="1" applyFont="1" applyNumberFormat="1">
      <alignment horizontal="center" shrinkToFit="0" vertical="center" wrapText="1"/>
    </xf>
    <xf borderId="0" fillId="21" fontId="6" numFmtId="166" xfId="0" applyAlignment="1" applyFill="1" applyFont="1" applyNumberFormat="1">
      <alignment horizontal="center" shrinkToFit="0" vertical="center" wrapText="1"/>
    </xf>
    <xf borderId="1" fillId="22" fontId="12" numFmtId="0" xfId="0" applyAlignment="1" applyBorder="1" applyFill="1" applyFont="1">
      <alignment shrinkToFit="0" wrapText="1"/>
    </xf>
    <xf borderId="1" fillId="22" fontId="2" numFmtId="166" xfId="0" applyBorder="1" applyFont="1" applyNumberFormat="1"/>
    <xf borderId="0" fillId="0" fontId="11" numFmtId="0" xfId="0" applyAlignment="1" applyFont="1">
      <alignment vertical="center"/>
    </xf>
    <xf borderId="1" fillId="23" fontId="6" numFmtId="0" xfId="0" applyAlignment="1" applyBorder="1" applyFill="1" applyFont="1">
      <alignment shrinkToFit="0" wrapText="1"/>
    </xf>
    <xf borderId="1" fillId="5" fontId="6" numFmtId="166" xfId="0" applyAlignment="1" applyBorder="1" applyFont="1" applyNumberFormat="1">
      <alignment horizontal="center" shrinkToFit="0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shrinkToFit="0" vertical="center" wrapText="1"/>
    </xf>
    <xf borderId="0" fillId="4" fontId="8" numFmtId="0" xfId="0" applyAlignment="1" applyFont="1">
      <alignment readingOrder="0" vertical="center"/>
    </xf>
    <xf borderId="0" fillId="4" fontId="8" numFmtId="0" xfId="0" applyFont="1"/>
    <xf borderId="2" fillId="7" fontId="10" numFmtId="0" xfId="0" applyAlignment="1" applyBorder="1" applyFont="1">
      <alignment horizontal="center" readingOrder="0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1" fillId="0" fontId="6" numFmtId="170" xfId="0" applyAlignment="1" applyBorder="1" applyFont="1" applyNumberFormat="1">
      <alignment horizontal="center" shrinkToFit="0" vertical="center" wrapText="1"/>
    </xf>
    <xf borderId="1" fillId="20" fontId="9" numFmtId="0" xfId="0" applyAlignment="1" applyBorder="1" applyFont="1">
      <alignment horizontal="center" readingOrder="0" vertical="center"/>
    </xf>
    <xf borderId="1" fillId="20" fontId="9" numFmtId="166" xfId="0" applyAlignment="1" applyBorder="1" applyFont="1" applyNumberFormat="1">
      <alignment horizontal="center" vertical="center"/>
    </xf>
    <xf borderId="1" fillId="22" fontId="12" numFmtId="0" xfId="0" applyAlignment="1" applyBorder="1" applyFont="1">
      <alignment shrinkToFit="0" wrapText="1"/>
    </xf>
    <xf borderId="1" fillId="5" fontId="6" numFmtId="166" xfId="0" applyAlignment="1" applyBorder="1" applyFont="1" applyNumberFormat="1">
      <alignment horizontal="center" readingOrder="0" shrinkToFit="0" wrapText="1"/>
    </xf>
    <xf borderId="0" fillId="0" fontId="17" numFmtId="0" xfId="0" applyAlignment="1" applyFont="1">
      <alignment vertical="center"/>
    </xf>
    <xf borderId="0" fillId="0" fontId="18" numFmtId="0" xfId="0" applyFont="1"/>
    <xf borderId="0" fillId="15" fontId="19" numFmtId="0" xfId="0" applyAlignment="1" applyFont="1">
      <alignment shrinkToFit="0" vertical="center" wrapText="1"/>
    </xf>
    <xf borderId="1" fillId="5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2</v>
      </c>
      <c r="B20" s="4" t="s">
        <v>3</v>
      </c>
      <c r="C20" s="2"/>
      <c r="D20" s="1" t="s">
        <v>2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4</v>
      </c>
      <c r="B21" s="4"/>
      <c r="C21" s="2"/>
      <c r="D21" s="1" t="s">
        <v>4</v>
      </c>
      <c r="E21" s="1"/>
      <c r="F21" s="2"/>
      <c r="G21" s="3" t="s">
        <v>2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5</v>
      </c>
      <c r="B22" s="4" t="s">
        <v>6</v>
      </c>
      <c r="C22" s="2"/>
      <c r="D22" s="1" t="s">
        <v>5</v>
      </c>
      <c r="E22" s="1"/>
      <c r="F22" s="2"/>
      <c r="G22" s="3" t="s">
        <v>4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7</v>
      </c>
      <c r="B23" s="4" t="s">
        <v>8</v>
      </c>
      <c r="C23" s="2"/>
      <c r="D23" s="1" t="s">
        <v>7</v>
      </c>
      <c r="E23" s="1"/>
      <c r="F23" s="2"/>
      <c r="G23" s="3" t="s">
        <v>5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9</v>
      </c>
      <c r="B24" s="4" t="s">
        <v>10</v>
      </c>
      <c r="C24" s="2"/>
      <c r="D24" s="1" t="s">
        <v>9</v>
      </c>
      <c r="E24" s="1"/>
      <c r="F24" s="2"/>
      <c r="G24" s="3" t="s">
        <v>7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11</v>
      </c>
      <c r="B25" s="4">
        <v>52.0</v>
      </c>
      <c r="C25" s="2"/>
      <c r="D25" s="1" t="s">
        <v>11</v>
      </c>
      <c r="E25" s="1"/>
      <c r="F25" s="2"/>
      <c r="G25" s="3" t="s">
        <v>9</v>
      </c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12</v>
      </c>
      <c r="B26" s="4" t="s">
        <v>13</v>
      </c>
      <c r="C26" s="2"/>
      <c r="D26" s="1" t="s">
        <v>12</v>
      </c>
      <c r="E26" s="1"/>
      <c r="F26" s="2"/>
      <c r="G26" s="3" t="s">
        <v>11</v>
      </c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14</v>
      </c>
      <c r="B27" s="4" t="s">
        <v>15</v>
      </c>
      <c r="C27" s="2"/>
      <c r="D27" s="1" t="s">
        <v>14</v>
      </c>
      <c r="E27" s="1"/>
      <c r="F27" s="2"/>
      <c r="G27" s="3" t="s">
        <v>12</v>
      </c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16</v>
      </c>
      <c r="B28" s="4" t="s">
        <v>17</v>
      </c>
      <c r="C28" s="2"/>
      <c r="D28" s="1" t="s">
        <v>16</v>
      </c>
      <c r="E28" s="1"/>
      <c r="F28" s="2"/>
      <c r="G28" s="3" t="s">
        <v>14</v>
      </c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18</v>
      </c>
      <c r="B29" s="4" t="s">
        <v>19</v>
      </c>
      <c r="C29" s="2"/>
      <c r="D29" s="1" t="s">
        <v>18</v>
      </c>
      <c r="E29" s="1"/>
      <c r="F29" s="2"/>
      <c r="G29" s="3" t="s">
        <v>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20</v>
      </c>
      <c r="B30" s="4" t="s">
        <v>21</v>
      </c>
      <c r="C30" s="2"/>
      <c r="D30" s="1" t="s">
        <v>20</v>
      </c>
      <c r="E30" s="1"/>
      <c r="F30" s="2"/>
      <c r="G30" s="3" t="s">
        <v>18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22</v>
      </c>
      <c r="B31" s="1"/>
      <c r="C31" s="2"/>
      <c r="D31" s="1" t="s">
        <v>22</v>
      </c>
      <c r="E31" s="1"/>
      <c r="F31" s="2"/>
      <c r="G31" s="3" t="s">
        <v>20</v>
      </c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23</v>
      </c>
      <c r="B32" s="4" t="s">
        <v>24</v>
      </c>
      <c r="C32" s="2"/>
      <c r="D32" s="1" t="s">
        <v>23</v>
      </c>
      <c r="E32" s="1"/>
      <c r="F32" s="2"/>
      <c r="G32" s="3" t="s">
        <v>22</v>
      </c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25</v>
      </c>
      <c r="B33" s="4" t="s">
        <v>26</v>
      </c>
      <c r="C33" s="2"/>
      <c r="D33" s="1" t="s">
        <v>25</v>
      </c>
      <c r="E33" s="1"/>
      <c r="F33" s="2"/>
      <c r="G33" s="3" t="s">
        <v>23</v>
      </c>
      <c r="H33" s="6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27</v>
      </c>
      <c r="B34" s="1"/>
      <c r="C34" s="2"/>
      <c r="D34" s="1" t="s">
        <v>27</v>
      </c>
      <c r="E34" s="1"/>
      <c r="F34" s="2"/>
      <c r="G34" s="3" t="s">
        <v>25</v>
      </c>
      <c r="H34" s="6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28</v>
      </c>
      <c r="B35" s="1"/>
      <c r="C35" s="2"/>
      <c r="D35" s="1" t="s">
        <v>28</v>
      </c>
      <c r="E35" s="1"/>
      <c r="F35" s="2"/>
      <c r="G35" s="3" t="s">
        <v>27</v>
      </c>
      <c r="H35" s="6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29</v>
      </c>
      <c r="B36" s="4" t="s">
        <v>30</v>
      </c>
      <c r="C36" s="2"/>
      <c r="D36" s="1" t="s">
        <v>29</v>
      </c>
      <c r="E36" s="1"/>
      <c r="F36" s="2"/>
      <c r="G36" s="3" t="s">
        <v>28</v>
      </c>
      <c r="H36" s="6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7" t="s">
        <v>31</v>
      </c>
      <c r="B37" s="7"/>
      <c r="C37" s="2"/>
      <c r="D37" s="1"/>
      <c r="E37" s="1"/>
      <c r="F37" s="2"/>
      <c r="G37" s="3" t="s">
        <v>29</v>
      </c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8"/>
      <c r="C38" s="2"/>
      <c r="D38" s="1" t="s">
        <v>32</v>
      </c>
      <c r="E38" s="1"/>
      <c r="F38" s="2"/>
      <c r="G38" s="6"/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32</v>
      </c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9"/>
      <c r="B1" s="10"/>
      <c r="C1" s="10"/>
      <c r="D1" s="10"/>
      <c r="E1" s="11"/>
      <c r="F1" s="11"/>
      <c r="G1" s="11"/>
      <c r="H1" s="12"/>
      <c r="I1" s="13"/>
      <c r="J1" s="13"/>
    </row>
    <row r="2" ht="23.25" customHeight="1">
      <c r="A2" s="14"/>
      <c r="B2" s="10"/>
      <c r="C2" s="10"/>
      <c r="D2" s="10"/>
      <c r="E2" s="11"/>
      <c r="F2" s="11"/>
      <c r="G2" s="11"/>
      <c r="H2" s="12"/>
      <c r="I2" s="13"/>
      <c r="J2" s="13"/>
    </row>
    <row r="3" ht="23.25" customHeight="1">
      <c r="A3" s="14"/>
      <c r="B3" s="15" t="s">
        <v>33</v>
      </c>
      <c r="C3" s="16"/>
      <c r="D3" s="16"/>
      <c r="E3" s="17"/>
      <c r="F3" s="17"/>
      <c r="G3" s="17"/>
      <c r="H3" s="17"/>
      <c r="I3" s="13"/>
      <c r="J3" s="13"/>
    </row>
    <row r="4">
      <c r="A4" s="14"/>
      <c r="B4" s="18" t="s">
        <v>34</v>
      </c>
      <c r="C4" s="19" t="s">
        <v>35</v>
      </c>
      <c r="D4" s="20" t="s">
        <v>36</v>
      </c>
      <c r="E4" s="19" t="s">
        <v>37</v>
      </c>
      <c r="F4" s="21" t="s">
        <v>38</v>
      </c>
      <c r="G4" s="21" t="s">
        <v>39</v>
      </c>
      <c r="H4" s="21" t="s">
        <v>40</v>
      </c>
      <c r="I4" s="13"/>
      <c r="J4" s="13"/>
    </row>
    <row r="5">
      <c r="A5" s="14"/>
      <c r="B5" s="22"/>
      <c r="C5" s="22">
        <v>1.0</v>
      </c>
      <c r="D5" s="23"/>
      <c r="E5" s="22"/>
      <c r="F5" s="24"/>
      <c r="G5" s="25"/>
      <c r="H5" s="25"/>
      <c r="I5" s="13"/>
      <c r="J5" s="13"/>
    </row>
    <row r="6">
      <c r="A6" s="14"/>
      <c r="B6" s="26"/>
      <c r="C6" s="26"/>
      <c r="D6" s="27"/>
      <c r="E6" s="28" t="s">
        <v>41</v>
      </c>
      <c r="F6" s="29"/>
      <c r="G6" s="30"/>
      <c r="H6" s="30"/>
      <c r="I6" s="13"/>
      <c r="J6" s="13"/>
    </row>
    <row r="7">
      <c r="A7" s="14"/>
      <c r="B7" s="26"/>
      <c r="C7" s="26"/>
      <c r="D7" s="27"/>
      <c r="E7" s="31" t="s">
        <v>42</v>
      </c>
      <c r="F7" s="29"/>
      <c r="G7" s="30"/>
      <c r="H7" s="30"/>
      <c r="I7" s="13"/>
      <c r="J7" s="13"/>
    </row>
    <row r="8">
      <c r="A8" s="14"/>
      <c r="B8" s="26"/>
      <c r="C8" s="26"/>
      <c r="D8" s="27"/>
      <c r="E8" s="32" t="s">
        <v>43</v>
      </c>
      <c r="F8" s="28"/>
      <c r="G8" s="28"/>
      <c r="H8" s="28"/>
      <c r="I8" s="13"/>
      <c r="J8" s="13"/>
    </row>
    <row r="9">
      <c r="A9" s="14"/>
      <c r="B9" s="22"/>
      <c r="C9" s="22"/>
      <c r="D9" s="23"/>
      <c r="E9" s="22"/>
      <c r="F9" s="24"/>
      <c r="G9" s="25"/>
      <c r="H9" s="25"/>
      <c r="I9" s="13"/>
      <c r="J9" s="13"/>
    </row>
    <row r="10">
      <c r="A10" s="14"/>
      <c r="B10" s="22"/>
      <c r="C10" s="22"/>
      <c r="D10" s="23"/>
      <c r="E10" s="22"/>
      <c r="F10" s="24"/>
      <c r="G10" s="25"/>
      <c r="H10" s="25"/>
      <c r="I10" s="13"/>
      <c r="J10" s="13"/>
    </row>
    <row r="11">
      <c r="A11" s="14"/>
      <c r="B11" s="26"/>
      <c r="C11" s="26"/>
      <c r="D11" s="33"/>
      <c r="E11" s="28" t="s">
        <v>44</v>
      </c>
      <c r="F11" s="34"/>
      <c r="G11" s="35"/>
      <c r="H11" s="35"/>
      <c r="I11" s="13"/>
      <c r="J11" s="13"/>
    </row>
    <row r="12">
      <c r="A12" s="14"/>
      <c r="B12" s="26"/>
      <c r="C12" s="26"/>
      <c r="D12" s="36"/>
      <c r="E12" s="31" t="s">
        <v>45</v>
      </c>
      <c r="F12" s="36">
        <v>0.5</v>
      </c>
      <c r="G12" s="36">
        <v>1.0</v>
      </c>
      <c r="H12" s="35"/>
      <c r="I12" s="13"/>
      <c r="J12" s="13"/>
    </row>
    <row r="13">
      <c r="A13" s="14"/>
      <c r="B13" s="26"/>
      <c r="C13" s="37"/>
      <c r="D13" s="36"/>
      <c r="E13" s="38" t="s">
        <v>46</v>
      </c>
      <c r="F13" s="36"/>
      <c r="G13" s="36"/>
      <c r="H13" s="35"/>
      <c r="I13" s="13"/>
      <c r="J13" s="13"/>
    </row>
    <row r="14">
      <c r="A14" s="14"/>
      <c r="B14" s="26"/>
      <c r="C14" s="37"/>
      <c r="D14" s="36"/>
      <c r="E14" s="38" t="s">
        <v>47</v>
      </c>
      <c r="F14" s="36"/>
      <c r="G14" s="36"/>
      <c r="H14" s="35"/>
      <c r="I14" s="13"/>
      <c r="J14" s="13"/>
    </row>
    <row r="15">
      <c r="A15" s="14"/>
      <c r="B15" s="26"/>
      <c r="C15" s="37"/>
      <c r="D15" s="36"/>
      <c r="E15" s="38" t="s">
        <v>48</v>
      </c>
      <c r="F15" s="33"/>
      <c r="G15" s="39"/>
      <c r="H15" s="35"/>
      <c r="I15" s="13"/>
      <c r="J15" s="13"/>
    </row>
    <row r="16">
      <c r="A16" s="14"/>
      <c r="B16" s="26"/>
      <c r="C16" s="37"/>
      <c r="D16" s="36"/>
      <c r="E16" s="38" t="s">
        <v>49</v>
      </c>
      <c r="F16" s="33"/>
      <c r="G16" s="39"/>
      <c r="H16" s="35"/>
      <c r="I16" s="13"/>
      <c r="J16" s="13"/>
    </row>
    <row r="17">
      <c r="A17" s="14"/>
      <c r="B17" s="26"/>
      <c r="C17" s="37"/>
      <c r="D17" s="36"/>
      <c r="E17" s="38" t="s">
        <v>50</v>
      </c>
      <c r="F17" s="33"/>
      <c r="G17" s="39"/>
      <c r="H17" s="35"/>
      <c r="I17" s="13"/>
      <c r="J17" s="13"/>
    </row>
    <row r="18">
      <c r="A18" s="14"/>
      <c r="B18" s="26"/>
      <c r="C18" s="37"/>
      <c r="D18" s="40"/>
      <c r="E18" s="38" t="s">
        <v>51</v>
      </c>
      <c r="F18" s="33"/>
      <c r="G18" s="39"/>
      <c r="H18" s="35"/>
      <c r="I18" s="13"/>
      <c r="J18" s="13"/>
    </row>
    <row r="19">
      <c r="A19" s="14"/>
      <c r="B19" s="26"/>
      <c r="C19" s="37"/>
      <c r="D19" s="36"/>
      <c r="E19" s="38" t="s">
        <v>52</v>
      </c>
      <c r="F19" s="39"/>
      <c r="G19" s="39"/>
      <c r="H19" s="35"/>
      <c r="I19" s="13"/>
      <c r="J19" s="13"/>
    </row>
    <row r="20">
      <c r="A20" s="14"/>
      <c r="B20" s="26"/>
      <c r="C20" s="26"/>
      <c r="D20" s="36"/>
      <c r="E20" s="31" t="s">
        <v>53</v>
      </c>
      <c r="F20" s="35"/>
      <c r="G20" s="36">
        <v>1.0</v>
      </c>
      <c r="H20" s="35"/>
      <c r="I20" s="13"/>
      <c r="J20" s="13"/>
    </row>
    <row r="21">
      <c r="A21" s="14"/>
      <c r="B21" s="26"/>
      <c r="C21" s="26"/>
      <c r="D21" s="26"/>
      <c r="E21" s="28" t="s">
        <v>54</v>
      </c>
      <c r="F21" s="26"/>
      <c r="G21" s="26"/>
      <c r="H21" s="35"/>
      <c r="I21" s="13"/>
      <c r="J21" s="13"/>
    </row>
    <row r="22">
      <c r="A22" s="14"/>
      <c r="B22" s="22"/>
      <c r="C22" s="22"/>
      <c r="D22" s="23"/>
      <c r="E22" s="22"/>
      <c r="F22" s="24"/>
      <c r="G22" s="25"/>
      <c r="H22" s="25"/>
      <c r="I22" s="13"/>
      <c r="J22" s="13"/>
    </row>
    <row r="23">
      <c r="A23" s="14"/>
      <c r="B23" s="22"/>
      <c r="C23" s="22"/>
      <c r="D23" s="23"/>
      <c r="E23" s="22"/>
      <c r="F23" s="24"/>
      <c r="G23" s="25"/>
      <c r="H23" s="25"/>
      <c r="I23" s="13"/>
      <c r="J23" s="13"/>
    </row>
    <row r="24">
      <c r="A24" s="14"/>
      <c r="B24" s="22"/>
      <c r="C24" s="22"/>
      <c r="D24" s="23"/>
      <c r="E24" s="22"/>
      <c r="F24" s="24"/>
      <c r="G24" s="25"/>
      <c r="H24" s="25"/>
      <c r="I24" s="13"/>
      <c r="J24" s="13"/>
    </row>
    <row r="25">
      <c r="A25" s="14"/>
      <c r="B25" s="26"/>
      <c r="C25" s="26"/>
      <c r="D25" s="26"/>
      <c r="E25" s="41" t="s">
        <v>55</v>
      </c>
      <c r="F25" s="26"/>
      <c r="G25" s="26"/>
      <c r="H25" s="26"/>
      <c r="I25" s="13"/>
      <c r="J25" s="13"/>
    </row>
    <row r="26">
      <c r="A26" s="14"/>
      <c r="B26" s="26"/>
      <c r="C26" s="26"/>
      <c r="D26" s="34"/>
      <c r="E26" s="31" t="s">
        <v>56</v>
      </c>
      <c r="F26" s="26"/>
      <c r="G26" s="26"/>
      <c r="H26" s="26"/>
      <c r="I26" s="13"/>
      <c r="J26" s="13"/>
    </row>
    <row r="27">
      <c r="A27" s="14"/>
      <c r="B27" s="26"/>
      <c r="C27" s="26"/>
      <c r="D27" s="34"/>
      <c r="E27" s="41" t="s">
        <v>57</v>
      </c>
      <c r="F27" s="26"/>
      <c r="G27" s="26"/>
      <c r="H27" s="26"/>
      <c r="I27" s="13"/>
      <c r="J27" s="13"/>
    </row>
    <row r="28" ht="23.25" customHeight="1">
      <c r="A28" s="42"/>
      <c r="B28" s="10"/>
      <c r="C28" s="43"/>
      <c r="D28" s="10"/>
      <c r="E28" s="13"/>
      <c r="F28" s="44">
        <f t="shared" ref="F28:H28" si="1">SUM(F5:F27)</f>
        <v>0.5</v>
      </c>
      <c r="G28" s="44">
        <f t="shared" si="1"/>
        <v>2</v>
      </c>
      <c r="H28" s="44">
        <f t="shared" si="1"/>
        <v>0</v>
      </c>
      <c r="I28" s="13"/>
      <c r="J28" s="13"/>
    </row>
    <row r="29" ht="23.25" customHeight="1">
      <c r="A29" s="14"/>
      <c r="B29" s="10"/>
      <c r="C29" s="43"/>
      <c r="D29" s="10"/>
      <c r="E29" s="13"/>
      <c r="F29" s="45"/>
      <c r="G29" s="13"/>
      <c r="H29" s="13"/>
      <c r="I29" s="13"/>
      <c r="J29" s="13"/>
    </row>
    <row r="30" ht="23.25" customHeight="1">
      <c r="A30" s="14"/>
      <c r="B30" s="10"/>
      <c r="C30" s="43"/>
      <c r="D30" s="10"/>
      <c r="E30" s="13"/>
      <c r="F30" s="45"/>
      <c r="G30" s="13"/>
      <c r="H30" s="13"/>
      <c r="I30" s="13"/>
      <c r="J30" s="13"/>
    </row>
    <row r="31" ht="23.25" customHeight="1">
      <c r="A31" s="14"/>
      <c r="B31" s="10"/>
      <c r="C31" s="43"/>
      <c r="D31" s="10"/>
      <c r="E31" s="13"/>
      <c r="F31" s="45"/>
      <c r="G31" s="13"/>
      <c r="H31" s="13"/>
      <c r="I31" s="13"/>
      <c r="J31" s="13"/>
    </row>
    <row r="32" ht="23.25" customHeight="1">
      <c r="A32" s="14"/>
      <c r="B32" s="10"/>
      <c r="C32" s="43"/>
      <c r="D32" s="10"/>
      <c r="E32" s="13"/>
      <c r="F32" s="45"/>
      <c r="G32" s="13"/>
      <c r="H32" s="13"/>
      <c r="I32" s="13"/>
      <c r="J32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75"/>
    <col customWidth="1" min="3" max="3" width="12.13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4.38"/>
    <col customWidth="1" min="10" max="10" width="9.63"/>
    <col customWidth="1" min="11" max="11" width="4.88"/>
    <col customWidth="1" min="12" max="12" width="10.38"/>
    <col customWidth="1" min="13" max="13" width="9.5"/>
    <col customWidth="1" min="14" max="14" width="14.63"/>
    <col customWidth="1" min="15" max="15" width="11.5"/>
    <col customWidth="1" min="16" max="16" width="8.0"/>
    <col customWidth="1" min="17" max="17" width="11.63"/>
    <col customWidth="1" min="18" max="18" width="7.63"/>
    <col customWidth="1" min="19" max="19" width="21.0"/>
    <col customWidth="1" min="20" max="20" width="9.13"/>
    <col customWidth="1" min="21" max="21" width="6.5"/>
    <col customWidth="1" min="22" max="22" width="23.5"/>
    <col customWidth="1" min="23" max="23" width="16.5"/>
    <col customWidth="1" min="24" max="24" width="14.5"/>
    <col customWidth="1" min="25" max="25" width="26.88"/>
    <col customWidth="1" min="26" max="26" width="16.25"/>
    <col customWidth="1" min="27" max="27" width="15.0"/>
    <col customWidth="1" min="28" max="28" width="20.13"/>
    <col customWidth="1" min="29" max="29" width="28.25"/>
    <col customWidth="1" min="30" max="30" width="13.5"/>
    <col customWidth="1" min="31" max="31" width="19.88"/>
    <col customWidth="1" min="32" max="32" width="20.88"/>
    <col customWidth="1" min="34" max="39" width="19.63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7"/>
      <c r="L1" s="47"/>
      <c r="M1" s="47"/>
      <c r="N1" s="47"/>
      <c r="O1" s="47"/>
      <c r="P1" s="47"/>
      <c r="Q1" s="46"/>
      <c r="R1" s="46"/>
      <c r="S1" s="46"/>
      <c r="T1" s="48"/>
      <c r="U1" s="49"/>
      <c r="V1" s="46"/>
      <c r="W1" s="48"/>
      <c r="X1" s="49"/>
      <c r="Y1" s="48"/>
      <c r="Z1" s="48"/>
      <c r="AA1" s="46"/>
      <c r="AB1" s="48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</row>
    <row r="2" ht="15.7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7"/>
      <c r="L2" s="46"/>
      <c r="M2" s="46"/>
      <c r="N2" s="46"/>
      <c r="O2" s="46"/>
      <c r="P2" s="46"/>
      <c r="Q2" s="46"/>
      <c r="R2" s="46"/>
      <c r="S2" s="46"/>
      <c r="T2" s="48"/>
      <c r="U2" s="49"/>
      <c r="V2" s="46"/>
      <c r="W2" s="48"/>
      <c r="X2" s="49"/>
      <c r="Y2" s="50" t="s">
        <v>58</v>
      </c>
      <c r="Z2" s="48"/>
      <c r="AA2" s="46"/>
      <c r="AB2" s="48"/>
      <c r="AC2" s="46"/>
      <c r="AD2" s="46"/>
      <c r="AE2" s="46"/>
      <c r="AF2" s="46"/>
      <c r="AG2" s="51" t="s">
        <v>59</v>
      </c>
      <c r="AH2" s="52"/>
      <c r="AI2" s="52"/>
      <c r="AJ2" s="52"/>
      <c r="AK2" s="46"/>
      <c r="AL2" s="52"/>
      <c r="AM2" s="46"/>
    </row>
    <row r="3">
      <c r="A3" s="46"/>
      <c r="B3" s="53"/>
      <c r="C3" s="54" t="s">
        <v>60</v>
      </c>
      <c r="D3" s="53"/>
      <c r="E3" s="53"/>
      <c r="F3" s="53"/>
      <c r="G3" s="53"/>
      <c r="H3" s="53"/>
      <c r="I3" s="55"/>
      <c r="J3" s="55"/>
      <c r="K3" s="47"/>
      <c r="L3" s="56"/>
      <c r="M3" s="56"/>
      <c r="N3" s="57"/>
      <c r="O3" s="56"/>
      <c r="P3" s="49"/>
      <c r="Q3" s="54" t="s">
        <v>60</v>
      </c>
      <c r="R3" s="58"/>
      <c r="S3" s="58"/>
      <c r="T3" s="58"/>
      <c r="U3" s="49"/>
      <c r="V3" s="59" t="s">
        <v>61</v>
      </c>
      <c r="W3" s="60"/>
      <c r="X3" s="49"/>
      <c r="Y3" s="61" t="s">
        <v>60</v>
      </c>
      <c r="Z3" s="62"/>
      <c r="AA3" s="62"/>
      <c r="AB3" s="62"/>
      <c r="AC3" s="56"/>
      <c r="AD3" s="56"/>
      <c r="AE3" s="56"/>
      <c r="AF3" s="46"/>
      <c r="AG3" s="63" t="s">
        <v>62</v>
      </c>
      <c r="AH3" s="62"/>
      <c r="AI3" s="64"/>
      <c r="AJ3" s="65"/>
      <c r="AK3" s="46"/>
      <c r="AL3" s="65"/>
      <c r="AM3" s="46"/>
    </row>
    <row r="4">
      <c r="A4" s="46"/>
      <c r="B4" s="66" t="s">
        <v>63</v>
      </c>
      <c r="C4" s="66" t="s">
        <v>64</v>
      </c>
      <c r="D4" s="66" t="s">
        <v>65</v>
      </c>
      <c r="E4" s="67" t="s">
        <v>66</v>
      </c>
      <c r="F4" s="67" t="s">
        <v>67</v>
      </c>
      <c r="G4" s="68" t="s">
        <v>68</v>
      </c>
      <c r="H4" s="68" t="s">
        <v>69</v>
      </c>
      <c r="I4" s="69" t="s">
        <v>1</v>
      </c>
      <c r="J4" s="69" t="s">
        <v>70</v>
      </c>
      <c r="K4" s="47"/>
      <c r="L4" s="69" t="s">
        <v>1</v>
      </c>
      <c r="M4" s="69" t="s">
        <v>70</v>
      </c>
      <c r="N4" s="69" t="s">
        <v>1</v>
      </c>
      <c r="O4" s="69" t="s">
        <v>70</v>
      </c>
      <c r="P4" s="49"/>
      <c r="Q4" s="70"/>
      <c r="R4" s="71"/>
      <c r="S4" s="72" t="s">
        <v>71</v>
      </c>
      <c r="T4" s="72" t="s">
        <v>72</v>
      </c>
      <c r="U4" s="49"/>
      <c r="V4" s="73" t="s">
        <v>73</v>
      </c>
      <c r="W4" s="74" t="s">
        <v>74</v>
      </c>
      <c r="X4" s="49"/>
      <c r="Y4" s="75" t="s">
        <v>75</v>
      </c>
      <c r="Z4" s="76" t="s">
        <v>76</v>
      </c>
      <c r="AA4" s="76" t="s">
        <v>77</v>
      </c>
      <c r="AB4" s="76" t="s">
        <v>78</v>
      </c>
      <c r="AC4" s="76" t="s">
        <v>79</v>
      </c>
      <c r="AD4" s="76" t="s">
        <v>80</v>
      </c>
      <c r="AE4" s="76" t="s">
        <v>81</v>
      </c>
      <c r="AF4" s="77"/>
      <c r="AG4" s="78" t="s">
        <v>82</v>
      </c>
      <c r="AH4" s="76" t="s">
        <v>83</v>
      </c>
      <c r="AI4" s="79" t="s">
        <v>84</v>
      </c>
      <c r="AJ4" s="76" t="s">
        <v>85</v>
      </c>
      <c r="AK4" s="46"/>
      <c r="AL4" s="79" t="s">
        <v>85</v>
      </c>
      <c r="AM4" s="46"/>
    </row>
    <row r="5">
      <c r="A5" s="46"/>
      <c r="B5" s="46"/>
      <c r="C5" s="46"/>
      <c r="D5" s="46"/>
      <c r="E5" s="80" t="s">
        <v>86</v>
      </c>
      <c r="F5" s="37" t="s">
        <v>87</v>
      </c>
      <c r="G5" s="81"/>
      <c r="H5" s="82"/>
      <c r="I5" s="81">
        <f>G5*H5</f>
        <v>0</v>
      </c>
      <c r="J5" s="81">
        <f>G5*H5</f>
        <v>0</v>
      </c>
      <c r="K5" s="47"/>
      <c r="L5" s="81">
        <f t="shared" ref="L5:M5" si="1">I5/0.7</f>
        <v>0</v>
      </c>
      <c r="M5" s="81">
        <f t="shared" si="1"/>
        <v>0</v>
      </c>
      <c r="N5" s="83">
        <f t="shared" ref="N5:O5" si="2">L5/$H$72</f>
        <v>0</v>
      </c>
      <c r="O5" s="83">
        <f t="shared" si="2"/>
        <v>0</v>
      </c>
      <c r="P5" s="47"/>
      <c r="Q5" s="84"/>
      <c r="R5" s="84"/>
      <c r="S5" s="84"/>
      <c r="T5" s="84"/>
      <c r="U5" s="49"/>
      <c r="V5" s="85"/>
      <c r="W5" s="86"/>
      <c r="X5" s="49"/>
      <c r="Y5" s="87"/>
      <c r="Z5" s="88"/>
      <c r="AA5" s="87"/>
      <c r="AB5" s="88"/>
      <c r="AC5" s="89"/>
      <c r="AD5" s="89"/>
      <c r="AE5" s="89"/>
      <c r="AF5" s="46"/>
      <c r="AG5" s="90"/>
      <c r="AH5" s="91"/>
      <c r="AI5" s="91"/>
      <c r="AJ5" s="91"/>
      <c r="AK5" s="46"/>
      <c r="AL5" s="91"/>
      <c r="AM5" s="46"/>
    </row>
    <row r="6">
      <c r="A6" s="46"/>
      <c r="B6" s="92"/>
      <c r="C6" s="92"/>
      <c r="D6" s="92"/>
      <c r="E6" s="93" t="s">
        <v>88</v>
      </c>
      <c r="F6" s="94"/>
      <c r="G6" s="95"/>
      <c r="H6" s="96"/>
      <c r="I6" s="97">
        <v>1300000.0</v>
      </c>
      <c r="J6" s="81"/>
      <c r="K6" s="47"/>
      <c r="L6" s="95"/>
      <c r="M6" s="95"/>
      <c r="N6" s="98">
        <v>485.0</v>
      </c>
      <c r="O6" s="81"/>
      <c r="P6" s="47"/>
      <c r="Q6" s="49"/>
      <c r="R6" s="85"/>
      <c r="S6" s="86"/>
      <c r="T6" s="49"/>
      <c r="U6" s="49"/>
      <c r="V6" s="99"/>
      <c r="W6" s="99"/>
      <c r="X6" s="49"/>
      <c r="Y6" s="100"/>
      <c r="Z6" s="99"/>
      <c r="AA6" s="100"/>
      <c r="AB6" s="48"/>
      <c r="AC6" s="101"/>
      <c r="AD6" s="102"/>
      <c r="AE6" s="102"/>
      <c r="AF6" s="102"/>
      <c r="AG6" s="47"/>
      <c r="AH6" s="46"/>
      <c r="AI6" s="91"/>
      <c r="AJ6" s="46"/>
      <c r="AK6" s="46"/>
      <c r="AL6" s="46"/>
      <c r="AM6" s="46"/>
    </row>
    <row r="7">
      <c r="A7" s="46"/>
      <c r="B7" s="92"/>
      <c r="C7" s="92"/>
      <c r="D7" s="92"/>
      <c r="E7" s="103" t="s">
        <v>89</v>
      </c>
      <c r="F7" s="104"/>
      <c r="G7" s="105"/>
      <c r="H7" s="106"/>
      <c r="I7" s="105"/>
      <c r="J7" s="81"/>
      <c r="K7" s="47"/>
      <c r="L7" s="105"/>
      <c r="M7" s="105"/>
      <c r="N7" s="105"/>
      <c r="O7" s="81"/>
      <c r="P7" s="47"/>
      <c r="Q7" s="49"/>
      <c r="R7" s="85"/>
      <c r="S7" s="86"/>
      <c r="T7" s="49"/>
      <c r="U7" s="49"/>
      <c r="V7" s="99"/>
      <c r="W7" s="99"/>
      <c r="X7" s="49"/>
      <c r="Y7" s="100"/>
      <c r="Z7" s="99"/>
      <c r="AA7" s="101"/>
      <c r="AB7" s="47"/>
      <c r="AC7" s="101"/>
      <c r="AD7" s="102"/>
      <c r="AE7" s="91"/>
      <c r="AF7" s="91"/>
      <c r="AG7" s="46"/>
      <c r="AH7" s="46"/>
      <c r="AI7" s="91"/>
      <c r="AJ7" s="46"/>
      <c r="AK7" s="46"/>
      <c r="AL7" s="46"/>
      <c r="AM7" s="46"/>
    </row>
    <row r="8">
      <c r="A8" s="46"/>
      <c r="B8" s="46"/>
      <c r="C8" s="46"/>
      <c r="D8" s="107" t="s">
        <v>90</v>
      </c>
      <c r="E8" s="108" t="s">
        <v>91</v>
      </c>
      <c r="F8" s="109"/>
      <c r="G8" s="110"/>
      <c r="H8" s="111"/>
      <c r="I8" s="110"/>
      <c r="J8" s="81"/>
      <c r="K8" s="47"/>
      <c r="L8" s="110"/>
      <c r="M8" s="110"/>
      <c r="N8" s="110"/>
      <c r="O8" s="81"/>
      <c r="P8" s="47"/>
      <c r="Q8" s="49"/>
      <c r="R8" s="85"/>
      <c r="S8" s="86"/>
      <c r="T8" s="49"/>
      <c r="U8" s="49"/>
      <c r="V8" s="99"/>
      <c r="W8" s="99"/>
      <c r="X8" s="49"/>
      <c r="Y8" s="100"/>
      <c r="Z8" s="99"/>
      <c r="AA8" s="101"/>
      <c r="AB8" s="47"/>
      <c r="AC8" s="101"/>
      <c r="AD8" s="102"/>
      <c r="AE8" s="91"/>
      <c r="AF8" s="91"/>
      <c r="AG8" s="46"/>
      <c r="AH8" s="46"/>
      <c r="AI8" s="91"/>
      <c r="AJ8" s="46"/>
      <c r="AK8" s="46"/>
      <c r="AL8" s="46"/>
      <c r="AM8" s="46"/>
    </row>
    <row r="9">
      <c r="A9" s="46"/>
      <c r="B9" s="46"/>
      <c r="C9" s="46"/>
      <c r="D9" s="46"/>
      <c r="E9" s="112" t="s">
        <v>92</v>
      </c>
      <c r="F9" s="109"/>
      <c r="G9" s="110"/>
      <c r="H9" s="111"/>
      <c r="I9" s="110"/>
      <c r="J9" s="81"/>
      <c r="K9" s="47"/>
      <c r="L9" s="110"/>
      <c r="M9" s="110"/>
      <c r="N9" s="110"/>
      <c r="O9" s="81"/>
      <c r="P9" s="47"/>
      <c r="Q9" s="49"/>
      <c r="R9" s="85"/>
      <c r="S9" s="86"/>
      <c r="T9" s="49"/>
      <c r="U9" s="49"/>
      <c r="V9" s="99"/>
      <c r="W9" s="99"/>
      <c r="X9" s="49"/>
      <c r="Y9" s="100"/>
      <c r="Z9" s="99"/>
      <c r="AA9" s="101"/>
      <c r="AB9" s="47"/>
      <c r="AC9" s="101"/>
      <c r="AD9" s="102"/>
      <c r="AE9" s="102"/>
      <c r="AF9" s="102"/>
      <c r="AG9" s="47"/>
      <c r="AH9" s="46"/>
      <c r="AI9" s="91"/>
      <c r="AJ9" s="46"/>
      <c r="AK9" s="46"/>
      <c r="AL9" s="46"/>
      <c r="AM9" s="46"/>
    </row>
    <row r="10">
      <c r="A10" s="46"/>
      <c r="B10" s="46"/>
      <c r="C10" s="46"/>
      <c r="D10" s="107" t="s">
        <v>90</v>
      </c>
      <c r="E10" s="112" t="s">
        <v>93</v>
      </c>
      <c r="F10" s="109"/>
      <c r="G10" s="110"/>
      <c r="H10" s="111"/>
      <c r="I10" s="110"/>
      <c r="J10" s="81"/>
      <c r="K10" s="47"/>
      <c r="L10" s="110"/>
      <c r="M10" s="110"/>
      <c r="N10" s="110"/>
      <c r="O10" s="81"/>
      <c r="P10" s="47"/>
      <c r="Q10" s="49"/>
      <c r="R10" s="85"/>
      <c r="S10" s="86"/>
      <c r="T10" s="49"/>
      <c r="U10" s="49"/>
      <c r="V10" s="99"/>
      <c r="W10" s="99"/>
      <c r="X10" s="49"/>
      <c r="Y10" s="100"/>
      <c r="Z10" s="99"/>
      <c r="AA10" s="101"/>
      <c r="AB10" s="47"/>
      <c r="AC10" s="101"/>
      <c r="AD10" s="102"/>
      <c r="AE10" s="91"/>
      <c r="AF10" s="91"/>
      <c r="AG10" s="46"/>
      <c r="AH10" s="46"/>
      <c r="AI10" s="91"/>
      <c r="AJ10" s="46"/>
      <c r="AK10" s="46"/>
      <c r="AL10" s="46"/>
      <c r="AM10" s="46"/>
    </row>
    <row r="11">
      <c r="A11" s="46"/>
      <c r="B11" s="46"/>
      <c r="C11" s="46"/>
      <c r="D11" s="107" t="s">
        <v>90</v>
      </c>
      <c r="E11" s="112" t="s">
        <v>94</v>
      </c>
      <c r="F11" s="109"/>
      <c r="G11" s="110"/>
      <c r="H11" s="111"/>
      <c r="I11" s="110"/>
      <c r="J11" s="81"/>
      <c r="K11" s="47"/>
      <c r="L11" s="110"/>
      <c r="M11" s="110"/>
      <c r="N11" s="110"/>
      <c r="O11" s="81"/>
      <c r="P11" s="47"/>
      <c r="Q11" s="49"/>
      <c r="R11" s="85"/>
      <c r="S11" s="86"/>
      <c r="T11" s="49"/>
      <c r="U11" s="49"/>
      <c r="V11" s="99"/>
      <c r="W11" s="99"/>
      <c r="X11" s="49"/>
      <c r="Y11" s="100"/>
      <c r="Z11" s="99"/>
      <c r="AA11" s="101"/>
      <c r="AB11" s="47"/>
      <c r="AC11" s="101"/>
      <c r="AD11" s="102"/>
      <c r="AE11" s="91"/>
      <c r="AF11" s="91"/>
      <c r="AG11" s="46"/>
      <c r="AH11" s="46"/>
      <c r="AI11" s="91"/>
      <c r="AJ11" s="46"/>
      <c r="AK11" s="46"/>
      <c r="AL11" s="46"/>
      <c r="AM11" s="46"/>
    </row>
    <row r="12">
      <c r="A12" s="46"/>
      <c r="B12" s="92"/>
      <c r="C12" s="92"/>
      <c r="D12" s="92"/>
      <c r="E12" s="113" t="s">
        <v>95</v>
      </c>
      <c r="F12" s="114"/>
      <c r="G12" s="115"/>
      <c r="H12" s="114"/>
      <c r="I12" s="115"/>
      <c r="J12" s="81"/>
      <c r="K12" s="47"/>
      <c r="L12" s="115"/>
      <c r="M12" s="115"/>
      <c r="N12" s="115"/>
      <c r="O12" s="81"/>
      <c r="P12" s="47"/>
      <c r="Q12" s="49"/>
      <c r="R12" s="85"/>
      <c r="S12" s="86"/>
      <c r="T12" s="49"/>
      <c r="U12" s="49"/>
      <c r="V12" s="99"/>
      <c r="W12" s="99"/>
      <c r="X12" s="49"/>
      <c r="Y12" s="100"/>
      <c r="Z12" s="99"/>
      <c r="AA12" s="101"/>
      <c r="AB12" s="47"/>
      <c r="AC12" s="101"/>
      <c r="AD12" s="102"/>
      <c r="AE12" s="91"/>
      <c r="AF12" s="91"/>
      <c r="AG12" s="46"/>
      <c r="AH12" s="46"/>
      <c r="AI12" s="91"/>
      <c r="AJ12" s="46"/>
      <c r="AK12" s="46"/>
      <c r="AL12" s="46"/>
      <c r="AM12" s="46"/>
    </row>
    <row r="13">
      <c r="A13" s="46"/>
      <c r="B13" s="46"/>
      <c r="C13" s="46"/>
      <c r="D13" s="107" t="s">
        <v>90</v>
      </c>
      <c r="E13" s="112" t="s">
        <v>96</v>
      </c>
      <c r="F13" s="109"/>
      <c r="G13" s="110"/>
      <c r="H13" s="111"/>
      <c r="I13" s="110"/>
      <c r="J13" s="81"/>
      <c r="K13" s="47"/>
      <c r="L13" s="110"/>
      <c r="M13" s="110"/>
      <c r="N13" s="110"/>
      <c r="O13" s="81"/>
      <c r="P13" s="47"/>
      <c r="Q13" s="49"/>
      <c r="R13" s="85"/>
      <c r="S13" s="86"/>
      <c r="T13" s="49"/>
      <c r="U13" s="49"/>
      <c r="V13" s="99"/>
      <c r="W13" s="99"/>
      <c r="X13" s="49"/>
      <c r="Y13" s="100"/>
      <c r="Z13" s="99"/>
      <c r="AA13" s="101"/>
      <c r="AB13" s="47"/>
      <c r="AC13" s="101"/>
      <c r="AD13" s="102"/>
      <c r="AE13" s="91"/>
      <c r="AF13" s="91"/>
      <c r="AG13" s="46"/>
      <c r="AH13" s="46"/>
      <c r="AI13" s="91"/>
      <c r="AJ13" s="46"/>
      <c r="AK13" s="46"/>
      <c r="AL13" s="46"/>
      <c r="AM13" s="46"/>
    </row>
    <row r="14">
      <c r="A14" s="46"/>
      <c r="B14" s="46"/>
      <c r="C14" s="46"/>
      <c r="D14" s="107" t="s">
        <v>90</v>
      </c>
      <c r="E14" s="112" t="s">
        <v>97</v>
      </c>
      <c r="F14" s="109"/>
      <c r="G14" s="110"/>
      <c r="H14" s="111"/>
      <c r="I14" s="110"/>
      <c r="J14" s="81"/>
      <c r="K14" s="47"/>
      <c r="L14" s="110"/>
      <c r="M14" s="110"/>
      <c r="N14" s="110"/>
      <c r="O14" s="81"/>
      <c r="P14" s="47"/>
      <c r="Q14" s="49"/>
      <c r="R14" s="85"/>
      <c r="S14" s="86"/>
      <c r="T14" s="49"/>
      <c r="U14" s="49"/>
      <c r="V14" s="99"/>
      <c r="W14" s="99"/>
      <c r="X14" s="49"/>
      <c r="Y14" s="100"/>
      <c r="Z14" s="99"/>
      <c r="AA14" s="101"/>
      <c r="AB14" s="47"/>
      <c r="AC14" s="101"/>
      <c r="AD14" s="102"/>
      <c r="AE14" s="91"/>
      <c r="AF14" s="91"/>
      <c r="AG14" s="46"/>
      <c r="AH14" s="46"/>
      <c r="AI14" s="91"/>
      <c r="AJ14" s="46"/>
      <c r="AK14" s="46"/>
      <c r="AL14" s="46"/>
      <c r="AM14" s="46"/>
    </row>
    <row r="15">
      <c r="A15" s="46"/>
      <c r="B15" s="46"/>
      <c r="C15" s="46"/>
      <c r="D15" s="107" t="s">
        <v>90</v>
      </c>
      <c r="E15" s="112" t="s">
        <v>98</v>
      </c>
      <c r="F15" s="109"/>
      <c r="G15" s="110"/>
      <c r="H15" s="111"/>
      <c r="I15" s="110"/>
      <c r="J15" s="81"/>
      <c r="K15" s="47"/>
      <c r="L15" s="110"/>
      <c r="M15" s="110"/>
      <c r="N15" s="110"/>
      <c r="O15" s="81"/>
      <c r="P15" s="47"/>
      <c r="Q15" s="49"/>
      <c r="R15" s="85"/>
      <c r="S15" s="86"/>
      <c r="T15" s="49"/>
      <c r="U15" s="49"/>
      <c r="V15" s="99"/>
      <c r="W15" s="99"/>
      <c r="X15" s="49"/>
      <c r="Y15" s="100"/>
      <c r="Z15" s="99"/>
      <c r="AA15" s="101"/>
      <c r="AB15" s="47"/>
      <c r="AC15" s="101"/>
      <c r="AD15" s="102"/>
      <c r="AE15" s="91"/>
      <c r="AF15" s="91"/>
      <c r="AG15" s="46"/>
      <c r="AH15" s="46"/>
      <c r="AI15" s="91"/>
      <c r="AJ15" s="46"/>
      <c r="AK15" s="46"/>
      <c r="AL15" s="46"/>
      <c r="AM15" s="46"/>
    </row>
    <row r="16">
      <c r="A16" s="46"/>
      <c r="B16" s="46"/>
      <c r="C16" s="46"/>
      <c r="D16" s="107" t="s">
        <v>90</v>
      </c>
      <c r="E16" s="112" t="s">
        <v>99</v>
      </c>
      <c r="F16" s="109"/>
      <c r="G16" s="110"/>
      <c r="H16" s="111"/>
      <c r="I16" s="110"/>
      <c r="J16" s="81"/>
      <c r="K16" s="47"/>
      <c r="L16" s="110"/>
      <c r="M16" s="110"/>
      <c r="N16" s="110"/>
      <c r="O16" s="81"/>
      <c r="P16" s="47"/>
      <c r="Q16" s="49"/>
      <c r="R16" s="85"/>
      <c r="S16" s="86"/>
      <c r="T16" s="49"/>
      <c r="U16" s="49"/>
      <c r="V16" s="99"/>
      <c r="W16" s="99"/>
      <c r="X16" s="49"/>
      <c r="Y16" s="100"/>
      <c r="Z16" s="99"/>
      <c r="AA16" s="101"/>
      <c r="AB16" s="47"/>
      <c r="AC16" s="101"/>
      <c r="AD16" s="102"/>
      <c r="AE16" s="91"/>
      <c r="AF16" s="91"/>
      <c r="AG16" s="46"/>
      <c r="AH16" s="46"/>
      <c r="AI16" s="91"/>
      <c r="AJ16" s="46"/>
      <c r="AK16" s="46"/>
      <c r="AL16" s="46"/>
      <c r="AM16" s="46"/>
    </row>
    <row r="17">
      <c r="A17" s="46"/>
      <c r="B17" s="92"/>
      <c r="C17" s="92"/>
      <c r="D17" s="92"/>
      <c r="E17" s="113" t="s">
        <v>100</v>
      </c>
      <c r="F17" s="114"/>
      <c r="G17" s="115"/>
      <c r="H17" s="114"/>
      <c r="I17" s="115"/>
      <c r="J17" s="81"/>
      <c r="K17" s="47"/>
      <c r="L17" s="115"/>
      <c r="M17" s="115"/>
      <c r="N17" s="115"/>
      <c r="O17" s="81"/>
      <c r="P17" s="47"/>
      <c r="Q17" s="49"/>
      <c r="R17" s="85"/>
      <c r="S17" s="86"/>
      <c r="T17" s="49"/>
      <c r="U17" s="49"/>
      <c r="V17" s="99"/>
      <c r="W17" s="99"/>
      <c r="X17" s="49"/>
      <c r="Y17" s="100"/>
      <c r="Z17" s="99"/>
      <c r="AA17" s="101"/>
      <c r="AB17" s="47"/>
      <c r="AC17" s="101"/>
      <c r="AD17" s="102"/>
      <c r="AE17" s="91"/>
      <c r="AF17" s="91"/>
      <c r="AG17" s="46"/>
      <c r="AH17" s="46"/>
      <c r="AI17" s="91"/>
      <c r="AJ17" s="46"/>
      <c r="AK17" s="46"/>
      <c r="AL17" s="46"/>
      <c r="AM17" s="46"/>
    </row>
    <row r="18">
      <c r="A18" s="46"/>
      <c r="B18" s="46"/>
      <c r="C18" s="46"/>
      <c r="D18" s="107" t="s">
        <v>90</v>
      </c>
      <c r="E18" s="112" t="s">
        <v>101</v>
      </c>
      <c r="F18" s="109"/>
      <c r="G18" s="110"/>
      <c r="H18" s="111"/>
      <c r="I18" s="110"/>
      <c r="J18" s="81"/>
      <c r="K18" s="47"/>
      <c r="L18" s="110"/>
      <c r="M18" s="110"/>
      <c r="N18" s="110"/>
      <c r="O18" s="81"/>
      <c r="P18" s="47"/>
      <c r="Q18" s="49"/>
      <c r="R18" s="85"/>
      <c r="S18" s="86"/>
      <c r="T18" s="49"/>
      <c r="U18" s="49"/>
      <c r="V18" s="99"/>
      <c r="W18" s="99"/>
      <c r="X18" s="49"/>
      <c r="Y18" s="100"/>
      <c r="Z18" s="99"/>
      <c r="AA18" s="101"/>
      <c r="AB18" s="47"/>
      <c r="AC18" s="101"/>
      <c r="AD18" s="102"/>
      <c r="AE18" s="91"/>
      <c r="AF18" s="91"/>
      <c r="AG18" s="46"/>
      <c r="AH18" s="46"/>
      <c r="AI18" s="91"/>
      <c r="AJ18" s="46"/>
      <c r="AK18" s="46"/>
      <c r="AL18" s="46"/>
      <c r="AM18" s="46"/>
    </row>
    <row r="19">
      <c r="A19" s="46"/>
      <c r="B19" s="46"/>
      <c r="C19" s="46"/>
      <c r="D19" s="107" t="s">
        <v>90</v>
      </c>
      <c r="E19" s="112" t="s">
        <v>102</v>
      </c>
      <c r="F19" s="109"/>
      <c r="G19" s="110"/>
      <c r="H19" s="111"/>
      <c r="I19" s="110"/>
      <c r="J19" s="81"/>
      <c r="K19" s="47"/>
      <c r="L19" s="110"/>
      <c r="M19" s="110"/>
      <c r="N19" s="110"/>
      <c r="O19" s="81"/>
      <c r="P19" s="47"/>
      <c r="Q19" s="49"/>
      <c r="R19" s="85"/>
      <c r="S19" s="86"/>
      <c r="T19" s="49"/>
      <c r="U19" s="49"/>
      <c r="V19" s="99"/>
      <c r="W19" s="99"/>
      <c r="X19" s="49"/>
      <c r="Y19" s="100"/>
      <c r="Z19" s="99"/>
      <c r="AA19" s="101"/>
      <c r="AB19" s="47"/>
      <c r="AC19" s="101"/>
      <c r="AD19" s="102"/>
      <c r="AE19" s="91"/>
      <c r="AF19" s="91"/>
      <c r="AG19" s="46"/>
      <c r="AH19" s="46"/>
      <c r="AI19" s="91"/>
      <c r="AJ19" s="46"/>
      <c r="AK19" s="46"/>
      <c r="AL19" s="46"/>
      <c r="AM19" s="46"/>
    </row>
    <row r="20">
      <c r="A20" s="46"/>
      <c r="B20" s="46"/>
      <c r="C20" s="46"/>
      <c r="D20" s="107"/>
      <c r="E20" s="112" t="s">
        <v>103</v>
      </c>
      <c r="F20" s="109"/>
      <c r="G20" s="110"/>
      <c r="H20" s="111"/>
      <c r="I20" s="110"/>
      <c r="J20" s="81"/>
      <c r="K20" s="47"/>
      <c r="L20" s="110"/>
      <c r="M20" s="110"/>
      <c r="N20" s="110"/>
      <c r="O20" s="81"/>
      <c r="P20" s="47"/>
      <c r="Q20" s="49"/>
      <c r="R20" s="85"/>
      <c r="S20" s="86"/>
      <c r="T20" s="49"/>
      <c r="U20" s="49"/>
      <c r="V20" s="99"/>
      <c r="W20" s="99"/>
      <c r="X20" s="49"/>
      <c r="Y20" s="100"/>
      <c r="Z20" s="99"/>
      <c r="AA20" s="101"/>
      <c r="AB20" s="47"/>
      <c r="AC20" s="101"/>
      <c r="AD20" s="102"/>
      <c r="AE20" s="91"/>
      <c r="AF20" s="91"/>
      <c r="AG20" s="46"/>
      <c r="AH20" s="46"/>
      <c r="AI20" s="91"/>
      <c r="AJ20" s="46"/>
      <c r="AK20" s="46"/>
      <c r="AL20" s="46"/>
      <c r="AM20" s="46"/>
    </row>
    <row r="21">
      <c r="A21" s="46"/>
      <c r="B21" s="46"/>
      <c r="C21" s="46"/>
      <c r="D21" s="107"/>
      <c r="E21" s="112" t="s">
        <v>104</v>
      </c>
      <c r="F21" s="109"/>
      <c r="G21" s="110"/>
      <c r="H21" s="111"/>
      <c r="I21" s="110"/>
      <c r="J21" s="81"/>
      <c r="K21" s="47"/>
      <c r="L21" s="110"/>
      <c r="M21" s="110"/>
      <c r="N21" s="110"/>
      <c r="O21" s="81"/>
      <c r="P21" s="47"/>
      <c r="Q21" s="49"/>
      <c r="R21" s="85"/>
      <c r="S21" s="86"/>
      <c r="T21" s="49"/>
      <c r="U21" s="49"/>
      <c r="V21" s="99"/>
      <c r="W21" s="99"/>
      <c r="X21" s="49"/>
      <c r="Y21" s="100"/>
      <c r="Z21" s="99"/>
      <c r="AA21" s="101"/>
      <c r="AB21" s="47"/>
      <c r="AC21" s="101"/>
      <c r="AD21" s="102"/>
      <c r="AE21" s="91"/>
      <c r="AF21" s="91"/>
      <c r="AG21" s="46"/>
      <c r="AH21" s="46"/>
      <c r="AI21" s="91"/>
      <c r="AJ21" s="46"/>
      <c r="AK21" s="46"/>
      <c r="AL21" s="46"/>
      <c r="AM21" s="46"/>
    </row>
    <row r="22">
      <c r="A22" s="46"/>
      <c r="B22" s="92"/>
      <c r="C22" s="92"/>
      <c r="D22" s="92"/>
      <c r="E22" s="113" t="s">
        <v>105</v>
      </c>
      <c r="F22" s="114"/>
      <c r="G22" s="115"/>
      <c r="H22" s="114"/>
      <c r="I22" s="115"/>
      <c r="J22" s="81"/>
      <c r="K22" s="47"/>
      <c r="L22" s="115"/>
      <c r="M22" s="115"/>
      <c r="N22" s="115"/>
      <c r="O22" s="81"/>
      <c r="P22" s="47"/>
      <c r="Q22" s="49"/>
      <c r="R22" s="85"/>
      <c r="S22" s="86"/>
      <c r="T22" s="49"/>
      <c r="U22" s="49"/>
      <c r="V22" s="99"/>
      <c r="W22" s="99"/>
      <c r="X22" s="49"/>
      <c r="Y22" s="100"/>
      <c r="Z22" s="99"/>
      <c r="AA22" s="101"/>
      <c r="AB22" s="47"/>
      <c r="AC22" s="101"/>
      <c r="AD22" s="102"/>
      <c r="AE22" s="91"/>
      <c r="AF22" s="91"/>
      <c r="AG22" s="46"/>
      <c r="AH22" s="46"/>
      <c r="AI22" s="91"/>
      <c r="AJ22" s="46"/>
      <c r="AK22" s="46"/>
      <c r="AL22" s="46"/>
      <c r="AM22" s="46"/>
    </row>
    <row r="23">
      <c r="A23" s="46"/>
      <c r="B23" s="46"/>
      <c r="C23" s="46"/>
      <c r="D23" s="107" t="s">
        <v>90</v>
      </c>
      <c r="E23" s="112" t="s">
        <v>106</v>
      </c>
      <c r="F23" s="109"/>
      <c r="G23" s="110"/>
      <c r="H23" s="111"/>
      <c r="I23" s="110"/>
      <c r="J23" s="81"/>
      <c r="K23" s="47"/>
      <c r="L23" s="110"/>
      <c r="M23" s="110"/>
      <c r="N23" s="110"/>
      <c r="O23" s="81"/>
      <c r="P23" s="47"/>
      <c r="Q23" s="49"/>
      <c r="R23" s="85"/>
      <c r="S23" s="86"/>
      <c r="T23" s="49"/>
      <c r="U23" s="49"/>
      <c r="V23" s="99"/>
      <c r="W23" s="99"/>
      <c r="X23" s="49"/>
      <c r="Y23" s="100"/>
      <c r="Z23" s="99"/>
      <c r="AA23" s="101"/>
      <c r="AB23" s="47"/>
      <c r="AC23" s="101"/>
      <c r="AD23" s="102"/>
      <c r="AE23" s="91"/>
      <c r="AF23" s="91"/>
      <c r="AG23" s="46"/>
      <c r="AH23" s="46"/>
      <c r="AI23" s="91"/>
      <c r="AJ23" s="46"/>
      <c r="AK23" s="46"/>
      <c r="AL23" s="46"/>
      <c r="AM23" s="46"/>
    </row>
    <row r="24">
      <c r="A24" s="46"/>
      <c r="B24" s="46"/>
      <c r="C24" s="46"/>
      <c r="D24" s="107" t="s">
        <v>90</v>
      </c>
      <c r="E24" s="116" t="s">
        <v>107</v>
      </c>
      <c r="F24" s="117"/>
      <c r="G24" s="118">
        <v>10000.0</v>
      </c>
      <c r="H24" s="119">
        <v>1.0</v>
      </c>
      <c r="I24" s="81">
        <f>G24*H24</f>
        <v>10000</v>
      </c>
      <c r="J24" s="81"/>
      <c r="K24" s="47"/>
      <c r="L24" s="120">
        <f>I24/0.6</f>
        <v>16666.66667</v>
      </c>
      <c r="M24" s="121"/>
      <c r="N24" s="83">
        <f>L24/$H$72</f>
        <v>4.385964912</v>
      </c>
      <c r="O24" s="81"/>
      <c r="P24" s="47"/>
      <c r="Q24" s="84"/>
      <c r="R24" s="84"/>
      <c r="S24" s="84"/>
      <c r="T24" s="84"/>
      <c r="U24" s="49"/>
      <c r="V24" s="85"/>
      <c r="W24" s="86"/>
      <c r="X24" s="49"/>
      <c r="Y24" s="100"/>
      <c r="Z24" s="99"/>
      <c r="AA24" s="100"/>
      <c r="AB24" s="99"/>
      <c r="AC24" s="122"/>
      <c r="AD24" s="123"/>
      <c r="AE24" s="90"/>
      <c r="AF24" s="46"/>
      <c r="AG24" s="90"/>
      <c r="AH24" s="91"/>
      <c r="AI24" s="91"/>
      <c r="AJ24" s="91"/>
      <c r="AK24" s="46"/>
      <c r="AL24" s="46"/>
      <c r="AM24" s="46"/>
    </row>
    <row r="25">
      <c r="A25" s="46"/>
      <c r="B25" s="46"/>
      <c r="C25" s="46"/>
      <c r="D25" s="107" t="s">
        <v>90</v>
      </c>
      <c r="E25" s="112" t="s">
        <v>108</v>
      </c>
      <c r="F25" s="109"/>
      <c r="G25" s="110"/>
      <c r="H25" s="111"/>
      <c r="I25" s="110"/>
      <c r="J25" s="81"/>
      <c r="K25" s="47"/>
      <c r="L25" s="110"/>
      <c r="M25" s="110"/>
      <c r="N25" s="110"/>
      <c r="O25" s="81"/>
      <c r="P25" s="47"/>
      <c r="Q25" s="49"/>
      <c r="R25" s="85"/>
      <c r="S25" s="86"/>
      <c r="T25" s="49"/>
      <c r="U25" s="49"/>
      <c r="V25" s="99"/>
      <c r="W25" s="99"/>
      <c r="X25" s="49"/>
      <c r="Y25" s="100"/>
      <c r="Z25" s="99"/>
      <c r="AA25" s="101"/>
      <c r="AB25" s="47"/>
      <c r="AC25" s="101"/>
      <c r="AD25" s="102"/>
      <c r="AE25" s="91"/>
      <c r="AF25" s="91"/>
      <c r="AG25" s="46"/>
      <c r="AH25" s="46"/>
      <c r="AI25" s="91"/>
      <c r="AJ25" s="46"/>
      <c r="AK25" s="46"/>
      <c r="AL25" s="46"/>
      <c r="AM25" s="46"/>
    </row>
    <row r="26">
      <c r="A26" s="46"/>
      <c r="B26" s="46"/>
      <c r="C26" s="46"/>
      <c r="D26" s="46"/>
      <c r="E26" s="112" t="s">
        <v>109</v>
      </c>
      <c r="F26" s="109"/>
      <c r="G26" s="110"/>
      <c r="H26" s="111"/>
      <c r="I26" s="110"/>
      <c r="J26" s="81"/>
      <c r="K26" s="47"/>
      <c r="L26" s="110"/>
      <c r="M26" s="110"/>
      <c r="N26" s="110"/>
      <c r="O26" s="81"/>
      <c r="P26" s="47"/>
      <c r="Q26" s="49"/>
      <c r="R26" s="85"/>
      <c r="S26" s="86"/>
      <c r="T26" s="49"/>
      <c r="U26" s="49"/>
      <c r="V26" s="99"/>
      <c r="W26" s="99"/>
      <c r="X26" s="49"/>
      <c r="Y26" s="100"/>
      <c r="Z26" s="99"/>
      <c r="AA26" s="101"/>
      <c r="AB26" s="47"/>
      <c r="AC26" s="101"/>
      <c r="AD26" s="102"/>
      <c r="AE26" s="91"/>
      <c r="AF26" s="91"/>
      <c r="AG26" s="46"/>
      <c r="AH26" s="46"/>
      <c r="AI26" s="91"/>
      <c r="AJ26" s="46"/>
      <c r="AK26" s="46"/>
      <c r="AL26" s="46"/>
      <c r="AM26" s="46"/>
    </row>
    <row r="27">
      <c r="A27" s="46"/>
      <c r="B27" s="92"/>
      <c r="C27" s="92"/>
      <c r="D27" s="92"/>
      <c r="E27" s="113" t="s">
        <v>110</v>
      </c>
      <c r="F27" s="114"/>
      <c r="G27" s="115"/>
      <c r="H27" s="114"/>
      <c r="I27" s="115"/>
      <c r="J27" s="81"/>
      <c r="K27" s="47"/>
      <c r="L27" s="115"/>
      <c r="M27" s="115"/>
      <c r="N27" s="115"/>
      <c r="O27" s="81"/>
      <c r="P27" s="47"/>
      <c r="Q27" s="49"/>
      <c r="R27" s="85"/>
      <c r="S27" s="86"/>
      <c r="T27" s="49"/>
      <c r="U27" s="49"/>
      <c r="V27" s="99"/>
      <c r="W27" s="99"/>
      <c r="X27" s="49"/>
      <c r="Y27" s="100"/>
      <c r="Z27" s="99"/>
      <c r="AA27" s="101"/>
      <c r="AB27" s="47"/>
      <c r="AC27" s="101"/>
      <c r="AD27" s="102"/>
      <c r="AE27" s="91"/>
      <c r="AF27" s="91"/>
      <c r="AG27" s="46"/>
      <c r="AH27" s="46"/>
      <c r="AI27" s="91"/>
      <c r="AJ27" s="46"/>
      <c r="AK27" s="46"/>
      <c r="AL27" s="46"/>
      <c r="AM27" s="46"/>
    </row>
    <row r="28">
      <c r="A28" s="46"/>
      <c r="B28" s="46"/>
      <c r="C28" s="46"/>
      <c r="D28" s="107" t="s">
        <v>90</v>
      </c>
      <c r="E28" s="112" t="s">
        <v>111</v>
      </c>
      <c r="F28" s="109"/>
      <c r="G28" s="110"/>
      <c r="H28" s="111"/>
      <c r="I28" s="110"/>
      <c r="J28" s="81"/>
      <c r="K28" s="47"/>
      <c r="L28" s="110"/>
      <c r="M28" s="110"/>
      <c r="N28" s="110"/>
      <c r="O28" s="81"/>
      <c r="P28" s="47"/>
      <c r="Q28" s="49"/>
      <c r="R28" s="85"/>
      <c r="S28" s="86"/>
      <c r="T28" s="49"/>
      <c r="U28" s="49"/>
      <c r="V28" s="99"/>
      <c r="W28" s="99"/>
      <c r="X28" s="49"/>
      <c r="Y28" s="100"/>
      <c r="Z28" s="99"/>
      <c r="AA28" s="101"/>
      <c r="AB28" s="47"/>
      <c r="AC28" s="101"/>
      <c r="AD28" s="102"/>
      <c r="AE28" s="91"/>
      <c r="AF28" s="91"/>
      <c r="AG28" s="46"/>
      <c r="AH28" s="46"/>
      <c r="AI28" s="91"/>
      <c r="AJ28" s="46"/>
      <c r="AK28" s="46"/>
      <c r="AL28" s="46"/>
      <c r="AM28" s="46"/>
    </row>
    <row r="29">
      <c r="A29" s="46"/>
      <c r="B29" s="46"/>
      <c r="C29" s="46"/>
      <c r="D29" s="107" t="s">
        <v>90</v>
      </c>
      <c r="E29" s="112" t="s">
        <v>112</v>
      </c>
      <c r="F29" s="109"/>
      <c r="G29" s="110"/>
      <c r="H29" s="111"/>
      <c r="I29" s="110"/>
      <c r="J29" s="81"/>
      <c r="K29" s="47"/>
      <c r="L29" s="110"/>
      <c r="M29" s="110"/>
      <c r="N29" s="110"/>
      <c r="O29" s="81"/>
      <c r="P29" s="47"/>
      <c r="Q29" s="49"/>
      <c r="R29" s="85"/>
      <c r="S29" s="86"/>
      <c r="T29" s="49"/>
      <c r="U29" s="49"/>
      <c r="V29" s="99"/>
      <c r="W29" s="99"/>
      <c r="X29" s="49"/>
      <c r="Y29" s="100"/>
      <c r="Z29" s="99"/>
      <c r="AA29" s="101"/>
      <c r="AB29" s="47"/>
      <c r="AC29" s="101"/>
      <c r="AD29" s="102"/>
      <c r="AE29" s="91"/>
      <c r="AF29" s="91"/>
      <c r="AG29" s="46"/>
      <c r="AH29" s="46"/>
      <c r="AI29" s="91"/>
      <c r="AJ29" s="46"/>
      <c r="AK29" s="46"/>
      <c r="AL29" s="46"/>
      <c r="AM29" s="46"/>
    </row>
    <row r="30">
      <c r="A30" s="46"/>
      <c r="B30" s="46"/>
      <c r="C30" s="46"/>
      <c r="D30" s="107" t="s">
        <v>90</v>
      </c>
      <c r="E30" s="112" t="s">
        <v>113</v>
      </c>
      <c r="F30" s="109"/>
      <c r="G30" s="110"/>
      <c r="H30" s="111"/>
      <c r="I30" s="110"/>
      <c r="J30" s="81"/>
      <c r="K30" s="47"/>
      <c r="L30" s="110"/>
      <c r="M30" s="110"/>
      <c r="N30" s="110"/>
      <c r="O30" s="81"/>
      <c r="P30" s="47"/>
      <c r="Q30" s="49"/>
      <c r="R30" s="85"/>
      <c r="S30" s="86"/>
      <c r="T30" s="49"/>
      <c r="U30" s="49"/>
      <c r="V30" s="99"/>
      <c r="W30" s="99"/>
      <c r="X30" s="49"/>
      <c r="Y30" s="100"/>
      <c r="Z30" s="99"/>
      <c r="AA30" s="101"/>
      <c r="AB30" s="47"/>
      <c r="AC30" s="101"/>
      <c r="AD30" s="102"/>
      <c r="AE30" s="91"/>
      <c r="AF30" s="91"/>
      <c r="AG30" s="46"/>
      <c r="AH30" s="46"/>
      <c r="AI30" s="91"/>
      <c r="AJ30" s="46"/>
      <c r="AK30" s="46"/>
      <c r="AL30" s="46"/>
      <c r="AM30" s="46"/>
    </row>
    <row r="31">
      <c r="A31" s="46"/>
      <c r="B31" s="46"/>
      <c r="C31" s="46"/>
      <c r="D31" s="107" t="s">
        <v>90</v>
      </c>
      <c r="E31" s="112" t="s">
        <v>114</v>
      </c>
      <c r="F31" s="109"/>
      <c r="G31" s="110"/>
      <c r="H31" s="111"/>
      <c r="I31" s="110"/>
      <c r="J31" s="81"/>
      <c r="K31" s="47"/>
      <c r="L31" s="110"/>
      <c r="M31" s="110"/>
      <c r="N31" s="110"/>
      <c r="O31" s="81"/>
      <c r="P31" s="47"/>
      <c r="Q31" s="49"/>
      <c r="R31" s="85"/>
      <c r="S31" s="86"/>
      <c r="T31" s="49"/>
      <c r="U31" s="49"/>
      <c r="V31" s="99"/>
      <c r="W31" s="99"/>
      <c r="X31" s="49"/>
      <c r="Y31" s="100"/>
      <c r="Z31" s="99"/>
      <c r="AA31" s="101"/>
      <c r="AB31" s="47"/>
      <c r="AC31" s="101"/>
      <c r="AD31" s="102"/>
      <c r="AE31" s="91"/>
      <c r="AF31" s="91"/>
      <c r="AG31" s="46"/>
      <c r="AH31" s="46"/>
      <c r="AI31" s="91"/>
      <c r="AJ31" s="46"/>
      <c r="AK31" s="46"/>
      <c r="AL31" s="46"/>
      <c r="AM31" s="46"/>
    </row>
    <row r="32">
      <c r="A32" s="46"/>
      <c r="B32" s="46"/>
      <c r="C32" s="46"/>
      <c r="D32" s="107" t="s">
        <v>90</v>
      </c>
      <c r="E32" s="116" t="s">
        <v>115</v>
      </c>
      <c r="F32" s="117"/>
      <c r="G32" s="118">
        <v>45000.0</v>
      </c>
      <c r="H32" s="119">
        <v>1.0</v>
      </c>
      <c r="I32" s="81">
        <f t="shared" ref="I32:I33" si="3">G32*H32</f>
        <v>45000</v>
      </c>
      <c r="J32" s="81"/>
      <c r="K32" s="47"/>
      <c r="L32" s="120">
        <f t="shared" ref="L32:L33" si="4">I32/0.6</f>
        <v>75000</v>
      </c>
      <c r="M32" s="121"/>
      <c r="N32" s="83">
        <f t="shared" ref="N32:N33" si="5">L32/$H$72</f>
        <v>19.73684211</v>
      </c>
      <c r="O32" s="81"/>
      <c r="P32" s="47"/>
      <c r="Q32" s="84"/>
      <c r="R32" s="84"/>
      <c r="S32" s="84"/>
      <c r="T32" s="84"/>
      <c r="U32" s="49"/>
      <c r="V32" s="85"/>
      <c r="W32" s="86"/>
      <c r="X32" s="49"/>
      <c r="Y32" s="100"/>
      <c r="Z32" s="99"/>
      <c r="AA32" s="100"/>
      <c r="AB32" s="99"/>
      <c r="AC32" s="90"/>
      <c r="AD32" s="90"/>
      <c r="AE32" s="90"/>
      <c r="AF32" s="46"/>
      <c r="AG32" s="90"/>
      <c r="AH32" s="91"/>
      <c r="AI32" s="91"/>
      <c r="AJ32" s="91"/>
      <c r="AK32" s="46"/>
      <c r="AL32" s="46"/>
      <c r="AM32" s="46"/>
    </row>
    <row r="33">
      <c r="A33" s="46"/>
      <c r="B33" s="46"/>
      <c r="C33" s="46"/>
      <c r="D33" s="107" t="s">
        <v>90</v>
      </c>
      <c r="E33" s="116" t="s">
        <v>116</v>
      </c>
      <c r="F33" s="117"/>
      <c r="G33" s="118">
        <v>40000.0</v>
      </c>
      <c r="H33" s="119">
        <v>1.0</v>
      </c>
      <c r="I33" s="81">
        <f t="shared" si="3"/>
        <v>40000</v>
      </c>
      <c r="J33" s="81"/>
      <c r="K33" s="47"/>
      <c r="L33" s="120">
        <f t="shared" si="4"/>
        <v>66666.66667</v>
      </c>
      <c r="M33" s="121"/>
      <c r="N33" s="83">
        <f t="shared" si="5"/>
        <v>17.54385965</v>
      </c>
      <c r="O33" s="81"/>
      <c r="P33" s="47"/>
      <c r="Q33" s="84"/>
      <c r="R33" s="84"/>
      <c r="S33" s="84"/>
      <c r="T33" s="84"/>
      <c r="U33" s="49"/>
      <c r="V33" s="85"/>
      <c r="W33" s="86"/>
      <c r="X33" s="49"/>
      <c r="Y33" s="100"/>
      <c r="Z33" s="99"/>
      <c r="AA33" s="100"/>
      <c r="AB33" s="99"/>
      <c r="AC33" s="90"/>
      <c r="AD33" s="90"/>
      <c r="AE33" s="90"/>
      <c r="AF33" s="46"/>
      <c r="AG33" s="90"/>
      <c r="AH33" s="91"/>
      <c r="AI33" s="91"/>
      <c r="AJ33" s="91"/>
      <c r="AK33" s="46"/>
      <c r="AL33" s="46"/>
      <c r="AM33" s="46"/>
    </row>
    <row r="34">
      <c r="A34" s="46"/>
      <c r="B34" s="92"/>
      <c r="C34" s="92"/>
      <c r="D34" s="92"/>
      <c r="E34" s="113" t="s">
        <v>117</v>
      </c>
      <c r="F34" s="114"/>
      <c r="G34" s="115"/>
      <c r="H34" s="114"/>
      <c r="I34" s="115"/>
      <c r="J34" s="81"/>
      <c r="K34" s="47"/>
      <c r="L34" s="115"/>
      <c r="M34" s="115"/>
      <c r="N34" s="115"/>
      <c r="O34" s="81"/>
      <c r="P34" s="47"/>
      <c r="Q34" s="49"/>
      <c r="R34" s="85"/>
      <c r="S34" s="86"/>
      <c r="T34" s="49"/>
      <c r="U34" s="49"/>
      <c r="V34" s="99"/>
      <c r="W34" s="99"/>
      <c r="X34" s="49"/>
      <c r="Y34" s="100"/>
      <c r="Z34" s="99"/>
      <c r="AA34" s="101"/>
      <c r="AB34" s="47"/>
      <c r="AC34" s="101"/>
      <c r="AD34" s="102"/>
      <c r="AE34" s="91"/>
      <c r="AF34" s="91"/>
      <c r="AG34" s="46"/>
      <c r="AH34" s="46"/>
      <c r="AI34" s="91"/>
      <c r="AJ34" s="46"/>
      <c r="AK34" s="46"/>
      <c r="AL34" s="46"/>
      <c r="AM34" s="46"/>
    </row>
    <row r="35">
      <c r="A35" s="46"/>
      <c r="B35" s="46"/>
      <c r="C35" s="46"/>
      <c r="D35" s="107" t="s">
        <v>90</v>
      </c>
      <c r="E35" s="112" t="s">
        <v>118</v>
      </c>
      <c r="F35" s="109"/>
      <c r="G35" s="110"/>
      <c r="H35" s="111"/>
      <c r="I35" s="110"/>
      <c r="J35" s="81"/>
      <c r="K35" s="47"/>
      <c r="L35" s="110"/>
      <c r="M35" s="110"/>
      <c r="N35" s="110"/>
      <c r="O35" s="81"/>
      <c r="P35" s="47"/>
      <c r="Q35" s="49"/>
      <c r="R35" s="85"/>
      <c r="S35" s="86"/>
      <c r="T35" s="49"/>
      <c r="U35" s="49"/>
      <c r="V35" s="99"/>
      <c r="W35" s="99"/>
      <c r="X35" s="49"/>
      <c r="Y35" s="100"/>
      <c r="Z35" s="99"/>
      <c r="AA35" s="101"/>
      <c r="AB35" s="47"/>
      <c r="AC35" s="101"/>
      <c r="AD35" s="102"/>
      <c r="AE35" s="91"/>
      <c r="AF35" s="91"/>
      <c r="AG35" s="46"/>
      <c r="AH35" s="46"/>
      <c r="AI35" s="91"/>
      <c r="AJ35" s="46"/>
      <c r="AK35" s="46"/>
      <c r="AL35" s="46"/>
      <c r="AM35" s="46"/>
    </row>
    <row r="36">
      <c r="A36" s="46"/>
      <c r="B36" s="46"/>
      <c r="C36" s="46"/>
      <c r="D36" s="107" t="s">
        <v>90</v>
      </c>
      <c r="E36" s="112" t="s">
        <v>119</v>
      </c>
      <c r="F36" s="109"/>
      <c r="G36" s="110"/>
      <c r="H36" s="111"/>
      <c r="I36" s="110"/>
      <c r="J36" s="81"/>
      <c r="K36" s="47"/>
      <c r="L36" s="110"/>
      <c r="M36" s="110"/>
      <c r="N36" s="110"/>
      <c r="O36" s="81"/>
      <c r="P36" s="47"/>
      <c r="Q36" s="49"/>
      <c r="R36" s="85"/>
      <c r="S36" s="86"/>
      <c r="T36" s="49"/>
      <c r="U36" s="49"/>
      <c r="V36" s="99"/>
      <c r="W36" s="99"/>
      <c r="X36" s="49"/>
      <c r="Y36" s="100"/>
      <c r="Z36" s="99"/>
      <c r="AA36" s="101"/>
      <c r="AB36" s="47"/>
      <c r="AC36" s="101"/>
      <c r="AD36" s="102"/>
      <c r="AE36" s="91"/>
      <c r="AF36" s="91"/>
      <c r="AG36" s="46"/>
      <c r="AH36" s="46"/>
      <c r="AI36" s="91"/>
      <c r="AJ36" s="46"/>
      <c r="AK36" s="46"/>
      <c r="AL36" s="46"/>
      <c r="AM36" s="46"/>
    </row>
    <row r="37">
      <c r="A37" s="46"/>
      <c r="B37" s="46"/>
      <c r="C37" s="46"/>
      <c r="D37" s="107" t="s">
        <v>90</v>
      </c>
      <c r="E37" s="116" t="s">
        <v>120</v>
      </c>
      <c r="F37" s="117"/>
      <c r="G37" s="118">
        <v>116000.0</v>
      </c>
      <c r="H37" s="119">
        <v>1.0</v>
      </c>
      <c r="I37" s="81">
        <f>G37*H37</f>
        <v>116000</v>
      </c>
      <c r="J37" s="81"/>
      <c r="K37" s="47"/>
      <c r="L37" s="120">
        <f>I37/0.8</f>
        <v>145000</v>
      </c>
      <c r="M37" s="121"/>
      <c r="N37" s="83">
        <f>L37/$H$72</f>
        <v>38.15789474</v>
      </c>
      <c r="O37" s="81"/>
      <c r="P37" s="47"/>
      <c r="Q37" s="84"/>
      <c r="R37" s="84"/>
      <c r="S37" s="84"/>
      <c r="T37" s="84"/>
      <c r="U37" s="49"/>
      <c r="V37" s="85"/>
      <c r="W37" s="86"/>
      <c r="X37" s="49"/>
      <c r="Y37" s="100"/>
      <c r="Z37" s="99"/>
      <c r="AA37" s="100"/>
      <c r="AB37" s="99"/>
      <c r="AC37" s="90"/>
      <c r="AD37" s="90"/>
      <c r="AE37" s="90"/>
      <c r="AF37" s="46"/>
      <c r="AG37" s="90"/>
      <c r="AH37" s="91"/>
      <c r="AI37" s="91"/>
      <c r="AJ37" s="91"/>
      <c r="AK37" s="46"/>
      <c r="AL37" s="46"/>
      <c r="AM37" s="46"/>
    </row>
    <row r="38">
      <c r="A38" s="46"/>
      <c r="B38" s="92"/>
      <c r="C38" s="92"/>
      <c r="D38" s="92"/>
      <c r="E38" s="113" t="s">
        <v>121</v>
      </c>
      <c r="F38" s="114"/>
      <c r="G38" s="115"/>
      <c r="H38" s="115"/>
      <c r="I38" s="115"/>
      <c r="J38" s="81"/>
      <c r="K38" s="47"/>
      <c r="L38" s="115"/>
      <c r="M38" s="115"/>
      <c r="N38" s="115"/>
      <c r="O38" s="81"/>
      <c r="P38" s="47"/>
      <c r="Q38" s="49"/>
      <c r="R38" s="85"/>
      <c r="S38" s="86"/>
      <c r="T38" s="49"/>
      <c r="U38" s="49"/>
      <c r="V38" s="99"/>
      <c r="W38" s="99"/>
      <c r="X38" s="49"/>
      <c r="Y38" s="100"/>
      <c r="Z38" s="99"/>
      <c r="AA38" s="101"/>
      <c r="AB38" s="47"/>
      <c r="AC38" s="90"/>
      <c r="AD38" s="91"/>
      <c r="AE38" s="91"/>
      <c r="AF38" s="91"/>
      <c r="AG38" s="46"/>
      <c r="AH38" s="46"/>
      <c r="AI38" s="91"/>
      <c r="AJ38" s="46"/>
      <c r="AK38" s="46"/>
      <c r="AL38" s="91"/>
      <c r="AM38" s="46"/>
    </row>
    <row r="39">
      <c r="A39" s="46"/>
      <c r="B39" s="46"/>
      <c r="C39" s="46"/>
      <c r="D39" s="107" t="s">
        <v>90</v>
      </c>
      <c r="E39" s="112" t="s">
        <v>122</v>
      </c>
      <c r="F39" s="109"/>
      <c r="G39" s="110"/>
      <c r="H39" s="124"/>
      <c r="I39" s="110"/>
      <c r="J39" s="81"/>
      <c r="K39" s="47"/>
      <c r="L39" s="110"/>
      <c r="M39" s="110"/>
      <c r="N39" s="110"/>
      <c r="O39" s="81"/>
      <c r="P39" s="47"/>
      <c r="Q39" s="49"/>
      <c r="R39" s="85"/>
      <c r="S39" s="86"/>
      <c r="T39" s="49"/>
      <c r="U39" s="49"/>
      <c r="V39" s="99"/>
      <c r="W39" s="99"/>
      <c r="X39" s="49"/>
      <c r="Y39" s="100"/>
      <c r="Z39" s="99"/>
      <c r="AA39" s="101"/>
      <c r="AB39" s="47"/>
      <c r="AC39" s="90"/>
      <c r="AD39" s="91"/>
      <c r="AE39" s="91"/>
      <c r="AF39" s="91"/>
      <c r="AG39" s="46"/>
      <c r="AH39" s="46"/>
      <c r="AI39" s="91"/>
      <c r="AJ39" s="46"/>
      <c r="AK39" s="46"/>
      <c r="AL39" s="91"/>
      <c r="AM39" s="46"/>
    </row>
    <row r="40">
      <c r="A40" s="46"/>
      <c r="B40" s="46"/>
      <c r="C40" s="46"/>
      <c r="D40" s="107" t="s">
        <v>90</v>
      </c>
      <c r="E40" s="112" t="s">
        <v>123</v>
      </c>
      <c r="F40" s="109"/>
      <c r="G40" s="110"/>
      <c r="H40" s="124"/>
      <c r="I40" s="110"/>
      <c r="J40" s="81"/>
      <c r="K40" s="47"/>
      <c r="L40" s="110"/>
      <c r="M40" s="110"/>
      <c r="N40" s="110"/>
      <c r="O40" s="81"/>
      <c r="P40" s="47"/>
      <c r="Q40" s="49"/>
      <c r="R40" s="85"/>
      <c r="S40" s="86"/>
      <c r="T40" s="49"/>
      <c r="U40" s="49"/>
      <c r="V40" s="99"/>
      <c r="W40" s="99"/>
      <c r="X40" s="49"/>
      <c r="Y40" s="100"/>
      <c r="Z40" s="99"/>
      <c r="AA40" s="101"/>
      <c r="AB40" s="47"/>
      <c r="AC40" s="90"/>
      <c r="AD40" s="91"/>
      <c r="AE40" s="91"/>
      <c r="AF40" s="91"/>
      <c r="AG40" s="46"/>
      <c r="AH40" s="46"/>
      <c r="AI40" s="91"/>
      <c r="AJ40" s="46"/>
      <c r="AK40" s="46"/>
      <c r="AL40" s="91"/>
      <c r="AM40" s="46"/>
    </row>
    <row r="41">
      <c r="A41" s="46"/>
      <c r="B41" s="92"/>
      <c r="C41" s="92"/>
      <c r="D41" s="92"/>
      <c r="E41" s="125" t="s">
        <v>124</v>
      </c>
      <c r="F41" s="126"/>
      <c r="G41" s="127"/>
      <c r="H41" s="128"/>
      <c r="I41" s="127"/>
      <c r="J41" s="81"/>
      <c r="K41" s="47"/>
      <c r="L41" s="127"/>
      <c r="M41" s="127"/>
      <c r="N41" s="127"/>
      <c r="O41" s="81"/>
      <c r="P41" s="47"/>
      <c r="Q41" s="49"/>
      <c r="R41" s="49"/>
      <c r="S41" s="49"/>
      <c r="T41" s="49"/>
      <c r="U41" s="49"/>
      <c r="V41" s="49"/>
      <c r="W41" s="48"/>
      <c r="X41" s="49"/>
      <c r="Y41" s="49"/>
      <c r="Z41" s="48"/>
      <c r="AA41" s="129"/>
      <c r="AB41" s="47"/>
      <c r="AC41" s="47"/>
      <c r="AD41" s="129"/>
      <c r="AE41" s="46"/>
      <c r="AF41" s="46"/>
      <c r="AG41" s="46"/>
      <c r="AH41" s="46"/>
      <c r="AI41" s="46"/>
      <c r="AJ41" s="46"/>
      <c r="AK41" s="46"/>
      <c r="AL41" s="91"/>
      <c r="AM41" s="46"/>
    </row>
    <row r="42">
      <c r="A42" s="46"/>
      <c r="B42" s="46"/>
      <c r="C42" s="46"/>
      <c r="D42" s="107" t="s">
        <v>90</v>
      </c>
      <c r="E42" s="116" t="s">
        <v>125</v>
      </c>
      <c r="F42" s="117"/>
      <c r="G42" s="118">
        <v>10000.0</v>
      </c>
      <c r="H42" s="119">
        <v>1.0</v>
      </c>
      <c r="I42" s="81">
        <f t="shared" ref="I42:I43" si="6">G42*H42</f>
        <v>10000</v>
      </c>
      <c r="J42" s="81"/>
      <c r="K42" s="47"/>
      <c r="L42" s="120">
        <f>I42/0.6</f>
        <v>16666.66667</v>
      </c>
      <c r="M42" s="130" t="s">
        <v>126</v>
      </c>
      <c r="N42" s="83">
        <f t="shared" ref="N42:N43" si="7">L42/$H$72</f>
        <v>4.385964912</v>
      </c>
      <c r="O42" s="81"/>
      <c r="P42" s="47"/>
      <c r="Q42" s="131"/>
      <c r="R42" s="131"/>
      <c r="S42" s="131"/>
      <c r="T42" s="131"/>
      <c r="U42" s="49"/>
      <c r="V42" s="132"/>
      <c r="W42" s="133"/>
      <c r="X42" s="49"/>
      <c r="Y42" s="49"/>
      <c r="Z42" s="48"/>
      <c r="AA42" s="49"/>
      <c r="AB42" s="48"/>
      <c r="AC42" s="134"/>
      <c r="AD42" s="47"/>
      <c r="AE42" s="46"/>
      <c r="AF42" s="46"/>
      <c r="AG42" s="46"/>
      <c r="AH42" s="46"/>
      <c r="AI42" s="46"/>
      <c r="AJ42" s="46"/>
      <c r="AK42" s="46"/>
      <c r="AL42" s="46"/>
      <c r="AM42" s="46"/>
    </row>
    <row r="43">
      <c r="A43" s="46"/>
      <c r="B43" s="46"/>
      <c r="C43" s="46"/>
      <c r="D43" s="107" t="s">
        <v>90</v>
      </c>
      <c r="E43" s="116" t="s">
        <v>127</v>
      </c>
      <c r="F43" s="117"/>
      <c r="G43" s="118">
        <v>90000.0</v>
      </c>
      <c r="H43" s="119">
        <v>1.0</v>
      </c>
      <c r="I43" s="81">
        <f t="shared" si="6"/>
        <v>90000</v>
      </c>
      <c r="J43" s="81"/>
      <c r="K43" s="47"/>
      <c r="L43" s="120">
        <f>I43/0.8</f>
        <v>112500</v>
      </c>
      <c r="M43" s="130" t="s">
        <v>126</v>
      </c>
      <c r="N43" s="83">
        <f t="shared" si="7"/>
        <v>29.60526316</v>
      </c>
      <c r="O43" s="81"/>
      <c r="P43" s="47"/>
      <c r="Q43" s="84"/>
      <c r="R43" s="84"/>
      <c r="S43" s="84"/>
      <c r="T43" s="84"/>
      <c r="U43" s="49"/>
      <c r="V43" s="85"/>
      <c r="W43" s="86"/>
      <c r="X43" s="49"/>
      <c r="Y43" s="100"/>
      <c r="Z43" s="99"/>
      <c r="AA43" s="100"/>
      <c r="AB43" s="99"/>
      <c r="AC43" s="122"/>
      <c r="AD43" s="123"/>
      <c r="AE43" s="90"/>
      <c r="AF43" s="46"/>
      <c r="AG43" s="90"/>
      <c r="AH43" s="91"/>
      <c r="AI43" s="91"/>
      <c r="AJ43" s="91"/>
      <c r="AK43" s="46"/>
      <c r="AL43" s="46"/>
      <c r="AM43" s="46"/>
    </row>
    <row r="44">
      <c r="A44" s="46"/>
      <c r="B44" s="92"/>
      <c r="C44" s="92"/>
      <c r="D44" s="92"/>
      <c r="E44" s="125" t="s">
        <v>128</v>
      </c>
      <c r="F44" s="126"/>
      <c r="G44" s="127"/>
      <c r="H44" s="128"/>
      <c r="I44" s="127"/>
      <c r="J44" s="81"/>
      <c r="K44" s="47"/>
      <c r="L44" s="127"/>
      <c r="M44" s="127"/>
      <c r="N44" s="127"/>
      <c r="O44" s="81"/>
      <c r="P44" s="47"/>
      <c r="Q44" s="49"/>
      <c r="R44" s="49"/>
      <c r="S44" s="49"/>
      <c r="T44" s="49"/>
      <c r="U44" s="49"/>
      <c r="V44" s="49"/>
      <c r="W44" s="48"/>
      <c r="X44" s="49"/>
      <c r="Y44" s="49"/>
      <c r="Z44" s="48"/>
      <c r="AA44" s="129"/>
      <c r="AB44" s="47"/>
      <c r="AC44" s="47"/>
      <c r="AD44" s="129"/>
      <c r="AE44" s="46"/>
      <c r="AF44" s="46"/>
      <c r="AG44" s="46"/>
      <c r="AH44" s="46"/>
      <c r="AI44" s="46"/>
      <c r="AJ44" s="46"/>
      <c r="AK44" s="46"/>
      <c r="AL44" s="91"/>
      <c r="AM44" s="46"/>
    </row>
    <row r="45">
      <c r="A45" s="46"/>
      <c r="B45" s="46"/>
      <c r="C45" s="46"/>
      <c r="D45" s="107" t="s">
        <v>90</v>
      </c>
      <c r="E45" s="116" t="s">
        <v>129</v>
      </c>
      <c r="F45" s="117"/>
      <c r="G45" s="118">
        <v>108000.0</v>
      </c>
      <c r="H45" s="119">
        <v>1.0</v>
      </c>
      <c r="I45" s="81">
        <f>G45*H45</f>
        <v>108000</v>
      </c>
      <c r="J45" s="81"/>
      <c r="K45" s="47"/>
      <c r="L45" s="120">
        <f>I45/0.8</f>
        <v>135000</v>
      </c>
      <c r="M45" s="130" t="s">
        <v>126</v>
      </c>
      <c r="N45" s="83">
        <f>L45/$H$72</f>
        <v>35.52631579</v>
      </c>
      <c r="O45" s="81"/>
      <c r="P45" s="47"/>
      <c r="Q45" s="84"/>
      <c r="R45" s="84"/>
      <c r="S45" s="84"/>
      <c r="T45" s="84"/>
      <c r="U45" s="49"/>
      <c r="V45" s="85"/>
      <c r="W45" s="86"/>
      <c r="X45" s="49"/>
      <c r="Y45" s="100"/>
      <c r="Z45" s="99"/>
      <c r="AA45" s="100"/>
      <c r="AB45" s="99"/>
      <c r="AC45" s="90"/>
      <c r="AD45" s="90"/>
      <c r="AE45" s="90"/>
      <c r="AF45" s="46"/>
      <c r="AG45" s="90"/>
      <c r="AH45" s="91"/>
      <c r="AI45" s="91"/>
      <c r="AJ45" s="91"/>
      <c r="AK45" s="46"/>
      <c r="AL45" s="46"/>
      <c r="AM45" s="46"/>
    </row>
    <row r="46">
      <c r="A46" s="46"/>
      <c r="B46" s="92"/>
      <c r="C46" s="92"/>
      <c r="D46" s="92"/>
      <c r="E46" s="125" t="s">
        <v>130</v>
      </c>
      <c r="F46" s="126"/>
      <c r="G46" s="127"/>
      <c r="H46" s="127"/>
      <c r="I46" s="127"/>
      <c r="J46" s="81"/>
      <c r="K46" s="47"/>
      <c r="L46" s="127"/>
      <c r="M46" s="127"/>
      <c r="N46" s="127"/>
      <c r="O46" s="81"/>
      <c r="P46" s="47"/>
      <c r="Q46" s="49"/>
      <c r="R46" s="49"/>
      <c r="S46" s="49"/>
      <c r="T46" s="49"/>
      <c r="U46" s="49"/>
      <c r="V46" s="49"/>
      <c r="W46" s="48"/>
      <c r="X46" s="49"/>
      <c r="Y46" s="49"/>
      <c r="Z46" s="48"/>
      <c r="AA46" s="129"/>
      <c r="AB46" s="47"/>
      <c r="AC46" s="47"/>
      <c r="AD46" s="129"/>
      <c r="AE46" s="46"/>
      <c r="AF46" s="46"/>
      <c r="AG46" s="46"/>
      <c r="AH46" s="46"/>
      <c r="AI46" s="46"/>
      <c r="AJ46" s="46"/>
      <c r="AK46" s="46"/>
      <c r="AL46" s="91"/>
      <c r="AM46" s="46"/>
    </row>
    <row r="47">
      <c r="A47" s="46"/>
      <c r="B47" s="46"/>
      <c r="C47" s="46"/>
      <c r="D47" s="107" t="s">
        <v>131</v>
      </c>
      <c r="E47" s="135" t="s">
        <v>50</v>
      </c>
      <c r="F47" s="136"/>
      <c r="G47" s="137"/>
      <c r="H47" s="138"/>
      <c r="I47" s="138"/>
      <c r="J47" s="81"/>
      <c r="K47" s="47"/>
      <c r="L47" s="137"/>
      <c r="M47" s="137"/>
      <c r="N47" s="137"/>
      <c r="O47" s="81"/>
      <c r="P47" s="47"/>
      <c r="Q47" s="84"/>
      <c r="R47" s="84"/>
      <c r="S47" s="84"/>
      <c r="T47" s="84"/>
      <c r="U47" s="49"/>
      <c r="V47" s="85"/>
      <c r="W47" s="86"/>
      <c r="X47" s="49"/>
      <c r="Y47" s="100"/>
      <c r="Z47" s="99"/>
      <c r="AA47" s="100"/>
      <c r="AB47" s="99"/>
      <c r="AC47" s="122"/>
      <c r="AD47" s="123"/>
      <c r="AE47" s="90"/>
      <c r="AF47" s="46"/>
      <c r="AG47" s="90"/>
      <c r="AH47" s="91"/>
      <c r="AI47" s="91"/>
      <c r="AJ47" s="91"/>
      <c r="AK47" s="46"/>
      <c r="AL47" s="91"/>
      <c r="AM47" s="46"/>
    </row>
    <row r="48">
      <c r="A48" s="46"/>
      <c r="B48" s="46"/>
      <c r="C48" s="46"/>
      <c r="D48" s="107" t="s">
        <v>131</v>
      </c>
      <c r="E48" s="139" t="s">
        <v>132</v>
      </c>
      <c r="F48" s="136"/>
      <c r="G48" s="137"/>
      <c r="H48" s="140"/>
      <c r="I48" s="138"/>
      <c r="J48" s="81"/>
      <c r="K48" s="47"/>
      <c r="L48" s="137"/>
      <c r="M48" s="137"/>
      <c r="N48" s="137"/>
      <c r="O48" s="81"/>
      <c r="P48" s="47"/>
      <c r="Q48" s="84"/>
      <c r="R48" s="84"/>
      <c r="S48" s="84"/>
      <c r="T48" s="84"/>
      <c r="U48" s="49"/>
      <c r="V48" s="85"/>
      <c r="W48" s="86"/>
      <c r="X48" s="49"/>
      <c r="Y48" s="100"/>
      <c r="Z48" s="99"/>
      <c r="AA48" s="100"/>
      <c r="AB48" s="99"/>
      <c r="AC48" s="90"/>
      <c r="AD48" s="90"/>
      <c r="AE48" s="90"/>
      <c r="AF48" s="46"/>
      <c r="AG48" s="90"/>
      <c r="AH48" s="91"/>
      <c r="AI48" s="91"/>
      <c r="AJ48" s="91"/>
      <c r="AK48" s="46"/>
      <c r="AL48" s="91"/>
      <c r="AM48" s="46"/>
    </row>
    <row r="49">
      <c r="A49" s="46"/>
      <c r="B49" s="46"/>
      <c r="C49" s="46"/>
      <c r="D49" s="107" t="s">
        <v>131</v>
      </c>
      <c r="E49" s="135" t="s">
        <v>47</v>
      </c>
      <c r="F49" s="136"/>
      <c r="G49" s="137"/>
      <c r="H49" s="136"/>
      <c r="I49" s="137"/>
      <c r="J49" s="81"/>
      <c r="K49" s="47"/>
      <c r="L49" s="137"/>
      <c r="M49" s="137"/>
      <c r="N49" s="137"/>
      <c r="O49" s="81"/>
      <c r="P49" s="47"/>
      <c r="Q49" s="84"/>
      <c r="R49" s="84"/>
      <c r="S49" s="84"/>
      <c r="T49" s="84"/>
      <c r="U49" s="49"/>
      <c r="V49" s="85"/>
      <c r="W49" s="86"/>
      <c r="X49" s="49"/>
      <c r="Y49" s="100"/>
      <c r="Z49" s="99"/>
      <c r="AA49" s="100"/>
      <c r="AB49" s="99"/>
      <c r="AC49" s="90"/>
      <c r="AD49" s="90"/>
      <c r="AE49" s="90"/>
      <c r="AF49" s="46"/>
      <c r="AG49" s="90"/>
      <c r="AH49" s="91"/>
      <c r="AI49" s="91"/>
      <c r="AJ49" s="91"/>
      <c r="AK49" s="46"/>
      <c r="AL49" s="91"/>
      <c r="AM49" s="46"/>
    </row>
    <row r="50">
      <c r="A50" s="46"/>
      <c r="B50" s="46"/>
      <c r="C50" s="46"/>
      <c r="D50" s="107" t="s">
        <v>131</v>
      </c>
      <c r="E50" s="135" t="s">
        <v>52</v>
      </c>
      <c r="F50" s="136"/>
      <c r="G50" s="137"/>
      <c r="H50" s="138"/>
      <c r="I50" s="138"/>
      <c r="J50" s="81"/>
      <c r="K50" s="47"/>
      <c r="L50" s="137"/>
      <c r="M50" s="137"/>
      <c r="N50" s="137"/>
      <c r="O50" s="81"/>
      <c r="P50" s="47"/>
      <c r="Q50" s="84"/>
      <c r="R50" s="141"/>
      <c r="S50" s="84"/>
      <c r="T50" s="84"/>
      <c r="U50" s="49"/>
      <c r="V50" s="85"/>
      <c r="W50" s="86"/>
      <c r="X50" s="49"/>
      <c r="Y50" s="100"/>
      <c r="Z50" s="99"/>
      <c r="AA50" s="123"/>
      <c r="AB50" s="101"/>
      <c r="AC50" s="90"/>
      <c r="AD50" s="90"/>
      <c r="AE50" s="90"/>
      <c r="AF50" s="46"/>
      <c r="AG50" s="90"/>
      <c r="AH50" s="91"/>
      <c r="AI50" s="91"/>
      <c r="AJ50" s="91"/>
      <c r="AK50" s="46"/>
      <c r="AL50" s="91"/>
      <c r="AM50" s="46"/>
    </row>
    <row r="51">
      <c r="A51" s="46"/>
      <c r="B51" s="46"/>
      <c r="C51" s="46"/>
      <c r="D51" s="107" t="s">
        <v>131</v>
      </c>
      <c r="E51" s="142" t="s">
        <v>133</v>
      </c>
      <c r="F51" s="117"/>
      <c r="G51" s="143">
        <v>100000.0</v>
      </c>
      <c r="H51" s="119">
        <v>1.0</v>
      </c>
      <c r="I51" s="81">
        <f t="shared" ref="I51:I55" si="8">G51*H51</f>
        <v>100000</v>
      </c>
      <c r="J51" s="81"/>
      <c r="K51" s="47"/>
      <c r="L51" s="120">
        <f t="shared" ref="L51:L52" si="9">I51/0.75</f>
        <v>133333.3333</v>
      </c>
      <c r="M51" s="130" t="s">
        <v>126</v>
      </c>
      <c r="N51" s="83">
        <f t="shared" ref="N51:N55" si="10">L51/$H$72</f>
        <v>35.0877193</v>
      </c>
      <c r="O51" s="81"/>
      <c r="P51" s="47"/>
      <c r="Q51" s="84"/>
      <c r="R51" s="84"/>
      <c r="S51" s="84"/>
      <c r="T51" s="84"/>
      <c r="U51" s="49"/>
      <c r="V51" s="85"/>
      <c r="W51" s="86"/>
      <c r="X51" s="49"/>
      <c r="Y51" s="100"/>
      <c r="Z51" s="99"/>
      <c r="AA51" s="100"/>
      <c r="AB51" s="99"/>
      <c r="AC51" s="90"/>
      <c r="AD51" s="90"/>
      <c r="AE51" s="90"/>
      <c r="AF51" s="46"/>
      <c r="AG51" s="90"/>
      <c r="AH51" s="91"/>
      <c r="AI51" s="91"/>
      <c r="AJ51" s="91"/>
      <c r="AK51" s="46"/>
      <c r="AL51" s="46"/>
      <c r="AM51" s="46"/>
    </row>
    <row r="52">
      <c r="A52" s="46"/>
      <c r="B52" s="46"/>
      <c r="C52" s="46"/>
      <c r="D52" s="107" t="s">
        <v>131</v>
      </c>
      <c r="E52" s="142" t="s">
        <v>134</v>
      </c>
      <c r="F52" s="117"/>
      <c r="G52" s="143">
        <v>100000.0</v>
      </c>
      <c r="H52" s="119">
        <v>1.0</v>
      </c>
      <c r="I52" s="81">
        <f t="shared" si="8"/>
        <v>100000</v>
      </c>
      <c r="J52" s="81"/>
      <c r="K52" s="47"/>
      <c r="L52" s="120">
        <f t="shared" si="9"/>
        <v>133333.3333</v>
      </c>
      <c r="M52" s="130" t="s">
        <v>126</v>
      </c>
      <c r="N52" s="83">
        <f t="shared" si="10"/>
        <v>35.0877193</v>
      </c>
      <c r="O52" s="81"/>
      <c r="P52" s="47"/>
      <c r="Q52" s="84"/>
      <c r="R52" s="84"/>
      <c r="S52" s="84"/>
      <c r="T52" s="84"/>
      <c r="U52" s="49"/>
      <c r="V52" s="85"/>
      <c r="W52" s="86"/>
      <c r="X52" s="49"/>
      <c r="Y52" s="100"/>
      <c r="Z52" s="99"/>
      <c r="AA52" s="100"/>
      <c r="AB52" s="99"/>
      <c r="AC52" s="90"/>
      <c r="AD52" s="90"/>
      <c r="AE52" s="90"/>
      <c r="AF52" s="46"/>
      <c r="AG52" s="90"/>
      <c r="AH52" s="91"/>
      <c r="AI52" s="91"/>
      <c r="AJ52" s="91"/>
      <c r="AK52" s="46"/>
      <c r="AL52" s="46"/>
      <c r="AM52" s="46"/>
    </row>
    <row r="53">
      <c r="A53" s="46"/>
      <c r="B53" s="46"/>
      <c r="C53" s="46"/>
      <c r="D53" s="107" t="s">
        <v>131</v>
      </c>
      <c r="E53" s="116" t="s">
        <v>135</v>
      </c>
      <c r="F53" s="117"/>
      <c r="G53" s="118">
        <v>320000.0</v>
      </c>
      <c r="H53" s="119">
        <v>1.0</v>
      </c>
      <c r="I53" s="81">
        <f t="shared" si="8"/>
        <v>320000</v>
      </c>
      <c r="J53" s="81"/>
      <c r="K53" s="47"/>
      <c r="L53" s="120">
        <f t="shared" ref="L53:L54" si="11">I53/0.8</f>
        <v>400000</v>
      </c>
      <c r="M53" s="130" t="s">
        <v>126</v>
      </c>
      <c r="N53" s="83">
        <f t="shared" si="10"/>
        <v>105.2631579</v>
      </c>
      <c r="O53" s="81"/>
      <c r="P53" s="47"/>
      <c r="Q53" s="84"/>
      <c r="R53" s="84"/>
      <c r="S53" s="84"/>
      <c r="T53" s="84"/>
      <c r="U53" s="49"/>
      <c r="V53" s="85"/>
      <c r="W53" s="86"/>
      <c r="X53" s="49"/>
      <c r="Y53" s="100"/>
      <c r="Z53" s="99"/>
      <c r="AA53" s="100"/>
      <c r="AB53" s="99"/>
      <c r="AC53" s="90"/>
      <c r="AD53" s="90"/>
      <c r="AE53" s="90"/>
      <c r="AF53" s="46"/>
      <c r="AG53" s="90"/>
      <c r="AH53" s="91"/>
      <c r="AI53" s="91"/>
      <c r="AJ53" s="91"/>
      <c r="AK53" s="46"/>
      <c r="AL53" s="46"/>
      <c r="AM53" s="46"/>
    </row>
    <row r="54">
      <c r="A54" s="46"/>
      <c r="B54" s="46"/>
      <c r="C54" s="46"/>
      <c r="D54" s="107" t="s">
        <v>131</v>
      </c>
      <c r="E54" s="116" t="s">
        <v>136</v>
      </c>
      <c r="F54" s="117"/>
      <c r="G54" s="118">
        <v>260000.0</v>
      </c>
      <c r="H54" s="119">
        <v>1.0</v>
      </c>
      <c r="I54" s="81">
        <f t="shared" si="8"/>
        <v>260000</v>
      </c>
      <c r="J54" s="81"/>
      <c r="K54" s="47"/>
      <c r="L54" s="120">
        <f t="shared" si="11"/>
        <v>325000</v>
      </c>
      <c r="M54" s="130" t="s">
        <v>126</v>
      </c>
      <c r="N54" s="83">
        <f t="shared" si="10"/>
        <v>85.52631579</v>
      </c>
      <c r="O54" s="81"/>
      <c r="P54" s="47"/>
      <c r="Q54" s="84"/>
      <c r="R54" s="84"/>
      <c r="S54" s="84"/>
      <c r="T54" s="84"/>
      <c r="U54" s="49"/>
      <c r="V54" s="85"/>
      <c r="W54" s="86"/>
      <c r="X54" s="49"/>
      <c r="Y54" s="100"/>
      <c r="Z54" s="99"/>
      <c r="AA54" s="100"/>
      <c r="AB54" s="99"/>
      <c r="AC54" s="90"/>
      <c r="AD54" s="90"/>
      <c r="AE54" s="90"/>
      <c r="AF54" s="46"/>
      <c r="AG54" s="90"/>
      <c r="AH54" s="91"/>
      <c r="AI54" s="91"/>
      <c r="AJ54" s="91"/>
      <c r="AK54" s="46"/>
      <c r="AL54" s="46"/>
      <c r="AM54" s="46"/>
    </row>
    <row r="55">
      <c r="A55" s="46"/>
      <c r="B55" s="107"/>
      <c r="C55" s="46"/>
      <c r="D55" s="107" t="s">
        <v>131</v>
      </c>
      <c r="E55" s="142" t="s">
        <v>137</v>
      </c>
      <c r="F55" s="117"/>
      <c r="G55" s="143">
        <v>650000.0</v>
      </c>
      <c r="H55" s="119">
        <v>1.0</v>
      </c>
      <c r="I55" s="81">
        <f t="shared" si="8"/>
        <v>650000</v>
      </c>
      <c r="J55" s="81"/>
      <c r="K55" s="47"/>
      <c r="L55" s="120">
        <f>I55/0.75</f>
        <v>866666.6667</v>
      </c>
      <c r="M55" s="130" t="s">
        <v>126</v>
      </c>
      <c r="N55" s="83">
        <f t="shared" si="10"/>
        <v>228.0701754</v>
      </c>
      <c r="O55" s="81"/>
      <c r="P55" s="47"/>
      <c r="Q55" s="84"/>
      <c r="R55" s="84"/>
      <c r="S55" s="84"/>
      <c r="T55" s="84"/>
      <c r="U55" s="49"/>
      <c r="V55" s="85"/>
      <c r="W55" s="86"/>
      <c r="X55" s="49"/>
      <c r="Y55" s="100"/>
      <c r="Z55" s="99"/>
      <c r="AA55" s="100"/>
      <c r="AB55" s="99"/>
      <c r="AC55" s="90"/>
      <c r="AD55" s="90"/>
      <c r="AE55" s="90"/>
      <c r="AF55" s="46"/>
      <c r="AG55" s="90"/>
      <c r="AH55" s="91"/>
      <c r="AI55" s="91"/>
      <c r="AJ55" s="91"/>
      <c r="AK55" s="46"/>
      <c r="AL55" s="46"/>
      <c r="AM55" s="46"/>
    </row>
    <row r="56">
      <c r="A56" s="46"/>
      <c r="B56" s="92"/>
      <c r="C56" s="92"/>
      <c r="D56" s="92"/>
      <c r="E56" s="144" t="s">
        <v>138</v>
      </c>
      <c r="F56" s="145"/>
      <c r="G56" s="145"/>
      <c r="H56" s="146"/>
      <c r="I56" s="146"/>
      <c r="J56" s="81"/>
      <c r="K56" s="47"/>
      <c r="L56" s="146"/>
      <c r="M56" s="146"/>
      <c r="N56" s="146"/>
      <c r="O56" s="81"/>
      <c r="P56" s="47"/>
      <c r="Q56" s="84"/>
      <c r="R56" s="84"/>
      <c r="S56" s="84"/>
      <c r="T56" s="84"/>
      <c r="U56" s="49"/>
      <c r="V56" s="85"/>
      <c r="W56" s="86"/>
      <c r="X56" s="49"/>
      <c r="Y56" s="100"/>
      <c r="Z56" s="99"/>
      <c r="AA56" s="100"/>
      <c r="AB56" s="99"/>
      <c r="AC56" s="90"/>
      <c r="AD56" s="90"/>
      <c r="AE56" s="90"/>
      <c r="AF56" s="46"/>
      <c r="AG56" s="90"/>
      <c r="AH56" s="91"/>
      <c r="AI56" s="91"/>
      <c r="AJ56" s="91"/>
      <c r="AK56" s="46"/>
      <c r="AL56" s="46"/>
      <c r="AM56" s="46"/>
    </row>
    <row r="57">
      <c r="A57" s="46"/>
      <c r="B57" s="46"/>
      <c r="C57" s="46"/>
      <c r="D57" s="107" t="s">
        <v>131</v>
      </c>
      <c r="E57" s="147" t="s">
        <v>139</v>
      </c>
      <c r="F57" s="148"/>
      <c r="G57" s="149"/>
      <c r="H57" s="149"/>
      <c r="I57" s="149"/>
      <c r="J57" s="81"/>
      <c r="K57" s="47"/>
      <c r="L57" s="149"/>
      <c r="M57" s="149"/>
      <c r="N57" s="149"/>
      <c r="O57" s="81"/>
      <c r="P57" s="47"/>
      <c r="Q57" s="84"/>
      <c r="R57" s="84"/>
      <c r="S57" s="84"/>
      <c r="T57" s="84"/>
      <c r="U57" s="49"/>
      <c r="V57" s="85"/>
      <c r="W57" s="86"/>
      <c r="X57" s="49"/>
      <c r="Y57" s="100"/>
      <c r="Z57" s="99"/>
      <c r="AA57" s="100"/>
      <c r="AB57" s="99"/>
      <c r="AC57" s="90"/>
      <c r="AD57" s="90"/>
      <c r="AE57" s="90"/>
      <c r="AF57" s="46"/>
      <c r="AG57" s="90"/>
      <c r="AH57" s="91"/>
      <c r="AI57" s="91"/>
      <c r="AJ57" s="91"/>
      <c r="AK57" s="46"/>
      <c r="AL57" s="46"/>
      <c r="AM57" s="46"/>
    </row>
    <row r="58">
      <c r="A58" s="46"/>
      <c r="B58" s="46"/>
      <c r="C58" s="46"/>
      <c r="D58" s="107" t="s">
        <v>131</v>
      </c>
      <c r="E58" s="142" t="s">
        <v>140</v>
      </c>
      <c r="F58" s="117"/>
      <c r="G58" s="143">
        <v>280000.0</v>
      </c>
      <c r="H58" s="119">
        <v>1.0</v>
      </c>
      <c r="I58" s="81">
        <f t="shared" ref="I58:I61" si="12">G58*H58</f>
        <v>280000</v>
      </c>
      <c r="J58" s="81"/>
      <c r="K58" s="47"/>
      <c r="L58" s="120">
        <f t="shared" ref="L58:L59" si="13">I58/0.9</f>
        <v>311111.1111</v>
      </c>
      <c r="M58" s="130" t="s">
        <v>126</v>
      </c>
      <c r="N58" s="83">
        <f t="shared" ref="N58:N61" si="14">L58/$H$72</f>
        <v>81.87134503</v>
      </c>
      <c r="O58" s="81"/>
      <c r="P58" s="47"/>
      <c r="Q58" s="84"/>
      <c r="R58" s="84"/>
      <c r="S58" s="84"/>
      <c r="T58" s="84"/>
      <c r="U58" s="49"/>
      <c r="V58" s="85"/>
      <c r="W58" s="86"/>
      <c r="X58" s="49"/>
      <c r="Y58" s="100"/>
      <c r="Z58" s="99"/>
      <c r="AA58" s="100"/>
      <c r="AB58" s="99"/>
      <c r="AC58" s="90"/>
      <c r="AD58" s="90"/>
      <c r="AE58" s="90"/>
      <c r="AF58" s="46"/>
      <c r="AG58" s="90"/>
      <c r="AH58" s="91"/>
      <c r="AI58" s="91"/>
      <c r="AJ58" s="91"/>
      <c r="AK58" s="46"/>
      <c r="AL58" s="46"/>
      <c r="AM58" s="46"/>
    </row>
    <row r="59">
      <c r="A59" s="46"/>
      <c r="B59" s="46"/>
      <c r="C59" s="46"/>
      <c r="D59" s="107" t="s">
        <v>131</v>
      </c>
      <c r="E59" s="142" t="s">
        <v>141</v>
      </c>
      <c r="F59" s="117"/>
      <c r="G59" s="118">
        <v>280000.0</v>
      </c>
      <c r="H59" s="119">
        <v>1.0</v>
      </c>
      <c r="I59" s="81">
        <f t="shared" si="12"/>
        <v>280000</v>
      </c>
      <c r="J59" s="81"/>
      <c r="K59" s="47"/>
      <c r="L59" s="120">
        <f t="shared" si="13"/>
        <v>311111.1111</v>
      </c>
      <c r="M59" s="130" t="s">
        <v>126</v>
      </c>
      <c r="N59" s="83">
        <f t="shared" si="14"/>
        <v>81.87134503</v>
      </c>
      <c r="O59" s="81"/>
      <c r="P59" s="47"/>
      <c r="Q59" s="84"/>
      <c r="R59" s="84"/>
      <c r="S59" s="84"/>
      <c r="T59" s="84"/>
      <c r="U59" s="49"/>
      <c r="V59" s="85"/>
      <c r="W59" s="86"/>
      <c r="X59" s="49"/>
      <c r="Y59" s="100"/>
      <c r="Z59" s="99"/>
      <c r="AA59" s="100"/>
      <c r="AB59" s="99"/>
      <c r="AC59" s="90"/>
      <c r="AD59" s="90"/>
      <c r="AE59" s="90"/>
      <c r="AF59" s="46"/>
      <c r="AG59" s="90"/>
      <c r="AH59" s="91"/>
      <c r="AI59" s="91"/>
      <c r="AJ59" s="91"/>
      <c r="AK59" s="46"/>
      <c r="AL59" s="46"/>
      <c r="AM59" s="46"/>
    </row>
    <row r="60">
      <c r="A60" s="46"/>
      <c r="B60" s="46"/>
      <c r="C60" s="46"/>
      <c r="D60" s="107" t="s">
        <v>131</v>
      </c>
      <c r="E60" s="116" t="s">
        <v>142</v>
      </c>
      <c r="F60" s="117"/>
      <c r="G60" s="118">
        <v>150000.0</v>
      </c>
      <c r="H60" s="119">
        <v>2.0</v>
      </c>
      <c r="I60" s="81">
        <f t="shared" si="12"/>
        <v>300000</v>
      </c>
      <c r="J60" s="81"/>
      <c r="K60" s="47"/>
      <c r="L60" s="120">
        <f t="shared" ref="L60:L61" si="15">I60/0.95</f>
        <v>315789.4737</v>
      </c>
      <c r="M60" s="130" t="s">
        <v>126</v>
      </c>
      <c r="N60" s="83">
        <f t="shared" si="14"/>
        <v>83.10249307</v>
      </c>
      <c r="O60" s="81"/>
      <c r="P60" s="47"/>
      <c r="Q60" s="84"/>
      <c r="R60" s="84"/>
      <c r="S60" s="84"/>
      <c r="T60" s="84"/>
      <c r="U60" s="49"/>
      <c r="V60" s="85"/>
      <c r="W60" s="86"/>
      <c r="X60" s="49"/>
      <c r="Y60" s="100"/>
      <c r="Z60" s="99"/>
      <c r="AA60" s="100"/>
      <c r="AB60" s="99"/>
      <c r="AC60" s="90"/>
      <c r="AD60" s="90"/>
      <c r="AE60" s="90"/>
      <c r="AF60" s="46"/>
      <c r="AG60" s="90"/>
      <c r="AH60" s="91"/>
      <c r="AI60" s="91"/>
      <c r="AJ60" s="91"/>
      <c r="AK60" s="46"/>
      <c r="AL60" s="91"/>
      <c r="AM60" s="46"/>
    </row>
    <row r="61">
      <c r="A61" s="46"/>
      <c r="B61" s="46"/>
      <c r="C61" s="46"/>
      <c r="D61" s="107" t="s">
        <v>131</v>
      </c>
      <c r="E61" s="116" t="s">
        <v>143</v>
      </c>
      <c r="F61" s="117"/>
      <c r="G61" s="118">
        <v>270000.0</v>
      </c>
      <c r="H61" s="119">
        <v>2.0</v>
      </c>
      <c r="I61" s="81">
        <f t="shared" si="12"/>
        <v>540000</v>
      </c>
      <c r="J61" s="81"/>
      <c r="K61" s="47"/>
      <c r="L61" s="120">
        <f t="shared" si="15"/>
        <v>568421.0526</v>
      </c>
      <c r="M61" s="130" t="s">
        <v>126</v>
      </c>
      <c r="N61" s="83">
        <f t="shared" si="14"/>
        <v>149.5844875</v>
      </c>
      <c r="O61" s="81"/>
      <c r="P61" s="49"/>
      <c r="Q61" s="84"/>
      <c r="R61" s="84"/>
      <c r="S61" s="84"/>
      <c r="T61" s="84"/>
      <c r="U61" s="49"/>
      <c r="V61" s="85"/>
      <c r="W61" s="86"/>
      <c r="X61" s="49"/>
      <c r="Y61" s="100"/>
      <c r="Z61" s="99"/>
      <c r="AA61" s="100"/>
      <c r="AB61" s="99"/>
      <c r="AC61" s="90"/>
      <c r="AD61" s="90"/>
      <c r="AE61" s="90"/>
      <c r="AF61" s="46"/>
      <c r="AG61" s="90"/>
      <c r="AH61" s="91"/>
      <c r="AI61" s="91"/>
      <c r="AJ61" s="91"/>
      <c r="AK61" s="46"/>
      <c r="AL61" s="46"/>
      <c r="AM61" s="46"/>
    </row>
    <row r="62">
      <c r="A62" s="46"/>
      <c r="B62" s="46"/>
      <c r="C62" s="150"/>
      <c r="D62" s="107" t="s">
        <v>131</v>
      </c>
      <c r="E62" s="142" t="s">
        <v>144</v>
      </c>
      <c r="F62" s="151"/>
      <c r="G62" s="143">
        <v>280000.0</v>
      </c>
      <c r="H62" s="152">
        <v>1.0</v>
      </c>
      <c r="I62" s="153"/>
      <c r="J62" s="154">
        <f t="shared" ref="J62:J63" si="16">G62*H62</f>
        <v>280000</v>
      </c>
      <c r="K62" s="47"/>
      <c r="L62" s="120">
        <f>J62/0.9</f>
        <v>311111.1111</v>
      </c>
      <c r="M62" s="81"/>
      <c r="N62" s="130" t="s">
        <v>126</v>
      </c>
      <c r="O62" s="83">
        <f t="shared" ref="O62:O63" si="17">L62/$H$72</f>
        <v>81.87134503</v>
      </c>
      <c r="P62" s="49"/>
      <c r="Q62" s="84"/>
      <c r="R62" s="84"/>
      <c r="S62" s="84"/>
      <c r="T62" s="84"/>
      <c r="U62" s="49"/>
      <c r="V62" s="85"/>
      <c r="W62" s="86"/>
      <c r="X62" s="49"/>
      <c r="Y62" s="100"/>
      <c r="Z62" s="99"/>
      <c r="AA62" s="100"/>
      <c r="AB62" s="99"/>
      <c r="AC62" s="90"/>
      <c r="AD62" s="90"/>
      <c r="AE62" s="90"/>
      <c r="AF62" s="46"/>
      <c r="AG62" s="90"/>
      <c r="AH62" s="91"/>
      <c r="AI62" s="91"/>
      <c r="AJ62" s="91"/>
      <c r="AK62" s="46"/>
      <c r="AL62" s="46"/>
      <c r="AM62" s="46"/>
    </row>
    <row r="63">
      <c r="A63" s="46"/>
      <c r="B63" s="46"/>
      <c r="C63" s="150"/>
      <c r="D63" s="107" t="s">
        <v>131</v>
      </c>
      <c r="E63" s="142" t="s">
        <v>145</v>
      </c>
      <c r="F63" s="151"/>
      <c r="G63" s="143">
        <v>370000.0</v>
      </c>
      <c r="H63" s="152">
        <v>1.0</v>
      </c>
      <c r="I63" s="153"/>
      <c r="J63" s="154">
        <f t="shared" si="16"/>
        <v>370000</v>
      </c>
      <c r="K63" s="47"/>
      <c r="L63" s="120">
        <f>J63/0.85</f>
        <v>435294.1176</v>
      </c>
      <c r="M63" s="130" t="s">
        <v>126</v>
      </c>
      <c r="N63" s="130" t="s">
        <v>126</v>
      </c>
      <c r="O63" s="83">
        <f t="shared" si="17"/>
        <v>114.5510836</v>
      </c>
      <c r="P63" s="49"/>
      <c r="Q63" s="84"/>
      <c r="R63" s="84"/>
      <c r="S63" s="84"/>
      <c r="T63" s="84"/>
      <c r="U63" s="49"/>
      <c r="V63" s="85"/>
      <c r="W63" s="86"/>
      <c r="X63" s="49"/>
      <c r="Y63" s="100"/>
      <c r="Z63" s="99"/>
      <c r="AA63" s="100"/>
      <c r="AB63" s="99"/>
      <c r="AC63" s="90"/>
      <c r="AD63" s="90"/>
      <c r="AE63" s="90"/>
      <c r="AF63" s="46"/>
      <c r="AG63" s="90"/>
      <c r="AH63" s="91"/>
      <c r="AI63" s="91"/>
      <c r="AJ63" s="91"/>
      <c r="AK63" s="46"/>
      <c r="AL63" s="46"/>
      <c r="AM63" s="46"/>
    </row>
    <row r="64">
      <c r="A64" s="46"/>
      <c r="B64" s="46"/>
      <c r="C64" s="150"/>
      <c r="D64" s="107" t="s">
        <v>131</v>
      </c>
      <c r="E64" s="155" t="s">
        <v>146</v>
      </c>
      <c r="F64" s="151"/>
      <c r="G64" s="154">
        <v>8000.0</v>
      </c>
      <c r="H64" s="119">
        <v>1.0</v>
      </c>
      <c r="I64" s="153">
        <f t="shared" ref="I64:I67" si="18">G64*H64</f>
        <v>8000</v>
      </c>
      <c r="J64" s="81"/>
      <c r="K64" s="47"/>
      <c r="L64" s="81">
        <f>I64/0.6</f>
        <v>13333.33333</v>
      </c>
      <c r="M64" s="81">
        <f>J64/0.95</f>
        <v>0</v>
      </c>
      <c r="N64" s="156">
        <f t="shared" ref="N64:N67" si="19">L64/$H$72</f>
        <v>3.50877193</v>
      </c>
      <c r="O64" s="81"/>
      <c r="P64" s="49"/>
      <c r="Q64" s="84"/>
      <c r="R64" s="84"/>
      <c r="S64" s="84"/>
      <c r="T64" s="84"/>
      <c r="U64" s="49"/>
      <c r="V64" s="85"/>
      <c r="W64" s="86"/>
      <c r="X64" s="49"/>
      <c r="Y64" s="100"/>
      <c r="Z64" s="99"/>
      <c r="AA64" s="100"/>
      <c r="AB64" s="99"/>
      <c r="AC64" s="90"/>
      <c r="AD64" s="90"/>
      <c r="AE64" s="90"/>
      <c r="AF64" s="46"/>
      <c r="AG64" s="90"/>
      <c r="AH64" s="91"/>
      <c r="AI64" s="91"/>
      <c r="AJ64" s="91"/>
      <c r="AK64" s="46"/>
      <c r="AL64" s="46"/>
      <c r="AM64" s="46"/>
    </row>
    <row r="65">
      <c r="A65" s="46"/>
      <c r="B65" s="46"/>
      <c r="C65" s="46"/>
      <c r="D65" s="107" t="s">
        <v>131</v>
      </c>
      <c r="E65" s="155" t="s">
        <v>147</v>
      </c>
      <c r="F65" s="90"/>
      <c r="G65" s="81">
        <v>40000.0</v>
      </c>
      <c r="H65" s="119">
        <v>4.0</v>
      </c>
      <c r="I65" s="153">
        <f t="shared" si="18"/>
        <v>160000</v>
      </c>
      <c r="J65" s="81"/>
      <c r="K65" s="47"/>
      <c r="L65" s="81">
        <f t="shared" ref="L65:L67" si="20">I65/0.95</f>
        <v>168421.0526</v>
      </c>
      <c r="M65" s="130" t="s">
        <v>126</v>
      </c>
      <c r="N65" s="156">
        <f t="shared" si="19"/>
        <v>44.32132964</v>
      </c>
      <c r="O65" s="81"/>
      <c r="P65" s="47"/>
      <c r="Q65" s="84"/>
      <c r="R65" s="84"/>
      <c r="S65" s="84"/>
      <c r="T65" s="84"/>
      <c r="U65" s="49"/>
      <c r="V65" s="85"/>
      <c r="W65" s="86"/>
      <c r="X65" s="49"/>
      <c r="Y65" s="100"/>
      <c r="Z65" s="99"/>
      <c r="AA65" s="100"/>
      <c r="AB65" s="123"/>
      <c r="AC65" s="90"/>
      <c r="AD65" s="90"/>
      <c r="AE65" s="90"/>
      <c r="AF65" s="46"/>
      <c r="AG65" s="90"/>
      <c r="AH65" s="91"/>
      <c r="AI65" s="91"/>
      <c r="AJ65" s="91"/>
      <c r="AK65" s="46"/>
      <c r="AL65" s="46"/>
      <c r="AM65" s="46"/>
    </row>
    <row r="66">
      <c r="A66" s="46"/>
      <c r="B66" s="46"/>
      <c r="C66" s="46"/>
      <c r="D66" s="107" t="s">
        <v>131</v>
      </c>
      <c r="E66" s="157" t="s">
        <v>148</v>
      </c>
      <c r="F66" s="90"/>
      <c r="G66" s="81">
        <v>180000.0</v>
      </c>
      <c r="H66" s="119">
        <v>0.5</v>
      </c>
      <c r="I66" s="153">
        <f t="shared" si="18"/>
        <v>90000</v>
      </c>
      <c r="J66" s="81"/>
      <c r="K66" s="47"/>
      <c r="L66" s="81">
        <f t="shared" si="20"/>
        <v>94736.84211</v>
      </c>
      <c r="M66" s="123"/>
      <c r="N66" s="156">
        <f t="shared" si="19"/>
        <v>24.93074792</v>
      </c>
      <c r="O66" s="81"/>
      <c r="P66" s="47"/>
      <c r="Q66" s="84"/>
      <c r="R66" s="84"/>
      <c r="S66" s="84"/>
      <c r="T66" s="84"/>
      <c r="U66" s="49"/>
      <c r="V66" s="85"/>
      <c r="W66" s="86"/>
      <c r="X66" s="49"/>
      <c r="Y66" s="100"/>
      <c r="Z66" s="99"/>
      <c r="AA66" s="100"/>
      <c r="AB66" s="123"/>
      <c r="AC66" s="90"/>
      <c r="AD66" s="90"/>
      <c r="AE66" s="90"/>
      <c r="AF66" s="46"/>
      <c r="AG66" s="90"/>
      <c r="AH66" s="91"/>
      <c r="AI66" s="91"/>
      <c r="AJ66" s="91"/>
      <c r="AK66" s="46"/>
      <c r="AL66" s="46"/>
      <c r="AM66" s="46"/>
    </row>
    <row r="67">
      <c r="A67" s="46"/>
      <c r="B67" s="46"/>
      <c r="C67" s="46"/>
      <c r="D67" s="107" t="s">
        <v>131</v>
      </c>
      <c r="E67" s="157" t="s">
        <v>149</v>
      </c>
      <c r="F67" s="90"/>
      <c r="G67" s="81">
        <v>180000.0</v>
      </c>
      <c r="H67" s="152">
        <v>0.5</v>
      </c>
      <c r="I67" s="153">
        <f t="shared" si="18"/>
        <v>90000</v>
      </c>
      <c r="J67" s="81">
        <f>G67*0.2</f>
        <v>36000</v>
      </c>
      <c r="K67" s="47"/>
      <c r="L67" s="81">
        <f t="shared" si="20"/>
        <v>94736.84211</v>
      </c>
      <c r="M67" s="123"/>
      <c r="N67" s="156">
        <f t="shared" si="19"/>
        <v>24.93074792</v>
      </c>
      <c r="O67" s="158">
        <v>10.0</v>
      </c>
      <c r="P67" s="47"/>
      <c r="Q67" s="84"/>
      <c r="R67" s="84"/>
      <c r="S67" s="84"/>
      <c r="T67" s="84"/>
      <c r="U67" s="49"/>
      <c r="V67" s="85"/>
      <c r="W67" s="86"/>
      <c r="X67" s="49"/>
      <c r="Y67" s="100"/>
      <c r="Z67" s="99"/>
      <c r="AA67" s="100"/>
      <c r="AB67" s="123"/>
      <c r="AC67" s="90"/>
      <c r="AD67" s="90"/>
      <c r="AE67" s="90"/>
      <c r="AF67" s="46"/>
      <c r="AG67" s="90"/>
      <c r="AH67" s="91"/>
      <c r="AI67" s="91"/>
      <c r="AJ67" s="91"/>
      <c r="AK67" s="46"/>
      <c r="AL67" s="46"/>
      <c r="AM67" s="46"/>
    </row>
    <row r="68">
      <c r="A68" s="46"/>
      <c r="B68" s="46"/>
      <c r="C68" s="46"/>
      <c r="D68" s="46"/>
      <c r="E68" s="157" t="s">
        <v>150</v>
      </c>
      <c r="F68" s="90"/>
      <c r="G68" s="81">
        <v>20000.0</v>
      </c>
      <c r="H68" s="159">
        <v>1.0</v>
      </c>
      <c r="I68" s="153">
        <f>+G68*H68</f>
        <v>20000</v>
      </c>
      <c r="J68" s="153">
        <f>G68*H68</f>
        <v>20000</v>
      </c>
      <c r="K68" s="47"/>
      <c r="L68" s="121"/>
      <c r="M68" s="121"/>
      <c r="N68" s="121"/>
      <c r="O68" s="121"/>
      <c r="P68" s="47"/>
      <c r="Q68" s="84"/>
      <c r="R68" s="84"/>
      <c r="S68" s="84"/>
      <c r="T68" s="84"/>
      <c r="U68" s="49"/>
      <c r="V68" s="85"/>
      <c r="W68" s="86"/>
      <c r="X68" s="49"/>
      <c r="Y68" s="100"/>
      <c r="Z68" s="99"/>
      <c r="AA68" s="100"/>
      <c r="AB68" s="123"/>
      <c r="AC68" s="90"/>
      <c r="AD68" s="90"/>
      <c r="AE68" s="90"/>
      <c r="AF68" s="46"/>
      <c r="AG68" s="90"/>
      <c r="AH68" s="91"/>
      <c r="AI68" s="91"/>
      <c r="AJ68" s="91"/>
      <c r="AK68" s="46"/>
      <c r="AL68" s="91"/>
      <c r="AM68" s="46"/>
    </row>
    <row r="69">
      <c r="A69" s="46"/>
      <c r="B69" s="46"/>
      <c r="C69" s="46"/>
      <c r="D69" s="46"/>
      <c r="E69" s="46"/>
      <c r="F69" s="46"/>
      <c r="G69" s="160"/>
      <c r="H69" s="161" t="s">
        <v>151</v>
      </c>
      <c r="I69" s="162">
        <f t="shared" ref="I69:J69" si="21">SUM(I5:I68)</f>
        <v>4917000</v>
      </c>
      <c r="J69" s="162">
        <f t="shared" si="21"/>
        <v>706000</v>
      </c>
      <c r="K69" s="47"/>
      <c r="L69" s="47"/>
      <c r="M69" s="47"/>
      <c r="N69" s="163"/>
      <c r="O69" s="49"/>
      <c r="P69" s="49"/>
      <c r="Q69" s="49"/>
      <c r="R69" s="49"/>
      <c r="S69" s="49"/>
      <c r="T69" s="48"/>
      <c r="U69" s="49"/>
      <c r="V69" s="49"/>
      <c r="W69" s="48"/>
      <c r="X69" s="49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</row>
    <row r="70">
      <c r="A70" s="46"/>
      <c r="B70" s="46"/>
      <c r="C70" s="46"/>
      <c r="D70" s="46"/>
      <c r="E70" s="46"/>
      <c r="F70" s="46"/>
      <c r="G70" s="47"/>
      <c r="H70" s="164">
        <v>0.2</v>
      </c>
      <c r="I70" s="162">
        <f>I69/0.8</f>
        <v>6146250</v>
      </c>
      <c r="J70" s="162">
        <f>J69/0.9</f>
        <v>784444.4444</v>
      </c>
      <c r="K70" s="47"/>
      <c r="L70" s="47"/>
      <c r="M70" s="47"/>
      <c r="N70" s="162">
        <f t="shared" ref="N70:O70" si="22">SUM(N5:N69)</f>
        <v>1617.498461</v>
      </c>
      <c r="O70" s="162">
        <f t="shared" si="22"/>
        <v>206.4224286</v>
      </c>
      <c r="P70" s="49"/>
      <c r="Q70" s="47"/>
      <c r="R70" s="47"/>
      <c r="S70" s="49"/>
      <c r="T70" s="48"/>
      <c r="U70" s="49"/>
      <c r="V70" s="49"/>
      <c r="W70" s="48"/>
      <c r="X70" s="49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</row>
    <row r="71">
      <c r="A71" s="46"/>
      <c r="B71" s="46"/>
      <c r="C71" s="46"/>
      <c r="D71" s="46"/>
      <c r="E71" s="46"/>
      <c r="F71" s="46"/>
      <c r="G71" s="162" t="s">
        <v>152</v>
      </c>
      <c r="H71" s="165" t="s">
        <v>153</v>
      </c>
      <c r="I71" s="162">
        <f t="shared" ref="I71:J71" si="23">I70*4/1000</f>
        <v>24585</v>
      </c>
      <c r="J71" s="162">
        <f t="shared" si="23"/>
        <v>3137.777778</v>
      </c>
      <c r="K71" s="47"/>
      <c r="L71" s="47"/>
      <c r="M71" s="47"/>
      <c r="N71" s="162">
        <f t="shared" ref="N71:O71" si="24">I71/$H$72</f>
        <v>6.469736842</v>
      </c>
      <c r="O71" s="162">
        <f t="shared" si="24"/>
        <v>0.8257309942</v>
      </c>
      <c r="P71" s="47"/>
      <c r="Q71" s="47"/>
      <c r="R71" s="47"/>
      <c r="S71" s="47"/>
      <c r="T71" s="47"/>
      <c r="U71" s="49"/>
      <c r="V71" s="46"/>
      <c r="W71" s="46"/>
      <c r="X71" s="49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</row>
    <row r="72">
      <c r="A72" s="46"/>
      <c r="B72" s="46"/>
      <c r="C72" s="46"/>
      <c r="D72" s="46"/>
      <c r="E72" s="46"/>
      <c r="F72" s="46"/>
      <c r="G72" s="162" t="s">
        <v>154</v>
      </c>
      <c r="H72" s="166">
        <v>3800.0</v>
      </c>
      <c r="I72" s="167">
        <f t="shared" ref="I72:J72" si="25">SUM(I70:I71)</f>
        <v>6170835</v>
      </c>
      <c r="J72" s="167">
        <f t="shared" si="25"/>
        <v>787582.2222</v>
      </c>
      <c r="K72" s="47"/>
      <c r="L72" s="47"/>
      <c r="M72" s="47"/>
      <c r="N72" s="167">
        <f t="shared" ref="N72:O72" si="26">SUM(N70:N71)</f>
        <v>1623.968198</v>
      </c>
      <c r="O72" s="167">
        <f t="shared" si="26"/>
        <v>207.2481596</v>
      </c>
      <c r="P72" s="49"/>
      <c r="Q72" s="47"/>
      <c r="R72" s="47"/>
      <c r="S72" s="49"/>
      <c r="T72" s="48"/>
      <c r="U72" s="49"/>
      <c r="V72" s="49"/>
      <c r="W72" s="48"/>
      <c r="X72" s="49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</row>
    <row r="73" ht="27.0" customHeight="1">
      <c r="A73" s="46"/>
      <c r="B73" s="46"/>
      <c r="C73" s="46"/>
      <c r="D73" s="46"/>
      <c r="E73" s="46"/>
      <c r="F73" s="46"/>
      <c r="G73" s="47"/>
      <c r="H73" s="46"/>
      <c r="I73" s="168">
        <f>I72/H72</f>
        <v>1623.903947</v>
      </c>
      <c r="J73" s="168">
        <f>J72/H72</f>
        <v>207.2584795</v>
      </c>
      <c r="K73" s="47"/>
      <c r="L73" s="47"/>
      <c r="M73" s="47"/>
      <c r="N73" s="163"/>
      <c r="O73" s="49"/>
      <c r="P73" s="49"/>
      <c r="Q73" s="49"/>
      <c r="R73" s="49"/>
      <c r="S73" s="49"/>
      <c r="T73" s="48"/>
      <c r="U73" s="49"/>
      <c r="V73" s="49"/>
      <c r="W73" s="48"/>
      <c r="X73" s="49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</row>
    <row r="74" ht="27.0" customHeight="1">
      <c r="A74" s="46"/>
      <c r="B74" s="46"/>
      <c r="C74" s="46"/>
      <c r="D74" s="46"/>
      <c r="E74" s="46"/>
      <c r="F74" s="46"/>
      <c r="G74" s="47"/>
      <c r="H74" s="46"/>
      <c r="I74" s="47"/>
      <c r="J74" s="47"/>
      <c r="K74" s="47"/>
      <c r="L74" s="47"/>
      <c r="M74" s="47"/>
      <c r="N74" s="163"/>
      <c r="O74" s="49"/>
      <c r="P74" s="49"/>
      <c r="Q74" s="49"/>
      <c r="R74" s="49"/>
      <c r="S74" s="49"/>
      <c r="T74" s="48"/>
      <c r="U74" s="49"/>
      <c r="V74" s="49"/>
      <c r="W74" s="48"/>
      <c r="X74" s="49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</row>
    <row r="75" ht="27.0" customHeight="1">
      <c r="A75" s="46"/>
      <c r="B75" s="46"/>
      <c r="C75" s="46"/>
      <c r="D75" s="46"/>
      <c r="E75" s="169" t="s">
        <v>155</v>
      </c>
      <c r="F75" s="170"/>
      <c r="H75" s="46"/>
      <c r="I75" s="47"/>
      <c r="J75" s="47"/>
      <c r="K75" s="47"/>
      <c r="L75" s="47"/>
      <c r="M75" s="47"/>
      <c r="N75" s="163"/>
      <c r="O75" s="49"/>
      <c r="P75" s="49"/>
      <c r="Q75" s="49"/>
      <c r="R75" s="49"/>
      <c r="S75" s="49"/>
      <c r="T75" s="48"/>
      <c r="U75" s="49"/>
      <c r="V75" s="49"/>
      <c r="W75" s="48"/>
      <c r="X75" s="49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</row>
    <row r="76" ht="27.0" customHeight="1">
      <c r="A76" s="171"/>
      <c r="B76" s="171"/>
      <c r="C76" s="171"/>
      <c r="D76" s="171"/>
      <c r="E76" s="172" t="s">
        <v>156</v>
      </c>
      <c r="F76" s="173">
        <v>18.0</v>
      </c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4"/>
      <c r="S76" s="14"/>
      <c r="T76" s="14"/>
      <c r="U76" s="14"/>
      <c r="V76" s="14"/>
      <c r="W76" s="171"/>
      <c r="X76" s="171"/>
      <c r="Y76" s="171"/>
      <c r="Z76" s="171"/>
      <c r="AA76" s="174"/>
      <c r="AB76" s="174"/>
      <c r="AC76" s="174"/>
      <c r="AD76" s="174"/>
      <c r="AE76" s="174"/>
      <c r="AF76" s="174"/>
      <c r="AG76" s="174"/>
      <c r="AH76" s="171"/>
      <c r="AI76" s="171"/>
      <c r="AJ76" s="171"/>
      <c r="AK76" s="171"/>
      <c r="AL76" s="171"/>
      <c r="AM76" s="171"/>
    </row>
    <row r="77">
      <c r="A77" s="171"/>
      <c r="B77" s="171"/>
      <c r="C77" s="171"/>
      <c r="D77" s="171"/>
      <c r="E77" s="172" t="s">
        <v>157</v>
      </c>
      <c r="F77" s="173">
        <v>22.0</v>
      </c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4"/>
      <c r="S77" s="14"/>
      <c r="T77" s="14"/>
      <c r="U77" s="14"/>
      <c r="V77" s="14"/>
      <c r="W77" s="171"/>
      <c r="X77" s="171"/>
      <c r="Y77" s="171"/>
      <c r="Z77" s="171"/>
      <c r="AA77" s="174"/>
      <c r="AB77" s="174"/>
      <c r="AC77" s="174"/>
      <c r="AD77" s="174"/>
      <c r="AE77" s="174"/>
      <c r="AF77" s="174"/>
      <c r="AG77" s="174"/>
      <c r="AH77" s="171"/>
      <c r="AI77" s="171"/>
      <c r="AJ77" s="171"/>
      <c r="AK77" s="171"/>
      <c r="AL77" s="171"/>
      <c r="AM77" s="171"/>
    </row>
    <row r="78" ht="15.75" customHeight="1">
      <c r="A78" s="171"/>
      <c r="B78" s="171"/>
      <c r="C78" s="171"/>
      <c r="D78" s="175"/>
      <c r="E78" s="172" t="s">
        <v>158</v>
      </c>
      <c r="F78" s="173">
        <v>20.0</v>
      </c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4"/>
      <c r="S78" s="14"/>
      <c r="T78" s="14"/>
      <c r="U78" s="14"/>
      <c r="V78" s="14"/>
      <c r="W78" s="171"/>
      <c r="X78" s="171"/>
      <c r="Y78" s="171"/>
      <c r="Z78" s="171"/>
      <c r="AA78" s="174"/>
      <c r="AB78" s="174"/>
      <c r="AC78" s="174"/>
      <c r="AD78" s="174"/>
      <c r="AE78" s="174"/>
      <c r="AF78" s="174"/>
      <c r="AG78" s="174"/>
      <c r="AH78" s="171"/>
      <c r="AI78" s="171"/>
      <c r="AJ78" s="171"/>
      <c r="AK78" s="171"/>
      <c r="AL78" s="171"/>
      <c r="AM78" s="171"/>
    </row>
    <row r="79" ht="15.75" customHeight="1">
      <c r="A79" s="171"/>
      <c r="B79" s="171"/>
      <c r="C79" s="171"/>
      <c r="D79" s="175"/>
      <c r="E79" s="172" t="s">
        <v>159</v>
      </c>
      <c r="F79" s="173">
        <v>18.0</v>
      </c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4"/>
      <c r="S79" s="14"/>
      <c r="T79" s="14"/>
      <c r="U79" s="14"/>
      <c r="V79" s="14"/>
      <c r="W79" s="171"/>
      <c r="X79" s="171"/>
      <c r="Y79" s="171"/>
      <c r="Z79" s="171"/>
      <c r="AA79" s="174"/>
      <c r="AB79" s="174"/>
      <c r="AC79" s="174"/>
      <c r="AD79" s="174"/>
      <c r="AE79" s="174"/>
      <c r="AF79" s="174"/>
      <c r="AG79" s="174"/>
      <c r="AH79" s="171"/>
      <c r="AI79" s="171"/>
      <c r="AJ79" s="171"/>
      <c r="AK79" s="171"/>
      <c r="AL79" s="171"/>
      <c r="AM79" s="171"/>
    </row>
    <row r="80" ht="15.75" customHeight="1">
      <c r="A80" s="171"/>
      <c r="B80" s="171"/>
      <c r="C80" s="171"/>
      <c r="D80" s="175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4"/>
      <c r="S80" s="14"/>
      <c r="T80" s="14"/>
      <c r="U80" s="14"/>
      <c r="V80" s="14"/>
      <c r="W80" s="171"/>
      <c r="X80" s="171"/>
      <c r="Y80" s="171"/>
      <c r="Z80" s="171"/>
      <c r="AA80" s="174"/>
      <c r="AB80" s="174"/>
      <c r="AC80" s="174"/>
      <c r="AD80" s="174"/>
      <c r="AE80" s="174"/>
      <c r="AF80" s="174"/>
      <c r="AG80" s="174"/>
      <c r="AH80" s="171"/>
      <c r="AI80" s="171"/>
      <c r="AJ80" s="171"/>
      <c r="AK80" s="171"/>
      <c r="AL80" s="171"/>
      <c r="AM80" s="171"/>
    </row>
  </sheetData>
  <mergeCells count="2">
    <mergeCell ref="Y3:AB3"/>
    <mergeCell ref="AG3:AI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48.0"/>
    <col customWidth="1" min="4" max="4" width="18.13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ht="36.0" customHeight="1">
      <c r="A4" s="46"/>
      <c r="B4" s="46"/>
      <c r="C4" s="176" t="s">
        <v>160</v>
      </c>
      <c r="D4" s="177"/>
      <c r="E4" s="177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ht="36.0" customHeight="1">
      <c r="A5" s="46"/>
      <c r="B5" s="46"/>
      <c r="C5" s="178" t="s">
        <v>85</v>
      </c>
      <c r="D5" s="179" t="str">
        <f>COSTEO!N4</f>
        <v>HERMELINE</v>
      </c>
      <c r="E5" s="179" t="str">
        <f>COSTEO!O4</f>
        <v>PAX 2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>
      <c r="A6" s="46"/>
      <c r="B6" s="46"/>
      <c r="C6" s="93" t="str">
        <f>COSTEO!E6</f>
        <v>PAQUETE DE CHEQUEO MÉDICO </v>
      </c>
      <c r="D6" s="98">
        <f>COSTEO!N6</f>
        <v>485</v>
      </c>
      <c r="E6" s="81" t="str">
        <f>COSTEO!O7</f>
        <v/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</row>
    <row r="7">
      <c r="A7" s="46"/>
      <c r="B7" s="46"/>
      <c r="C7" s="103" t="str">
        <f>COSTEO!E7</f>
        <v>LABORATORIOS CLÍNICOS</v>
      </c>
      <c r="D7" s="105" t="str">
        <f>COSTEO!N7</f>
        <v/>
      </c>
      <c r="E7" s="81" t="str">
        <f>COSTEO!O8</f>
        <v/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</row>
    <row r="8">
      <c r="A8" s="46"/>
      <c r="B8" s="46"/>
      <c r="C8" s="108" t="str">
        <f>COSTEO!E8</f>
        <v>Citología cervical</v>
      </c>
      <c r="D8" s="110" t="str">
        <f>COSTEO!N8</f>
        <v/>
      </c>
      <c r="E8" s="81" t="str">
        <f>COSTEO!O9</f>
        <v/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</row>
    <row r="9">
      <c r="A9" s="46"/>
      <c r="B9" s="46"/>
      <c r="C9" s="112" t="str">
        <f>COSTEO!E9</f>
        <v>Coprológico</v>
      </c>
      <c r="D9" s="110" t="str">
        <f>COSTEO!N9</f>
        <v/>
      </c>
      <c r="E9" s="81" t="str">
        <f>COSTEO!O10</f>
        <v/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>
      <c r="A10" s="46"/>
      <c r="B10" s="46"/>
      <c r="C10" s="112" t="str">
        <f>COSTEO!E10</f>
        <v>Vitamina D25</v>
      </c>
      <c r="D10" s="110" t="str">
        <f>COSTEO!N10</f>
        <v/>
      </c>
      <c r="E10" s="81" t="str">
        <f>COSTEO!O11</f>
        <v/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</row>
    <row r="11">
      <c r="A11" s="46"/>
      <c r="B11" s="46"/>
      <c r="C11" s="112" t="str">
        <f>COSTEO!E11</f>
        <v>Vitamina B12</v>
      </c>
      <c r="D11" s="110" t="str">
        <f>COSTEO!N11</f>
        <v/>
      </c>
      <c r="E11" s="81" t="str">
        <f>COSTEO!O12</f>
        <v/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</row>
    <row r="12">
      <c r="A12" s="46"/>
      <c r="B12" s="46"/>
      <c r="C12" s="113" t="str">
        <f>COSTEO!E12</f>
        <v>Perfil lipídico</v>
      </c>
      <c r="D12" s="115" t="str">
        <f>COSTEO!N12</f>
        <v/>
      </c>
      <c r="E12" s="81" t="str">
        <f>COSTEO!O13</f>
        <v/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</row>
    <row r="13">
      <c r="A13" s="46"/>
      <c r="B13" s="46"/>
      <c r="C13" s="112" t="str">
        <f>COSTEO!E13</f>
        <v>Colesterol HDL</v>
      </c>
      <c r="D13" s="110" t="str">
        <f>COSTEO!N13</f>
        <v/>
      </c>
      <c r="E13" s="81" t="str">
        <f>COSTEO!O14</f>
        <v/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</row>
    <row r="14">
      <c r="A14" s="46"/>
      <c r="B14" s="46"/>
      <c r="C14" s="112" t="str">
        <f>COSTEO!E14</f>
        <v>Colesterol LDL</v>
      </c>
      <c r="D14" s="110" t="str">
        <f>COSTEO!N14</f>
        <v/>
      </c>
      <c r="E14" s="81" t="str">
        <f>COSTEO!O15</f>
        <v/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</row>
    <row r="15">
      <c r="A15" s="46"/>
      <c r="B15" s="46"/>
      <c r="C15" s="112" t="str">
        <f>COSTEO!E15</f>
        <v>Colesterol total</v>
      </c>
      <c r="D15" s="110" t="str">
        <f>COSTEO!N15</f>
        <v/>
      </c>
      <c r="E15" s="81" t="str">
        <f>COSTEO!O16</f>
        <v/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</row>
    <row r="16">
      <c r="A16" s="46"/>
      <c r="B16" s="46"/>
      <c r="C16" s="112" t="str">
        <f>COSTEO!E16</f>
        <v>Triglicéridos</v>
      </c>
      <c r="D16" s="110" t="str">
        <f>COSTEO!N16</f>
        <v/>
      </c>
      <c r="E16" s="81" t="str">
        <f>COSTEO!O17</f>
        <v/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</row>
    <row r="17">
      <c r="A17" s="46"/>
      <c r="B17" s="46"/>
      <c r="C17" s="113" t="str">
        <f>COSTEO!E17</f>
        <v>Perfil Hepático</v>
      </c>
      <c r="D17" s="115" t="str">
        <f>COSTEO!N17</f>
        <v/>
      </c>
      <c r="E17" s="81" t="str">
        <f>COSTEO!O18</f>
        <v/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</row>
    <row r="18">
      <c r="A18" s="46"/>
      <c r="B18" s="46"/>
      <c r="C18" s="112" t="str">
        <f>COSTEO!E18</f>
        <v>ALT- Alanina transferasa</v>
      </c>
      <c r="D18" s="110" t="str">
        <f>COSTEO!N18</f>
        <v/>
      </c>
      <c r="E18" s="81" t="str">
        <f>COSTEO!O19</f>
        <v/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</row>
    <row r="19">
      <c r="A19" s="46"/>
      <c r="B19" s="46"/>
      <c r="C19" s="112" t="str">
        <f>COSTEO!E19</f>
        <v>AST - aspartato transferasa</v>
      </c>
      <c r="D19" s="110" t="str">
        <f>COSTEO!N19</f>
        <v/>
      </c>
      <c r="E19" s="81" t="str">
        <f>COSTEO!O20</f>
        <v/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>
      <c r="A20" s="46"/>
      <c r="B20" s="46"/>
      <c r="C20" s="112" t="str">
        <f>COSTEO!E20</f>
        <v>Bilirrubina total y directa</v>
      </c>
      <c r="D20" s="110" t="str">
        <f>COSTEO!N20</f>
        <v/>
      </c>
      <c r="E20" s="81" t="str">
        <f>COSTEO!O21</f>
        <v/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</row>
    <row r="21">
      <c r="A21" s="46"/>
      <c r="B21" s="46"/>
      <c r="C21" s="112" t="str">
        <f>COSTEO!E21</f>
        <v>Gama Glutamil transferasa</v>
      </c>
      <c r="D21" s="110" t="str">
        <f>COSTEO!N21</f>
        <v/>
      </c>
      <c r="E21" s="81" t="str">
        <f>COSTEO!O22</f>
        <v/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</row>
    <row r="22">
      <c r="A22" s="46"/>
      <c r="B22" s="46"/>
      <c r="C22" s="113" t="str">
        <f>COSTEO!E22</f>
        <v>Perfil Renal</v>
      </c>
      <c r="D22" s="115" t="str">
        <f>COSTEO!N22</f>
        <v/>
      </c>
      <c r="E22" s="81" t="str">
        <f>COSTEO!O23</f>
        <v/>
      </c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</row>
    <row r="23">
      <c r="A23" s="46"/>
      <c r="B23" s="46"/>
      <c r="C23" s="112" t="str">
        <f>COSTEO!E23</f>
        <v>Creatinina</v>
      </c>
      <c r="D23" s="110" t="str">
        <f>COSTEO!N23</f>
        <v/>
      </c>
      <c r="E23" s="81" t="str">
        <f>COSTEO!O24</f>
        <v/>
      </c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</row>
    <row r="24">
      <c r="A24" s="46"/>
      <c r="B24" s="46"/>
      <c r="C24" s="116" t="str">
        <f>COSTEO!E24</f>
        <v>e-GFR</v>
      </c>
      <c r="D24" s="83">
        <f>COSTEO!N24</f>
        <v>4.385964912</v>
      </c>
      <c r="E24" s="81" t="str">
        <f>COSTEO!O25</f>
        <v/>
      </c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</row>
    <row r="25">
      <c r="A25" s="46"/>
      <c r="B25" s="46"/>
      <c r="C25" s="112" t="str">
        <f>COSTEO!E25</f>
        <v>Uroanálisis</v>
      </c>
      <c r="D25" s="110" t="str">
        <f>COSTEO!N25</f>
        <v/>
      </c>
      <c r="E25" s="81" t="str">
        <f>COSTEO!O26</f>
        <v/>
      </c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</row>
    <row r="26">
      <c r="A26" s="46"/>
      <c r="B26" s="46"/>
      <c r="C26" s="112" t="str">
        <f>COSTEO!E26</f>
        <v>Nitrógeno Ureico en Sangre  (BUN)</v>
      </c>
      <c r="D26" s="110" t="str">
        <f>COSTEO!N26</f>
        <v/>
      </c>
      <c r="E26" s="81" t="str">
        <f>COSTEO!O27</f>
        <v/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</row>
    <row r="27">
      <c r="A27" s="46"/>
      <c r="B27" s="46"/>
      <c r="C27" s="113" t="str">
        <f>COSTEO!E27</f>
        <v>Sangre</v>
      </c>
      <c r="D27" s="115" t="str">
        <f>COSTEO!N27</f>
        <v/>
      </c>
      <c r="E27" s="81" t="str">
        <f>COSTEO!O28</f>
        <v/>
      </c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>
      <c r="A28" s="46"/>
      <c r="B28" s="46"/>
      <c r="C28" s="112" t="str">
        <f>COSTEO!E28</f>
        <v>Hemograma completo</v>
      </c>
      <c r="D28" s="110" t="str">
        <f>COSTEO!N28</f>
        <v/>
      </c>
      <c r="E28" s="81" t="str">
        <f>COSTEO!O29</f>
        <v/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</row>
    <row r="29">
      <c r="A29" s="46"/>
      <c r="B29" s="46"/>
      <c r="C29" s="112" t="str">
        <f>COSTEO!E29</f>
        <v>Hemoglobina glicosilada</v>
      </c>
      <c r="D29" s="110" t="str">
        <f>COSTEO!N29</f>
        <v/>
      </c>
      <c r="E29" s="81" t="str">
        <f>COSTEO!O30</f>
        <v/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</row>
    <row r="30">
      <c r="A30" s="46"/>
      <c r="B30" s="46"/>
      <c r="C30" s="112" t="str">
        <f>COSTEO!E30</f>
        <v>Ferritina</v>
      </c>
      <c r="D30" s="110" t="str">
        <f>COSTEO!N30</f>
        <v/>
      </c>
      <c r="E30" s="81" t="str">
        <f>COSTEO!O31</f>
        <v/>
      </c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>
      <c r="A31" s="46"/>
      <c r="B31" s="46"/>
      <c r="C31" s="112" t="str">
        <f>COSTEO!E31</f>
        <v>Glucosa sérica</v>
      </c>
      <c r="D31" s="110" t="str">
        <f>COSTEO!N31</f>
        <v/>
      </c>
      <c r="E31" s="81" t="str">
        <f>COSTEO!O32</f>
        <v/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</row>
    <row r="32">
      <c r="A32" s="46"/>
      <c r="B32" s="46"/>
      <c r="C32" s="116" t="str">
        <f>COSTEO!E32</f>
        <v>Frotis de sangre periférica - (extendido de sangre periférica estudio de morfología)</v>
      </c>
      <c r="D32" s="83">
        <f>COSTEO!N32</f>
        <v>19.73684211</v>
      </c>
      <c r="E32" s="81" t="str">
        <f>COSTEO!O33</f>
        <v/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</row>
    <row r="33">
      <c r="A33" s="46"/>
      <c r="B33" s="46"/>
      <c r="C33" s="116" t="str">
        <f>COSTEO!E33</f>
        <v>Test de sicklemia: (Células Falciformes-drepanocitosis)</v>
      </c>
      <c r="D33" s="83">
        <f>COSTEO!N33</f>
        <v>17.54385965</v>
      </c>
      <c r="E33" s="81" t="str">
        <f>COSTEO!O34</f>
        <v/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</row>
    <row r="34">
      <c r="A34" s="46"/>
      <c r="B34" s="46"/>
      <c r="C34" s="113" t="str">
        <f>COSTEO!E34</f>
        <v>Perfil Tiroideo</v>
      </c>
      <c r="D34" s="115" t="str">
        <f>COSTEO!N34</f>
        <v/>
      </c>
      <c r="E34" s="81" t="str">
        <f>COSTEO!O35</f>
        <v/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</row>
    <row r="35">
      <c r="A35" s="46"/>
      <c r="B35" s="46"/>
      <c r="C35" s="112" t="str">
        <f>COSTEO!E35</f>
        <v>T4 libre</v>
      </c>
      <c r="D35" s="110" t="str">
        <f>COSTEO!N35</f>
        <v/>
      </c>
      <c r="E35" s="81" t="str">
        <f>COSTEO!O36</f>
        <v/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</row>
    <row r="36">
      <c r="A36" s="46"/>
      <c r="B36" s="46"/>
      <c r="C36" s="112" t="str">
        <f>COSTEO!E36</f>
        <v>TSH</v>
      </c>
      <c r="D36" s="110" t="str">
        <f>COSTEO!N36</f>
        <v/>
      </c>
      <c r="E36" s="81" t="str">
        <f>COSTEO!O37</f>
        <v/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</row>
    <row r="37">
      <c r="A37" s="46"/>
      <c r="B37" s="46"/>
      <c r="C37" s="116" t="str">
        <f>COSTEO!E37</f>
        <v>Paratohormona</v>
      </c>
      <c r="D37" s="83">
        <f>COSTEO!N37</f>
        <v>38.15789474</v>
      </c>
      <c r="E37" s="81" t="str">
        <f>COSTEO!O38</f>
        <v/>
      </c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</row>
    <row r="38">
      <c r="A38" s="46"/>
      <c r="B38" s="46"/>
      <c r="C38" s="113" t="str">
        <f>COSTEO!E38</f>
        <v>Enfermedades de transmisión sexual</v>
      </c>
      <c r="D38" s="115" t="str">
        <f>COSTEO!N38</f>
        <v/>
      </c>
      <c r="E38" s="81" t="str">
        <f>COSTEO!O39</f>
        <v/>
      </c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</row>
    <row r="39">
      <c r="A39" s="46"/>
      <c r="B39" s="46"/>
      <c r="C39" s="112" t="str">
        <f>COSTEO!E39</f>
        <v>VDRL</v>
      </c>
      <c r="D39" s="110" t="str">
        <f>COSTEO!N39</f>
        <v/>
      </c>
      <c r="E39" s="81" t="str">
        <f>COSTEO!O40</f>
        <v/>
      </c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</row>
    <row r="40">
      <c r="A40" s="46"/>
      <c r="B40" s="46"/>
      <c r="C40" s="112" t="str">
        <f>COSTEO!E40</f>
        <v>VIH 1 Y 2, Anticuerpos </v>
      </c>
      <c r="D40" s="110" t="str">
        <f>COSTEO!N40</f>
        <v/>
      </c>
      <c r="E40" s="81" t="str">
        <f>COSTEO!O41</f>
        <v/>
      </c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</row>
    <row r="41">
      <c r="A41" s="46"/>
      <c r="B41" s="46"/>
      <c r="C41" s="125" t="str">
        <f>COSTEO!E41</f>
        <v>Minerales  </v>
      </c>
      <c r="D41" s="127" t="str">
        <f>COSTEO!N41</f>
        <v/>
      </c>
      <c r="E41" s="81" t="str">
        <f>COSTEO!O42</f>
        <v/>
      </c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</row>
    <row r="42">
      <c r="A42" s="46"/>
      <c r="B42" s="46"/>
      <c r="C42" s="116" t="str">
        <f>COSTEO!E42</f>
        <v>Fosforo</v>
      </c>
      <c r="D42" s="83">
        <f>COSTEO!N42</f>
        <v>4.385964912</v>
      </c>
      <c r="E42" s="81" t="str">
        <f>COSTEO!O43</f>
        <v/>
      </c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</row>
    <row r="43">
      <c r="A43" s="46"/>
      <c r="B43" s="46"/>
      <c r="C43" s="116" t="str">
        <f>COSTEO!E43</f>
        <v>Ionograma: calcio - sodio - cloro- potasio</v>
      </c>
      <c r="D43" s="83">
        <f>COSTEO!N43</f>
        <v>29.60526316</v>
      </c>
      <c r="E43" s="81" t="str">
        <f>COSTEO!O44</f>
        <v/>
      </c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>
      <c r="A44" s="46"/>
      <c r="B44" s="46"/>
      <c r="C44" s="125" t="str">
        <f>COSTEO!E44</f>
        <v>Corazón</v>
      </c>
      <c r="D44" s="127" t="str">
        <f>COSTEO!N44</f>
        <v/>
      </c>
      <c r="E44" s="81" t="str">
        <f>COSTEO!O45</f>
        <v/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</row>
    <row r="45">
      <c r="A45" s="46"/>
      <c r="B45" s="46"/>
      <c r="C45" s="116" t="str">
        <f>COSTEO!E45</f>
        <v>Homocisteína</v>
      </c>
      <c r="D45" s="83">
        <f>COSTEO!N45</f>
        <v>35.52631579</v>
      </c>
      <c r="E45" s="81" t="str">
        <f>COSTEO!O46</f>
        <v/>
      </c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>
      <c r="A46" s="46"/>
      <c r="B46" s="46"/>
      <c r="C46" s="125" t="str">
        <f>COSTEO!E46</f>
        <v>IMÁGENES DIAGNÓSTICAS</v>
      </c>
      <c r="D46" s="127" t="str">
        <f>COSTEO!N46</f>
        <v/>
      </c>
      <c r="E46" s="81" t="str">
        <f>COSTEO!O47</f>
        <v/>
      </c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>
      <c r="A47" s="46"/>
      <c r="B47" s="46"/>
      <c r="C47" s="135" t="str">
        <f>COSTEO!E47</f>
        <v>Radiografía de tórax</v>
      </c>
      <c r="D47" s="137" t="str">
        <f>COSTEO!N47</f>
        <v/>
      </c>
      <c r="E47" s="81" t="str">
        <f>COSTEO!O48</f>
        <v/>
      </c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</row>
    <row r="48">
      <c r="A48" s="46"/>
      <c r="B48" s="46"/>
      <c r="C48" s="139" t="str">
        <f>COSTEO!E48</f>
        <v>Ecografía de mama</v>
      </c>
      <c r="D48" s="137" t="str">
        <f>COSTEO!N48</f>
        <v/>
      </c>
      <c r="E48" s="81" t="str">
        <f>COSTEO!O49</f>
        <v/>
      </c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</row>
    <row r="49">
      <c r="A49" s="46"/>
      <c r="B49" s="46"/>
      <c r="C49" s="135" t="str">
        <f>COSTEO!E49</f>
        <v>Ecografía de abdomen total</v>
      </c>
      <c r="D49" s="137" t="str">
        <f>COSTEO!N49</f>
        <v/>
      </c>
      <c r="E49" s="81" t="str">
        <f>COSTEO!O50</f>
        <v/>
      </c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</row>
    <row r="50">
      <c r="A50" s="46"/>
      <c r="B50" s="46"/>
      <c r="C50" s="135" t="str">
        <f>COSTEO!E50</f>
        <v>Electrocardiograma</v>
      </c>
      <c r="D50" s="137" t="str">
        <f>COSTEO!N50</f>
        <v/>
      </c>
      <c r="E50" s="81" t="str">
        <f>COSTEO!O51</f>
        <v/>
      </c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</row>
    <row r="51">
      <c r="A51" s="46"/>
      <c r="B51" s="46"/>
      <c r="C51" s="142" t="str">
        <f>COSTEO!E51</f>
        <v>Ecografía de tiroides</v>
      </c>
      <c r="D51" s="83">
        <f>COSTEO!N51</f>
        <v>35.0877193</v>
      </c>
      <c r="E51" s="81" t="str">
        <f>COSTEO!O52</f>
        <v/>
      </c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</row>
    <row r="52">
      <c r="A52" s="46"/>
      <c r="B52" s="46"/>
      <c r="C52" s="142" t="str">
        <f>COSTEO!E52</f>
        <v>Ecografía Uterina</v>
      </c>
      <c r="D52" s="83">
        <f>COSTEO!N52</f>
        <v>35.0877193</v>
      </c>
      <c r="E52" s="81" t="str">
        <f>COSTEO!O53</f>
        <v/>
      </c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</row>
    <row r="53">
      <c r="A53" s="46"/>
      <c r="B53" s="46"/>
      <c r="C53" s="116" t="str">
        <f>COSTEO!E53</f>
        <v>Ecocardiografía</v>
      </c>
      <c r="D53" s="83">
        <f>COSTEO!N53</f>
        <v>105.2631579</v>
      </c>
      <c r="E53" s="81" t="str">
        <f>COSTEO!O54</f>
        <v/>
      </c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  <row r="54">
      <c r="A54" s="46"/>
      <c r="B54" s="46"/>
      <c r="C54" s="116" t="str">
        <f>COSTEO!E54</f>
        <v>Prueba de esfuerzo</v>
      </c>
      <c r="D54" s="83">
        <f>COSTEO!N54</f>
        <v>85.52631579</v>
      </c>
      <c r="E54" s="81" t="str">
        <f>COSTEO!O55</f>
        <v/>
      </c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</row>
    <row r="55">
      <c r="A55" s="46"/>
      <c r="B55" s="46"/>
      <c r="C55" s="142" t="str">
        <f>COSTEO!E55</f>
        <v>Resonancia de cabeza simple</v>
      </c>
      <c r="D55" s="83">
        <f>COSTEO!N55</f>
        <v>228.0701754</v>
      </c>
      <c r="E55" s="81" t="str">
        <f>COSTEO!O56</f>
        <v/>
      </c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</row>
    <row r="56">
      <c r="A56" s="46"/>
      <c r="B56" s="46"/>
      <c r="C56" s="144" t="str">
        <f>COSTEO!E56</f>
        <v>ESPECIALISTAS</v>
      </c>
      <c r="D56" s="146" t="str">
        <f>COSTEO!N56</f>
        <v/>
      </c>
      <c r="E56" s="81" t="str">
        <f>COSTEO!O57</f>
        <v/>
      </c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</row>
    <row r="57">
      <c r="A57" s="46"/>
      <c r="B57" s="46"/>
      <c r="C57" s="147" t="str">
        <f>COSTEO!E57</f>
        <v>Consulta con CARDIOLOGÍA - INTERNISTA</v>
      </c>
      <c r="D57" s="149" t="str">
        <f>COSTEO!N57</f>
        <v/>
      </c>
      <c r="E57" s="81" t="str">
        <f>COSTEO!O58</f>
        <v/>
      </c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>
      <c r="A58" s="46"/>
      <c r="B58" s="46"/>
      <c r="C58" s="142" t="str">
        <f>COSTEO!E58</f>
        <v>Consulta con GINECOLOGIA</v>
      </c>
      <c r="D58" s="83">
        <f>COSTEO!N58</f>
        <v>81.87134503</v>
      </c>
      <c r="E58" s="81" t="str">
        <f>COSTEO!O59</f>
        <v/>
      </c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>
      <c r="A59" s="46"/>
      <c r="B59" s="46"/>
      <c r="C59" s="142" t="str">
        <f>COSTEO!E59</f>
        <v>Consulta con PSIQUIATRIA</v>
      </c>
      <c r="D59" s="83">
        <f>COSTEO!N59</f>
        <v>81.87134503</v>
      </c>
      <c r="E59" s="81" t="str">
        <f>COSTEO!O60</f>
        <v/>
      </c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>
      <c r="A60" s="46"/>
      <c r="B60" s="46"/>
      <c r="C60" s="116" t="str">
        <f>COSTEO!E60</f>
        <v>Consulta con VIRTUAL DE CONTROL DR Marcos Yepes </v>
      </c>
      <c r="D60" s="83">
        <f>COSTEO!N60</f>
        <v>83.10249307</v>
      </c>
      <c r="E60" s="81" t="str">
        <f>COSTEO!O61</f>
        <v/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>
      <c r="A61" s="46"/>
      <c r="B61" s="46"/>
      <c r="C61" s="116" t="str">
        <f>COSTEO!E61</f>
        <v>Consulta con VIRTUAL DE NUTRICIÓN Y PSICO NUTRICIÓN</v>
      </c>
      <c r="D61" s="83">
        <f>COSTEO!N61</f>
        <v>149.5844875</v>
      </c>
      <c r="E61" s="81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>
      <c r="A62" s="46"/>
      <c r="B62" s="46"/>
      <c r="C62" s="142" t="str">
        <f>COSTEO!E62</f>
        <v>Consulta con GLACOMATOLOGO Incluye exámen de Optometría</v>
      </c>
      <c r="D62" s="130" t="str">
        <f>COSTEO!N62</f>
        <v>No</v>
      </c>
      <c r="E62" s="83">
        <f>COSTEO!O62</f>
        <v>81.87134503</v>
      </c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</row>
    <row r="63">
      <c r="A63" s="46"/>
      <c r="B63" s="46"/>
      <c r="C63" s="142" t="str">
        <f>COSTEO!E63</f>
        <v>Tomografía de coherencia óptica (OCT):</v>
      </c>
      <c r="D63" s="130" t="str">
        <f>COSTEO!N63</f>
        <v>No</v>
      </c>
      <c r="E63" s="83">
        <f>COSTEO!O63</f>
        <v>114.5510836</v>
      </c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</row>
    <row r="64">
      <c r="A64" s="46"/>
      <c r="B64" s="46"/>
      <c r="C64" s="155" t="str">
        <f>COSTEO!E64</f>
        <v>Tarros para + orina uroanalisis y fecal</v>
      </c>
      <c r="D64" s="156">
        <f>COSTEO!N64</f>
        <v>3.50877193</v>
      </c>
      <c r="E64" s="81" t="str">
        <f>COSTEO!O65</f>
        <v/>
      </c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</row>
    <row r="65">
      <c r="A65" s="46"/>
      <c r="B65" s="46"/>
      <c r="C65" s="155" t="str">
        <f>COSTEO!E65</f>
        <v>04 Traslados hotel - clínica por trayecto Cortos - cerca adicionales</v>
      </c>
      <c r="D65" s="156">
        <f>COSTEO!N65</f>
        <v>44.32132964</v>
      </c>
      <c r="E65" s="81" t="str">
        <f>COSTEO!O66</f>
        <v/>
      </c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</row>
    <row r="66">
      <c r="A66" s="46"/>
      <c r="B66" s="46"/>
      <c r="C66" s="157" t="str">
        <f>COSTEO!E66</f>
        <v>Servicios Medical Trip Colombia: Acompañamiento Virtual</v>
      </c>
      <c r="D66" s="156">
        <f>COSTEO!N66</f>
        <v>24.93074792</v>
      </c>
      <c r="E66" s="81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</row>
    <row r="67">
      <c r="A67" s="46"/>
      <c r="B67" s="46"/>
      <c r="C67" s="157" t="str">
        <f>COSTEO!E67</f>
        <v>Servicios Medical Trip Colombia: Acompañamiento presencial </v>
      </c>
      <c r="D67" s="156">
        <f>COSTEO!N67</f>
        <v>24.93074792</v>
      </c>
      <c r="E67" s="156">
        <f>COSTEO!O67</f>
        <v>10</v>
      </c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</row>
    <row r="68">
      <c r="A68" s="46"/>
      <c r="B68" s="46"/>
      <c r="C68" s="116" t="s">
        <v>161</v>
      </c>
      <c r="D68" s="180">
        <f>COSTEO!N71</f>
        <v>6.469736842</v>
      </c>
      <c r="E68" s="81">
        <f>COSTEO!O71</f>
        <v>0.8257309942</v>
      </c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</row>
    <row r="69">
      <c r="A69" s="46"/>
      <c r="B69" s="46"/>
      <c r="C69" s="181" t="s">
        <v>162</v>
      </c>
      <c r="D69" s="182">
        <f t="shared" ref="D69:E69" si="1">SUM(D6:D68)</f>
        <v>1623.968198</v>
      </c>
      <c r="E69" s="182">
        <f t="shared" si="1"/>
        <v>207.2481596</v>
      </c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</row>
    <row r="70">
      <c r="A70" s="46"/>
      <c r="B70" s="46"/>
      <c r="C70" s="46" t="str">
        <f>COSTEO!E70</f>
        <v/>
      </c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</row>
    <row r="71">
      <c r="A71" s="46"/>
      <c r="B71" s="46"/>
      <c r="C71" s="46" t="str">
        <f>COSTEO!E71</f>
        <v/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</row>
    <row r="72">
      <c r="A72" s="46"/>
      <c r="B72" s="46"/>
      <c r="C72" s="46" t="str">
        <f>COSTEO!E72</f>
        <v/>
      </c>
      <c r="D72" s="163" t="str">
        <f>COSTEO!N73</f>
        <v/>
      </c>
      <c r="E72" s="49" t="str">
        <f>COSTEO!O73</f>
        <v/>
      </c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</row>
    <row r="73">
      <c r="A73" s="46"/>
      <c r="B73" s="46"/>
      <c r="C73" s="46" t="str">
        <f>COSTEO!E73</f>
        <v/>
      </c>
      <c r="D73" s="163" t="str">
        <f>COSTEO!N74</f>
        <v/>
      </c>
      <c r="E73" s="49" t="str">
        <f>COSTEO!O74</f>
        <v/>
      </c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</row>
    <row r="74">
      <c r="A74" s="46"/>
      <c r="B74" s="46"/>
      <c r="C74" s="46" t="str">
        <f>COSTEO!E74</f>
        <v/>
      </c>
      <c r="D74" s="163" t="str">
        <f>COSTEO!N75</f>
        <v/>
      </c>
      <c r="E74" s="49" t="str">
        <f>COSTEO!O75</f>
        <v/>
      </c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</row>
    <row r="75">
      <c r="A75" s="46"/>
      <c r="B75" s="46"/>
      <c r="C75" s="183" t="str">
        <f>COSTEO!E75</f>
        <v>EXÁMENES OPCIONALES DE LABORATORIO CLÍNICO</v>
      </c>
      <c r="D75" s="183"/>
      <c r="E75" s="46" t="str">
        <f>COSTEO!O76</f>
        <v/>
      </c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</row>
    <row r="76">
      <c r="A76" s="46"/>
      <c r="B76" s="46"/>
      <c r="C76" s="172" t="str">
        <f>COSTEO!E76</f>
        <v>CA 19-9 Antígeno de cáncer de tubo digestivo</v>
      </c>
      <c r="D76" s="173">
        <v>18.0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</row>
    <row r="77">
      <c r="A77" s="46"/>
      <c r="B77" s="46"/>
      <c r="C77" s="172" t="str">
        <f>COSTEO!E77</f>
        <v>CA-125 - Antígeno de cáncer de ovario</v>
      </c>
      <c r="D77" s="184">
        <v>25.0</v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</row>
    <row r="78">
      <c r="A78" s="46"/>
      <c r="B78" s="46"/>
      <c r="C78" s="172" t="str">
        <f>COSTEO!E78</f>
        <v>CEA (carcinoembrionario Antígeno)</v>
      </c>
      <c r="D78" s="173">
        <v>20.0</v>
      </c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</row>
    <row r="79">
      <c r="A79" s="46"/>
      <c r="B79" s="46"/>
      <c r="C79" s="172" t="str">
        <f>COSTEO!E79</f>
        <v>AFP (Alfa fetoproteína) </v>
      </c>
      <c r="D79" s="173">
        <v>18.0</v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</row>
    <row r="80">
      <c r="A80" s="46"/>
      <c r="B80" s="46"/>
      <c r="C80" s="46" t="str">
        <f>COSTEO!E80</f>
        <v/>
      </c>
      <c r="D80" s="46" t="str">
        <f>COSTEO!N81</f>
        <v/>
      </c>
      <c r="E80" s="46" t="str">
        <f>COSTEO!O81</f>
        <v/>
      </c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</row>
    <row r="81">
      <c r="A81" s="46"/>
      <c r="B81" s="46"/>
      <c r="C81" s="46" t="str">
        <f>COSTEO!E81</f>
        <v/>
      </c>
      <c r="D81" s="46" t="str">
        <f>COSTEO!N82</f>
        <v/>
      </c>
      <c r="E81" s="46" t="str">
        <f>COSTEO!O82</f>
        <v/>
      </c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</row>
    <row r="82">
      <c r="A82" s="46"/>
      <c r="B82" s="46"/>
      <c r="C82" s="46" t="str">
        <f>COSTEO!E82</f>
        <v/>
      </c>
      <c r="D82" s="46" t="str">
        <f>COSTEO!N83</f>
        <v/>
      </c>
      <c r="E82" s="46" t="str">
        <f>COSTEO!O83</f>
        <v/>
      </c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</row>
    <row r="83">
      <c r="A83" s="46"/>
      <c r="B83" s="46"/>
      <c r="C83" s="46" t="str">
        <f>COSTEO!E83</f>
        <v/>
      </c>
      <c r="D83" s="46" t="str">
        <f>COSTEO!N84</f>
        <v/>
      </c>
      <c r="E83" s="46" t="str">
        <f>COSTEO!O84</f>
        <v/>
      </c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</row>
    <row r="84">
      <c r="A84" s="46"/>
      <c r="B84" s="46"/>
      <c r="C84" s="46" t="str">
        <f>COSTEO!E84</f>
        <v/>
      </c>
      <c r="D84" s="46" t="str">
        <f>COSTEO!N85</f>
        <v/>
      </c>
      <c r="E84" s="46" t="str">
        <f>COSTEO!O85</f>
        <v/>
      </c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</row>
    <row r="85">
      <c r="A85" s="46"/>
      <c r="B85" s="46"/>
      <c r="C85" s="46" t="str">
        <f>COSTEO!E85</f>
        <v/>
      </c>
      <c r="D85" s="46" t="str">
        <f>COSTEO!N86</f>
        <v/>
      </c>
      <c r="E85" s="46" t="str">
        <f>COSTEO!O86</f>
        <v/>
      </c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</row>
    <row r="86">
      <c r="A86" s="46"/>
      <c r="B86" s="46"/>
      <c r="C86" s="46" t="str">
        <f>COSTEO!E86</f>
        <v/>
      </c>
      <c r="D86" s="46" t="str">
        <f>COSTEO!N87</f>
        <v/>
      </c>
      <c r="E86" s="46" t="str">
        <f>COSTEO!O87</f>
        <v/>
      </c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</row>
    <row r="87">
      <c r="A87" s="46"/>
      <c r="B87" s="46"/>
      <c r="C87" s="46" t="str">
        <f>COSTEO!E87</f>
        <v/>
      </c>
      <c r="D87" s="46" t="str">
        <f>COSTEO!N88</f>
        <v/>
      </c>
      <c r="E87" s="46" t="str">
        <f>COSTEO!O88</f>
        <v/>
      </c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</row>
    <row r="88">
      <c r="A88" s="46"/>
      <c r="B88" s="46"/>
      <c r="C88" s="46" t="str">
        <f>COSTEO!E88</f>
        <v/>
      </c>
      <c r="D88" s="46" t="str">
        <f>COSTEO!N89</f>
        <v/>
      </c>
      <c r="E88" s="46" t="str">
        <f>COSTEO!O89</f>
        <v/>
      </c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</row>
    <row r="89">
      <c r="A89" s="46"/>
      <c r="B89" s="46"/>
      <c r="C89" s="46"/>
      <c r="D89" s="46" t="str">
        <f>COSTEO!N90</f>
        <v/>
      </c>
      <c r="E89" s="46" t="str">
        <f>COSTEO!O90</f>
        <v/>
      </c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</row>
    <row r="90">
      <c r="A90" s="46"/>
      <c r="B90" s="46"/>
      <c r="C90" s="46"/>
      <c r="D90" s="46" t="str">
        <f>COSTEO!N91</f>
        <v/>
      </c>
      <c r="E90" s="46" t="str">
        <f>COSTEO!O91</f>
        <v/>
      </c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</row>
    <row r="91">
      <c r="A91" s="46"/>
      <c r="B91" s="46"/>
      <c r="C91" s="46"/>
      <c r="D91" s="46" t="str">
        <f>COSTEO!N92</f>
        <v/>
      </c>
      <c r="E91" s="46" t="str">
        <f>COSTEO!O92</f>
        <v/>
      </c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</row>
    <row r="92">
      <c r="A92" s="46"/>
      <c r="B92" s="46"/>
      <c r="C92" s="46"/>
      <c r="D92" s="46" t="str">
        <f>COSTEO!N93</f>
        <v/>
      </c>
      <c r="E92" s="46" t="str">
        <f>COSTEO!O93</f>
        <v/>
      </c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</row>
    <row r="93">
      <c r="A93" s="46"/>
      <c r="B93" s="46"/>
      <c r="C93" s="46"/>
      <c r="D93" s="46" t="str">
        <f>COSTEO!N94</f>
        <v/>
      </c>
      <c r="E93" s="46" t="str">
        <f>COSTEO!O94</f>
        <v/>
      </c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</row>
    <row r="94">
      <c r="A94" s="46"/>
      <c r="B94" s="46"/>
      <c r="C94" s="46"/>
      <c r="D94" s="46" t="str">
        <f>COSTEO!N95</f>
        <v/>
      </c>
      <c r="E94" s="46" t="str">
        <f>COSTEO!O95</f>
        <v/>
      </c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</row>
    <row r="95">
      <c r="A95" s="46"/>
      <c r="B95" s="46"/>
      <c r="C95" s="46"/>
      <c r="D95" s="46" t="str">
        <f>COSTEO!N96</f>
        <v/>
      </c>
      <c r="E95" s="46" t="str">
        <f>COSTEO!O96</f>
        <v/>
      </c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</row>
    <row r="96">
      <c r="A96" s="46"/>
      <c r="B96" s="46"/>
      <c r="C96" s="46"/>
      <c r="D96" s="46" t="str">
        <f>COSTEO!N97</f>
        <v/>
      </c>
      <c r="E96" s="46" t="str">
        <f>COSTEO!O97</f>
        <v/>
      </c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</row>
    <row r="97">
      <c r="A97" s="46"/>
      <c r="B97" s="46"/>
      <c r="C97" s="46"/>
      <c r="D97" s="46" t="str">
        <f>COSTEO!N98</f>
        <v/>
      </c>
      <c r="E97" s="46" t="str">
        <f>COSTEO!O98</f>
        <v/>
      </c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</row>
    <row r="98">
      <c r="A98" s="46"/>
      <c r="B98" s="46"/>
      <c r="C98" s="46"/>
      <c r="D98" s="46" t="str">
        <f>COSTEO!N99</f>
        <v/>
      </c>
      <c r="E98" s="46" t="str">
        <f>COSTEO!O99</f>
        <v/>
      </c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</row>
    <row r="99">
      <c r="A99" s="46"/>
      <c r="B99" s="46"/>
      <c r="C99" s="46"/>
      <c r="D99" s="46" t="str">
        <f>COSTEO!N100</f>
        <v/>
      </c>
      <c r="E99" s="46" t="str">
        <f>COSTEO!O100</f>
        <v/>
      </c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</row>
    <row r="100">
      <c r="A100" s="46"/>
      <c r="B100" s="46"/>
      <c r="C100" s="46"/>
      <c r="D100" s="46" t="str">
        <f>COSTEO!N101</f>
        <v/>
      </c>
      <c r="E100" s="46" t="str">
        <f>COSTEO!O101</f>
        <v/>
      </c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</row>
    <row r="101">
      <c r="A101" s="46"/>
      <c r="B101" s="46"/>
      <c r="C101" s="46"/>
      <c r="D101" s="46" t="str">
        <f>COSTEO!N102</f>
        <v/>
      </c>
      <c r="E101" s="46" t="str">
        <f>COSTEO!O102</f>
        <v/>
      </c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</row>
    <row r="102">
      <c r="A102" s="46"/>
      <c r="B102" s="46"/>
      <c r="C102" s="46"/>
      <c r="D102" s="46" t="str">
        <f>COSTEO!N103</f>
        <v/>
      </c>
      <c r="E102" s="46" t="str">
        <f>COSTEO!O103</f>
        <v/>
      </c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</row>
    <row r="103">
      <c r="A103" s="46"/>
      <c r="B103" s="46"/>
      <c r="C103" s="46"/>
      <c r="D103" s="46" t="str">
        <f>COSTEO!N104</f>
        <v/>
      </c>
      <c r="E103" s="46" t="str">
        <f>COSTEO!O104</f>
        <v/>
      </c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</row>
    <row r="104">
      <c r="A104" s="46"/>
      <c r="B104" s="46"/>
      <c r="C104" s="46"/>
      <c r="D104" s="46" t="str">
        <f>COSTEO!N105</f>
        <v/>
      </c>
      <c r="E104" s="46" t="str">
        <f>COSTEO!O105</f>
        <v/>
      </c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</row>
    <row r="105">
      <c r="A105" s="46"/>
      <c r="B105" s="46"/>
      <c r="C105" s="46"/>
      <c r="D105" s="46" t="str">
        <f>COSTEO!N106</f>
        <v/>
      </c>
      <c r="E105" s="46" t="str">
        <f>COSTEO!O106</f>
        <v/>
      </c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</row>
    <row r="106">
      <c r="A106" s="46"/>
      <c r="B106" s="46"/>
      <c r="C106" s="46"/>
      <c r="D106" s="46" t="str">
        <f>COSTEO!N107</f>
        <v/>
      </c>
      <c r="E106" s="46" t="str">
        <f>COSTEO!O107</f>
        <v/>
      </c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</row>
    <row r="107">
      <c r="A107" s="46"/>
      <c r="B107" s="46"/>
      <c r="C107" s="46"/>
      <c r="D107" s="46" t="str">
        <f>COSTEO!N108</f>
        <v/>
      </c>
      <c r="E107" s="46" t="str">
        <f>COSTEO!O108</f>
        <v/>
      </c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</row>
    <row r="108">
      <c r="A108" s="46"/>
      <c r="B108" s="46"/>
      <c r="C108" s="46"/>
      <c r="D108" s="46" t="str">
        <f>COSTEO!N109</f>
        <v/>
      </c>
      <c r="E108" s="46" t="str">
        <f>COSTEO!O109</f>
        <v/>
      </c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</row>
    <row r="109">
      <c r="A109" s="46"/>
      <c r="B109" s="46"/>
      <c r="C109" s="46"/>
      <c r="D109" s="46" t="str">
        <f>COSTEO!N110</f>
        <v/>
      </c>
      <c r="E109" s="46" t="str">
        <f>COSTEO!O110</f>
        <v/>
      </c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85"/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</row>
    <row r="2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</row>
    <row r="3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</row>
    <row r="4">
      <c r="A4" s="185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>
      <c r="A5" s="185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>
      <c r="A6" s="185"/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</row>
    <row r="7">
      <c r="A7" s="185"/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>
      <c r="A8" s="185"/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</row>
    <row r="10">
      <c r="A10" s="185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>
      <c r="A11" s="185"/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>
      <c r="A12" s="185"/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</row>
    <row r="13">
      <c r="A13" s="185"/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>
      <c r="A14" s="185"/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>
      <c r="A15" s="185"/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</row>
    <row r="16">
      <c r="A16" s="185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>
      <c r="A17" s="185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  <row r="18">
      <c r="A18" s="185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</row>
    <row r="19">
      <c r="A19" s="185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</row>
    <row r="20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</row>
    <row r="2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</row>
    <row r="22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</row>
    <row r="23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</row>
    <row r="24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</row>
    <row r="25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</row>
    <row r="26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</row>
    <row r="27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</row>
    <row r="28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</row>
    <row r="29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</row>
    <row r="30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</row>
    <row r="3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</row>
    <row r="32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</row>
    <row r="33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</row>
    <row r="34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</row>
    <row r="35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</row>
    <row r="36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</row>
    <row r="37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</row>
    <row r="38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</row>
    <row r="39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</row>
    <row r="40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</row>
    <row r="4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</row>
    <row r="42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</row>
    <row r="43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</row>
    <row r="44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</row>
    <row r="45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</row>
    <row r="46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</row>
    <row r="47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</row>
    <row r="48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</row>
    <row r="49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</row>
    <row r="50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</row>
    <row r="5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</row>
    <row r="52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</row>
    <row r="53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</row>
    <row r="54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</row>
    <row r="55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</row>
    <row r="56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</row>
    <row r="57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</row>
    <row r="58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</row>
    <row r="59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</row>
    <row r="60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</row>
    <row r="6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</row>
    <row r="62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</row>
    <row r="63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</row>
    <row r="64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</row>
    <row r="65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</row>
    <row r="66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</row>
    <row r="67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</row>
    <row r="68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</row>
    <row r="69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</row>
    <row r="70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</row>
    <row r="7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</row>
    <row r="72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</row>
    <row r="73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</row>
    <row r="74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</row>
    <row r="75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</row>
    <row r="76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</row>
    <row r="77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</row>
    <row r="78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</row>
    <row r="79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</row>
    <row r="80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</row>
    <row r="8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</row>
    <row r="82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</row>
    <row r="83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</row>
    <row r="84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</row>
    <row r="85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</row>
    <row r="86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</row>
    <row r="87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</row>
    <row r="88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</row>
    <row r="89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</row>
    <row r="90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</row>
    <row r="9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</row>
    <row r="92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</row>
    <row r="93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</row>
    <row r="94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</row>
    <row r="96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</row>
    <row r="97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</row>
    <row r="98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</row>
    <row r="99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</row>
    <row r="100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</row>
    <row r="102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</row>
    <row r="103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</row>
    <row r="104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</row>
    <row r="105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</row>
    <row r="106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</row>
    <row r="107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</row>
    <row r="108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</row>
    <row r="109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</row>
    <row r="110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</row>
    <row r="11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</row>
    <row r="11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</row>
    <row r="113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</row>
    <row r="114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</row>
    <row r="115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</row>
    <row r="116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</row>
    <row r="117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</row>
    <row r="118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</row>
    <row r="119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</row>
    <row r="120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</row>
    <row r="12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</row>
    <row r="12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</row>
    <row r="123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</row>
    <row r="124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</row>
    <row r="125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</row>
    <row r="126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</row>
    <row r="127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</row>
    <row r="128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</row>
    <row r="129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</row>
    <row r="130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</row>
    <row r="13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</row>
    <row r="132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</row>
    <row r="133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</row>
    <row r="134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</row>
    <row r="135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</row>
    <row r="136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</row>
    <row r="137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</row>
    <row r="138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</row>
    <row r="139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</row>
    <row r="140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</row>
    <row r="14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</row>
    <row r="142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</row>
    <row r="143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</row>
    <row r="144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</row>
    <row r="145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</row>
    <row r="146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</row>
    <row r="147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</row>
    <row r="148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</row>
    <row r="149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</row>
    <row r="150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</row>
    <row r="15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</row>
    <row r="152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</row>
    <row r="153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</row>
    <row r="154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</row>
    <row r="155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</row>
    <row r="156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</row>
    <row r="157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</row>
    <row r="158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</row>
    <row r="159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</row>
    <row r="160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</row>
    <row r="16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</row>
    <row r="162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</row>
    <row r="163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</row>
    <row r="164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</row>
    <row r="165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</row>
    <row r="166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</row>
    <row r="167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</row>
    <row r="168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</row>
    <row r="169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</row>
    <row r="170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</row>
    <row r="17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</row>
    <row r="172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</row>
    <row r="173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</row>
    <row r="174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</row>
    <row r="175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</row>
    <row r="176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</row>
    <row r="177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</row>
    <row r="178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</row>
    <row r="179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</row>
    <row r="180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</row>
    <row r="18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</row>
    <row r="182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</row>
    <row r="183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</row>
    <row r="184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</row>
    <row r="185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</row>
    <row r="186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</row>
    <row r="187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</row>
    <row r="188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</row>
    <row r="189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</row>
    <row r="190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</row>
    <row r="19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</row>
    <row r="192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</row>
    <row r="193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</row>
    <row r="194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</row>
    <row r="195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</row>
    <row r="196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</row>
    <row r="197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</row>
    <row r="198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</row>
    <row r="199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</row>
    <row r="200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</row>
    <row r="20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</row>
    <row r="202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</row>
    <row r="203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</row>
    <row r="204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</row>
    <row r="205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</row>
    <row r="206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</row>
    <row r="207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</row>
    <row r="208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</row>
    <row r="209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</row>
    <row r="210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</row>
    <row r="21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</row>
    <row r="212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</row>
    <row r="213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</row>
    <row r="214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</row>
    <row r="215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</row>
    <row r="216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</row>
    <row r="217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</row>
    <row r="218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</row>
    <row r="219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</row>
    <row r="220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</row>
    <row r="22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</row>
    <row r="222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</row>
    <row r="223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</row>
    <row r="224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</row>
    <row r="225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</row>
    <row r="226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</row>
    <row r="227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</row>
    <row r="228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</row>
    <row r="229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</row>
    <row r="230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</row>
    <row r="23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</row>
    <row r="232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</row>
    <row r="233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</row>
    <row r="234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</row>
    <row r="235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</row>
    <row r="236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</row>
    <row r="237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</row>
    <row r="238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</row>
    <row r="239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</row>
    <row r="240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</row>
    <row r="24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</row>
    <row r="242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</row>
    <row r="243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</row>
    <row r="244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</row>
    <row r="245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</row>
    <row r="246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</row>
    <row r="247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</row>
    <row r="248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</row>
    <row r="249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</row>
    <row r="250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</row>
    <row r="25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</row>
    <row r="252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</row>
    <row r="253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</row>
    <row r="254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</row>
    <row r="255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</row>
    <row r="256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</row>
    <row r="257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</row>
    <row r="258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</row>
    <row r="259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</row>
    <row r="260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</row>
    <row r="26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</row>
    <row r="262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</row>
    <row r="263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</row>
    <row r="264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</row>
    <row r="265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</row>
    <row r="266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</row>
    <row r="267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</row>
    <row r="268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</row>
    <row r="269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</row>
    <row r="270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</row>
    <row r="27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</row>
    <row r="272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</row>
    <row r="273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</row>
    <row r="274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</row>
    <row r="275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</row>
    <row r="276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</row>
    <row r="277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</row>
    <row r="278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</row>
    <row r="279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</row>
    <row r="280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</row>
    <row r="28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</row>
    <row r="282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</row>
    <row r="283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</row>
    <row r="284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</row>
    <row r="285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</row>
    <row r="286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</row>
    <row r="287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</row>
    <row r="288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</row>
    <row r="289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</row>
    <row r="290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</row>
    <row r="29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</row>
    <row r="292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</row>
    <row r="293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</row>
    <row r="294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</row>
    <row r="295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</row>
    <row r="296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</row>
    <row r="297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</row>
    <row r="298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</row>
    <row r="299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</row>
    <row r="300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</row>
    <row r="30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</row>
    <row r="302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</row>
    <row r="303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</row>
    <row r="304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</row>
    <row r="305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</row>
    <row r="306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</row>
    <row r="307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</row>
    <row r="308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</row>
    <row r="309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</row>
    <row r="310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</row>
    <row r="31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</row>
    <row r="312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</row>
    <row r="313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</row>
    <row r="314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</row>
    <row r="315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</row>
    <row r="316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</row>
    <row r="317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</row>
    <row r="318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</row>
    <row r="319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</row>
    <row r="320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</row>
    <row r="32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</row>
    <row r="322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</row>
    <row r="323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</row>
    <row r="324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</row>
    <row r="325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</row>
    <row r="326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</row>
    <row r="327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</row>
    <row r="328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</row>
    <row r="329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</row>
    <row r="330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</row>
    <row r="33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</row>
    <row r="332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</row>
    <row r="333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</row>
    <row r="334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</row>
    <row r="335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</row>
    <row r="336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</row>
    <row r="337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</row>
    <row r="338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</row>
    <row r="339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</row>
    <row r="340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</row>
    <row r="34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</row>
    <row r="342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</row>
    <row r="343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</row>
    <row r="344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</row>
    <row r="345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</row>
    <row r="346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</row>
    <row r="347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</row>
    <row r="348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</row>
    <row r="349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</row>
    <row r="350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</row>
    <row r="35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</row>
    <row r="352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</row>
    <row r="353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</row>
    <row r="354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</row>
    <row r="355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</row>
    <row r="356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</row>
    <row r="357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</row>
    <row r="358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</row>
    <row r="359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</row>
    <row r="360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</row>
    <row r="36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</row>
    <row r="362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</row>
    <row r="363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</row>
    <row r="364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</row>
    <row r="365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</row>
    <row r="366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</row>
    <row r="367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</row>
    <row r="368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</row>
    <row r="369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</row>
    <row r="370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</row>
    <row r="37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</row>
    <row r="372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</row>
    <row r="373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</row>
    <row r="374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</row>
    <row r="375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</row>
    <row r="376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</row>
    <row r="377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</row>
    <row r="378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</row>
    <row r="379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</row>
    <row r="380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</row>
    <row r="38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</row>
    <row r="382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</row>
    <row r="383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</row>
    <row r="384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</row>
    <row r="385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</row>
    <row r="386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</row>
    <row r="387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</row>
    <row r="388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</row>
    <row r="389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</row>
    <row r="390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</row>
    <row r="39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</row>
    <row r="392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</row>
    <row r="393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</row>
    <row r="394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</row>
    <row r="395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</row>
    <row r="396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</row>
    <row r="397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</row>
    <row r="398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</row>
    <row r="399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</row>
    <row r="400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</row>
    <row r="40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</row>
    <row r="402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</row>
    <row r="403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</row>
    <row r="404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</row>
    <row r="405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</row>
    <row r="406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</row>
    <row r="407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</row>
    <row r="408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</row>
    <row r="409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</row>
    <row r="410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</row>
    <row r="41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</row>
    <row r="412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</row>
    <row r="413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</row>
    <row r="414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</row>
    <row r="415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</row>
    <row r="416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</row>
    <row r="417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</row>
    <row r="418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</row>
    <row r="419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</row>
    <row r="420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</row>
    <row r="42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</row>
    <row r="422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</row>
    <row r="423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</row>
    <row r="424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</row>
    <row r="425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</row>
    <row r="426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</row>
    <row r="427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</row>
    <row r="428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</row>
    <row r="429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</row>
    <row r="430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</row>
    <row r="43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</row>
    <row r="432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</row>
    <row r="433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</row>
    <row r="434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</row>
    <row r="435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</row>
    <row r="436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</row>
    <row r="437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</row>
    <row r="438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</row>
    <row r="439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</row>
    <row r="440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</row>
    <row r="44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</row>
    <row r="442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</row>
    <row r="443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</row>
    <row r="444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</row>
    <row r="445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</row>
    <row r="446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</row>
    <row r="447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</row>
    <row r="448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</row>
    <row r="449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</row>
    <row r="450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</row>
    <row r="45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</row>
    <row r="452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</row>
    <row r="453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</row>
    <row r="454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</row>
    <row r="455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</row>
    <row r="456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</row>
    <row r="457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</row>
    <row r="458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</row>
    <row r="459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</row>
    <row r="460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</row>
    <row r="46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</row>
    <row r="462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</row>
    <row r="463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</row>
    <row r="464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</row>
    <row r="465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</row>
    <row r="466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</row>
    <row r="467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</row>
    <row r="468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</row>
    <row r="469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</row>
    <row r="470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</row>
    <row r="47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</row>
    <row r="472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</row>
    <row r="473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</row>
    <row r="474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</row>
    <row r="475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</row>
    <row r="476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</row>
    <row r="477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</row>
    <row r="478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</row>
    <row r="479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</row>
    <row r="480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</row>
    <row r="48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</row>
    <row r="482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</row>
    <row r="483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</row>
    <row r="484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</row>
    <row r="485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</row>
    <row r="486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</row>
    <row r="487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</row>
    <row r="488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</row>
    <row r="489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</row>
    <row r="490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</row>
    <row r="49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</row>
    <row r="492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</row>
    <row r="493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</row>
    <row r="494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</row>
    <row r="495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</row>
    <row r="496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</row>
    <row r="497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</row>
    <row r="498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</row>
    <row r="499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</row>
    <row r="500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</row>
    <row r="50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</row>
    <row r="502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</row>
    <row r="503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</row>
    <row r="504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</row>
    <row r="505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</row>
    <row r="506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</row>
    <row r="507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</row>
    <row r="508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</row>
    <row r="509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</row>
    <row r="510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</row>
    <row r="51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</row>
    <row r="512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</row>
    <row r="513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</row>
    <row r="514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</row>
    <row r="515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</row>
    <row r="516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</row>
    <row r="517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</row>
    <row r="518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</row>
    <row r="519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</row>
    <row r="520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</row>
    <row r="52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</row>
    <row r="522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</row>
    <row r="523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</row>
    <row r="524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</row>
    <row r="525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</row>
    <row r="526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</row>
    <row r="527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</row>
    <row r="528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</row>
    <row r="529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</row>
    <row r="530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</row>
    <row r="53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</row>
    <row r="532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</row>
    <row r="533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</row>
    <row r="534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</row>
    <row r="535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</row>
    <row r="536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</row>
    <row r="537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</row>
    <row r="538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</row>
    <row r="539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</row>
    <row r="540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</row>
    <row r="54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</row>
    <row r="542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</row>
    <row r="543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</row>
    <row r="544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</row>
    <row r="545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</row>
    <row r="546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</row>
    <row r="547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</row>
    <row r="548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</row>
    <row r="549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</row>
    <row r="550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</row>
    <row r="55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</row>
    <row r="552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</row>
    <row r="553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</row>
    <row r="554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</row>
    <row r="555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</row>
    <row r="556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</row>
    <row r="557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</row>
    <row r="558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</row>
    <row r="559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</row>
    <row r="560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</row>
    <row r="56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</row>
    <row r="562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</row>
    <row r="563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</row>
    <row r="564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</row>
    <row r="565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</row>
    <row r="566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</row>
    <row r="567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</row>
    <row r="568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</row>
    <row r="569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</row>
    <row r="570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</row>
    <row r="57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</row>
    <row r="572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</row>
    <row r="573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</row>
    <row r="574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</row>
    <row r="575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</row>
    <row r="576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</row>
    <row r="577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</row>
    <row r="578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</row>
    <row r="579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</row>
    <row r="580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</row>
    <row r="58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</row>
    <row r="582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</row>
    <row r="583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</row>
    <row r="584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</row>
    <row r="585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</row>
    <row r="586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</row>
    <row r="587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</row>
    <row r="588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</row>
    <row r="589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</row>
    <row r="590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</row>
    <row r="59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</row>
    <row r="592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</row>
    <row r="593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</row>
    <row r="594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</row>
    <row r="595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</row>
    <row r="596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</row>
    <row r="597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</row>
    <row r="598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</row>
    <row r="599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</row>
    <row r="600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</row>
    <row r="60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</row>
    <row r="602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</row>
    <row r="603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</row>
    <row r="604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</row>
    <row r="605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</row>
    <row r="606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</row>
    <row r="607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</row>
    <row r="608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</row>
    <row r="609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</row>
    <row r="610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</row>
    <row r="61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</row>
    <row r="612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</row>
    <row r="613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</row>
    <row r="614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</row>
    <row r="615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</row>
    <row r="616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</row>
    <row r="617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</row>
    <row r="618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</row>
    <row r="619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</row>
    <row r="620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</row>
    <row r="62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</row>
    <row r="622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</row>
    <row r="623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</row>
    <row r="624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</row>
    <row r="625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</row>
    <row r="626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</row>
    <row r="627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</row>
    <row r="628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</row>
    <row r="629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</row>
    <row r="630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</row>
    <row r="63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</row>
    <row r="632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</row>
    <row r="633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</row>
    <row r="634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</row>
    <row r="635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</row>
    <row r="636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</row>
    <row r="637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</row>
    <row r="638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</row>
    <row r="639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</row>
    <row r="640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</row>
    <row r="64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</row>
    <row r="642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</row>
    <row r="643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</row>
    <row r="644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</row>
    <row r="645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</row>
    <row r="646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</row>
    <row r="647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</row>
    <row r="648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</row>
    <row r="649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</row>
    <row r="650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</row>
    <row r="65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</row>
    <row r="652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</row>
    <row r="653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</row>
    <row r="654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</row>
    <row r="655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</row>
    <row r="656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</row>
    <row r="657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</row>
    <row r="658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</row>
    <row r="659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</row>
    <row r="660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</row>
    <row r="66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</row>
    <row r="662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</row>
    <row r="663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</row>
    <row r="664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</row>
    <row r="665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</row>
    <row r="666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</row>
    <row r="667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</row>
    <row r="668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</row>
    <row r="669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</row>
    <row r="670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</row>
    <row r="67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</row>
    <row r="672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</row>
    <row r="673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</row>
    <row r="674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</row>
    <row r="675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</row>
    <row r="676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</row>
    <row r="677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</row>
    <row r="678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</row>
    <row r="679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</row>
    <row r="680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</row>
    <row r="68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</row>
    <row r="682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</row>
    <row r="683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</row>
    <row r="684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</row>
    <row r="685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</row>
    <row r="686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</row>
    <row r="687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</row>
    <row r="688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</row>
    <row r="689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</row>
    <row r="690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</row>
    <row r="69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</row>
    <row r="692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</row>
    <row r="693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</row>
    <row r="694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</row>
    <row r="695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</row>
    <row r="696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</row>
    <row r="697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</row>
    <row r="698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</row>
    <row r="699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</row>
    <row r="700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</row>
    <row r="70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</row>
    <row r="702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</row>
    <row r="703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</row>
    <row r="704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</row>
    <row r="705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</row>
    <row r="706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</row>
    <row r="707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</row>
    <row r="708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</row>
    <row r="709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</row>
    <row r="710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</row>
    <row r="71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</row>
    <row r="712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</row>
    <row r="713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</row>
    <row r="714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</row>
    <row r="715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</row>
    <row r="716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</row>
    <row r="717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</row>
    <row r="718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</row>
    <row r="719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</row>
    <row r="720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</row>
    <row r="72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</row>
    <row r="722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</row>
    <row r="723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</row>
    <row r="724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</row>
    <row r="725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</row>
    <row r="726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</row>
    <row r="727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</row>
    <row r="728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</row>
    <row r="729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</row>
    <row r="730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</row>
    <row r="73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</row>
    <row r="732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</row>
    <row r="733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</row>
    <row r="734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</row>
    <row r="735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</row>
    <row r="736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</row>
    <row r="737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</row>
    <row r="738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</row>
    <row r="739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</row>
    <row r="740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</row>
    <row r="74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</row>
    <row r="742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</row>
    <row r="743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</row>
    <row r="744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</row>
    <row r="745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</row>
    <row r="746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</row>
    <row r="747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</row>
    <row r="748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</row>
    <row r="749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</row>
    <row r="750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</row>
    <row r="75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</row>
    <row r="752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</row>
    <row r="753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</row>
    <row r="754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</row>
    <row r="755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</row>
    <row r="756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</row>
    <row r="757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</row>
    <row r="758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</row>
    <row r="759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</row>
    <row r="760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</row>
    <row r="76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</row>
    <row r="762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</row>
    <row r="763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</row>
    <row r="764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</row>
    <row r="765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</row>
    <row r="766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</row>
    <row r="767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</row>
    <row r="768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</row>
    <row r="769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</row>
    <row r="770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</row>
    <row r="77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</row>
    <row r="772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</row>
    <row r="773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</row>
    <row r="774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</row>
    <row r="775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</row>
    <row r="776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</row>
    <row r="777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</row>
    <row r="778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</row>
    <row r="779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</row>
    <row r="780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</row>
    <row r="78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</row>
    <row r="782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</row>
    <row r="783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</row>
    <row r="784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</row>
    <row r="785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</row>
    <row r="786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</row>
    <row r="787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</row>
    <row r="788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</row>
    <row r="789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</row>
    <row r="790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</row>
    <row r="79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</row>
    <row r="792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</row>
    <row r="793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</row>
    <row r="794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</row>
    <row r="795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</row>
    <row r="796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</row>
    <row r="797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</row>
    <row r="798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</row>
    <row r="799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</row>
    <row r="800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</row>
    <row r="80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</row>
    <row r="802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</row>
    <row r="803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</row>
    <row r="804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</row>
    <row r="805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</row>
    <row r="806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</row>
    <row r="807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</row>
    <row r="808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</row>
    <row r="809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</row>
    <row r="810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</row>
    <row r="81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</row>
    <row r="812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</row>
    <row r="813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</row>
    <row r="814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</row>
    <row r="815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</row>
    <row r="816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</row>
    <row r="817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</row>
    <row r="818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</row>
    <row r="819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</row>
    <row r="820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</row>
    <row r="82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</row>
    <row r="822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</row>
    <row r="823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</row>
    <row r="824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</row>
    <row r="825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</row>
    <row r="826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</row>
    <row r="827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</row>
    <row r="828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</row>
    <row r="829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</row>
    <row r="830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</row>
    <row r="83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</row>
    <row r="832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</row>
    <row r="833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</row>
    <row r="834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</row>
    <row r="835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</row>
    <row r="836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</row>
    <row r="837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</row>
    <row r="838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</row>
    <row r="839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</row>
    <row r="840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</row>
    <row r="84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</row>
    <row r="842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</row>
    <row r="843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</row>
    <row r="844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</row>
    <row r="845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</row>
    <row r="846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</row>
    <row r="847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</row>
    <row r="848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</row>
    <row r="849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</row>
    <row r="850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</row>
    <row r="85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</row>
    <row r="852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</row>
    <row r="853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</row>
    <row r="854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</row>
    <row r="855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</row>
    <row r="856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</row>
    <row r="857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</row>
    <row r="858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</row>
    <row r="859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</row>
    <row r="860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</row>
    <row r="86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</row>
    <row r="862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</row>
    <row r="863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</row>
    <row r="864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</row>
    <row r="865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</row>
    <row r="866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</row>
    <row r="867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</row>
    <row r="868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</row>
    <row r="869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</row>
    <row r="870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</row>
    <row r="87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</row>
    <row r="872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</row>
    <row r="873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</row>
    <row r="874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</row>
    <row r="875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</row>
    <row r="876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</row>
    <row r="877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</row>
    <row r="878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</row>
    <row r="879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</row>
    <row r="880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</row>
    <row r="88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</row>
    <row r="882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</row>
    <row r="883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</row>
    <row r="884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</row>
    <row r="885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</row>
    <row r="886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</row>
    <row r="887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</row>
    <row r="888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</row>
    <row r="889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</row>
    <row r="890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</row>
    <row r="89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</row>
    <row r="892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</row>
    <row r="893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</row>
    <row r="894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</row>
    <row r="895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</row>
    <row r="896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</row>
    <row r="897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</row>
    <row r="898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</row>
    <row r="899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</row>
    <row r="900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</row>
    <row r="90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</row>
    <row r="902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</row>
    <row r="903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</row>
    <row r="904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</row>
    <row r="905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</row>
    <row r="906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</row>
    <row r="907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</row>
    <row r="908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</row>
    <row r="909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</row>
    <row r="910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</row>
    <row r="91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</row>
    <row r="912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</row>
    <row r="913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</row>
    <row r="914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</row>
    <row r="915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</row>
    <row r="916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</row>
    <row r="917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</row>
    <row r="918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</row>
    <row r="919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</row>
    <row r="920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</row>
    <row r="92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</row>
    <row r="922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</row>
    <row r="923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</row>
    <row r="924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</row>
    <row r="925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</row>
    <row r="926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</row>
    <row r="927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</row>
    <row r="928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</row>
    <row r="929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</row>
    <row r="930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</row>
    <row r="93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</row>
    <row r="932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</row>
    <row r="933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</row>
    <row r="934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</row>
    <row r="935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</row>
    <row r="936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</row>
    <row r="937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</row>
    <row r="938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</row>
    <row r="939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</row>
    <row r="940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</row>
    <row r="94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</row>
    <row r="942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</row>
    <row r="943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</row>
    <row r="944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</row>
    <row r="945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</row>
    <row r="946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</row>
    <row r="947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</row>
    <row r="948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</row>
    <row r="949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</row>
    <row r="950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</row>
    <row r="95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</row>
    <row r="952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</row>
    <row r="953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</row>
    <row r="954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</row>
    <row r="955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</row>
    <row r="956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</row>
    <row r="957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</row>
    <row r="958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</row>
    <row r="959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</row>
    <row r="960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</row>
    <row r="96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</row>
    <row r="962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</row>
    <row r="963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</row>
    <row r="964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</row>
    <row r="965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</row>
    <row r="966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</row>
    <row r="967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</row>
    <row r="968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</row>
    <row r="969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</row>
    <row r="970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</row>
    <row r="97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</row>
    <row r="972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</row>
    <row r="973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</row>
    <row r="974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</row>
    <row r="975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</row>
    <row r="976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</row>
    <row r="977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</row>
    <row r="978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</row>
    <row r="979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</row>
    <row r="980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</row>
    <row r="98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</row>
    <row r="982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</row>
    <row r="983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</row>
    <row r="984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</row>
    <row r="985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</row>
    <row r="986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</row>
    <row r="987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</row>
    <row r="988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</row>
    <row r="989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</row>
    <row r="990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</row>
    <row r="99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</row>
    <row r="992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8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187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188" t="s">
        <v>163</v>
      </c>
      <c r="B3" s="188" t="s">
        <v>89</v>
      </c>
      <c r="C3" s="188" t="s">
        <v>163</v>
      </c>
      <c r="D3" s="188" t="s">
        <v>130</v>
      </c>
      <c r="E3" s="188" t="s">
        <v>163</v>
      </c>
      <c r="F3" s="188" t="s">
        <v>138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drawing r:id="rId1"/>
</worksheet>
</file>