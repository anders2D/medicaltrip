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py5kwKmX7RotqL3WMX4dOamkMz6p2xgQcoOxc6w+/P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1">
      <text>
        <t xml:space="preserve">======
ID#AAABnekSml0
Medical Trip Colombia SAS    (2025-07-18 12:16:17)
Se da a cambio de INTERNISTA</t>
      </text>
    </comment>
    <comment authorId="0" ref="I84">
      <text>
        <t xml:space="preserve">======
ID#AAABnekSmlw
Medical Trip Colombia SAS    (2025-07-18 12:15:44)
Se da a cambio del INTERNISTA del chequeo</t>
      </text>
    </comment>
    <comment authorId="0" ref="J75">
      <text>
        <t xml:space="preserve">======
ID#AAABnekSmls
Medical Trip Colombia SAS    (2025-07-18 12:12:15)
A cambio de la ecografía de abdomen</t>
      </text>
    </comment>
    <comment authorId="0" ref="I76">
      <text>
        <t xml:space="preserve">======
ID#AAABnekSmlo
Medical Trip Colombia SAS    (2025-07-18 12:11:43)
Se cambio por la ECO DE ABDOMEN</t>
      </text>
    </comment>
  </commentList>
  <extLst>
    <ext uri="GoogleSheetsCustomDataVersion2">
      <go:sheetsCustomData xmlns:go="http://customooxmlschemas.google.com/" r:id="rId1" roundtripDataSignature="AMtx7mipWvYn1KFKACtwr1Q9yOCrJlVtqQ=="/>
    </ext>
  </extLst>
</comments>
</file>

<file path=xl/sharedStrings.xml><?xml version="1.0" encoding="utf-8"?>
<sst xmlns="http://schemas.openxmlformats.org/spreadsheetml/2006/main" count="730" uniqueCount="239">
  <si>
    <t>Nombre</t>
  </si>
  <si>
    <t>Rainer</t>
  </si>
  <si>
    <t>Natifa</t>
  </si>
  <si>
    <t>Apellido</t>
  </si>
  <si>
    <t>Inecia</t>
  </si>
  <si>
    <t>Francisca</t>
  </si>
  <si>
    <t>Apellido de casada</t>
  </si>
  <si>
    <t>Género:  .</t>
  </si>
  <si>
    <t>Masculino</t>
  </si>
  <si>
    <t>Femenino</t>
  </si>
  <si>
    <t>Pasaporte</t>
  </si>
  <si>
    <t>NWP2J35K1</t>
  </si>
  <si>
    <t>NX7J77K53</t>
  </si>
  <si>
    <t>Fecha de nacimiento</t>
  </si>
  <si>
    <t>30 Agost 1990</t>
  </si>
  <si>
    <t>Edad</t>
  </si>
  <si>
    <t>Estado civil</t>
  </si>
  <si>
    <t>En una Relación</t>
  </si>
  <si>
    <t>Dirección</t>
  </si>
  <si>
    <t xml:space="preserve">Nacionalidad  y  domicilio:  </t>
  </si>
  <si>
    <t>Burgemeestar Augustijnstraat 32, Países Bajos</t>
  </si>
  <si>
    <t>Email:</t>
  </si>
  <si>
    <t>rainer.inecia88@gmail.com</t>
  </si>
  <si>
    <t>ncfrancisca@gmail.com</t>
  </si>
  <si>
    <t>Teléfono</t>
  </si>
  <si>
    <t xml:space="preserve">Profesión </t>
  </si>
  <si>
    <t>Obstetra</t>
  </si>
  <si>
    <t>RH</t>
  </si>
  <si>
    <t>Seguro</t>
  </si>
  <si>
    <t>Silveren Kruis</t>
  </si>
  <si>
    <t>Peso</t>
  </si>
  <si>
    <t>Altura</t>
  </si>
  <si>
    <t>Idioma</t>
  </si>
  <si>
    <t>holandés, español, papiamento, inglés</t>
  </si>
  <si>
    <t>Idiomas: holandés, español, papiamento, inglés</t>
  </si>
  <si>
    <t>Salud</t>
  </si>
  <si>
    <t>Chequeo general para descartar causas de síntomas de larga duración como: dolor de estómago, dolor al defecar con hemorroides, ronquidos intensos nocturnos que requieren un dispositivo para la apnea del sueño. Aún no tiene PSA, presenta algunas alteraciones visuales y necesita evaluar su alto riesgo cardiovascular e iniciar el proceso de pérdida de peso mientras aprende a comer saludablemente. Además, es necesario descartar hipertrigliceridemia en un examen previo confuso.</t>
  </si>
  <si>
    <t>Chequeo general para descartar causas de síntomas de larga duración, como: dolores de cabeza 4 veces por semana, problemas de refracción visual. Se despierta con dolor de cabeza. Toma medicamentos constantemente. Sensación de vómito, dolor en las rodillas y taquicardia. Orina con frecuencia. Presenta inflamación y ha tomado antibióticos para estos episodios debido a la presencia de sangre en su orina. Lleva una vida sedentaria, presenta bruxismo con picaduras y probablemente prediabetes.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</si>
  <si>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</si>
  <si>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</si>
  <si>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</si>
  <si>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</si>
  <si>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</si>
  <si>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</si>
  <si>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</si>
  <si>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</si>
  <si>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DIA 01</t>
  </si>
  <si>
    <t>MIÉRCOLES</t>
  </si>
  <si>
    <t>Vuelo Curazao - Medellín</t>
  </si>
  <si>
    <t>Traslado a aeropuerto - hotel</t>
  </si>
  <si>
    <t>Alojamiento</t>
  </si>
  <si>
    <t>DIA 02</t>
  </si>
  <si>
    <t>JUEVES</t>
  </si>
  <si>
    <t>No desayunar</t>
  </si>
  <si>
    <t>06:00 am</t>
  </si>
  <si>
    <t>Traslado Hotel - centro médico</t>
  </si>
  <si>
    <t>MISMA SEDE</t>
  </si>
  <si>
    <t>IVS</t>
  </si>
  <si>
    <t>EL</t>
  </si>
  <si>
    <t>07:00 am</t>
  </si>
  <si>
    <t>Tomografía de abdomen total</t>
  </si>
  <si>
    <t>ELLA</t>
  </si>
  <si>
    <t>Tomografía de cabeza</t>
  </si>
  <si>
    <t>Tomografía de abdomen y pelvis</t>
  </si>
  <si>
    <t>Radiografía de tórax</t>
  </si>
  <si>
    <t>Ecografía de mama</t>
  </si>
  <si>
    <t>Tiempo para desayunar</t>
  </si>
  <si>
    <t>Traslado centro médico - centro médico</t>
  </si>
  <si>
    <t>SAN DIEGO</t>
  </si>
  <si>
    <t>Consulta con especialista en Oftalmología</t>
  </si>
  <si>
    <t>Traslado centro médico - hotel</t>
  </si>
  <si>
    <t>TARDE LIBRE</t>
  </si>
  <si>
    <t>DIA 03</t>
  </si>
  <si>
    <t>VIERNES</t>
  </si>
  <si>
    <t>El Tesoro</t>
  </si>
  <si>
    <t>Synlab</t>
  </si>
  <si>
    <t>ELLA Y EL</t>
  </si>
  <si>
    <t>Toma de muestras de sangre laboratorio clínico</t>
  </si>
  <si>
    <t>Citología cervical</t>
  </si>
  <si>
    <t>Incare</t>
  </si>
  <si>
    <t>Electrocardiograma</t>
  </si>
  <si>
    <t>Ecocardiograma</t>
  </si>
  <si>
    <t>Prueba de esfuerzo</t>
  </si>
  <si>
    <t>Tiempo para almorzar</t>
  </si>
  <si>
    <t>Univershe</t>
  </si>
  <si>
    <t>Citología transvaginal</t>
  </si>
  <si>
    <t>Cita con especialista en Ginecología</t>
  </si>
  <si>
    <t>02:00 pm</t>
  </si>
  <si>
    <t>DIA 04</t>
  </si>
  <si>
    <t>SÁBADO</t>
  </si>
  <si>
    <t>Las Américas</t>
  </si>
  <si>
    <t>Endoscopia con biopsia</t>
  </si>
  <si>
    <t>Tiempo para desayunar y descansar</t>
  </si>
  <si>
    <t>11:00 am</t>
  </si>
  <si>
    <t>Espirometria a domicilio en su hotel</t>
  </si>
  <si>
    <t>DIA 05</t>
  </si>
  <si>
    <t>DOMINGO</t>
  </si>
  <si>
    <t>DIA LIBRE</t>
  </si>
  <si>
    <t>DIA 06</t>
  </si>
  <si>
    <t>LUNES</t>
  </si>
  <si>
    <t>Oviedo</t>
  </si>
  <si>
    <t>Dra Patricia Pareja</t>
  </si>
  <si>
    <t>09:00 am</t>
  </si>
  <si>
    <t>Consulta con especialista en Otorrinolaringología</t>
  </si>
  <si>
    <t>12:00 pm</t>
  </si>
  <si>
    <t>Somnoscopia o Endoscopia del Sueño</t>
  </si>
  <si>
    <t>DIA 07</t>
  </si>
  <si>
    <t>MARTES</t>
  </si>
  <si>
    <t>HPTU</t>
  </si>
  <si>
    <t>Consulta con especialista en Endocrinología</t>
  </si>
  <si>
    <t>Consulta con especialista en Gastroenterología</t>
  </si>
  <si>
    <t>Consulta con especialista en Neurología</t>
  </si>
  <si>
    <t>DIA 08</t>
  </si>
  <si>
    <t>DIA 09</t>
  </si>
  <si>
    <t>DIA 10</t>
  </si>
  <si>
    <t>DIA 11</t>
  </si>
  <si>
    <t>Desayuno en el hotel</t>
  </si>
  <si>
    <t>Traslado hotel - aeropuerto</t>
  </si>
  <si>
    <t>Vuelo internacional Curazao - Medellín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</si>
  <si>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</si>
  <si>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</si>
  <si>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</si>
  <si>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</si>
  <si>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</si>
  <si>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</si>
  <si>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</si>
  <si>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</si>
  <si>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</si>
  <si>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</si>
  <si>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</si>
  <si>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</si>
  <si>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</si>
  <si>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</si>
  <si>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</si>
  <si>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</si>
  <si>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</si>
  <si>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</si>
  <si>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</si>
  <si>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</si>
  <si>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</si>
  <si>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</si>
  <si>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</si>
  <si>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</si>
  <si>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</si>
  <si>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</si>
  <si>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11 días</t>
  </si>
  <si>
    <t>Sim card física</t>
  </si>
  <si>
    <t>Recarga de datos de 10 GB</t>
  </si>
  <si>
    <t>Traslado aeropuerto - hotel - aeropuerto</t>
  </si>
  <si>
    <t xml:space="preserve">PAQUETE DE CHEQUEO MÉDICO </t>
  </si>
  <si>
    <t>LABORATORIOS CLÍNICOS</t>
  </si>
  <si>
    <t>ok</t>
  </si>
  <si>
    <t>Antígeno de próstata</t>
  </si>
  <si>
    <t>No</t>
  </si>
  <si>
    <t>Coprológico</t>
  </si>
  <si>
    <t>X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</si>
  <si>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</si>
  <si>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</si>
  <si>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</si>
  <si>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</si>
  <si>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</si>
  <si>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</si>
  <si>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</si>
  <si>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</si>
  <si>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</si>
  <si>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</si>
  <si>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</si>
  <si>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</si>
  <si>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</si>
  <si>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</si>
  <si>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</si>
  <si>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</si>
  <si>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</si>
  <si>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</si>
  <si>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</si>
  <si>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</si>
  <si>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</si>
  <si>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</si>
  <si>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</si>
  <si>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</si>
  <si>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</si>
  <si>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</t>
  </si>
  <si>
    <t xml:space="preserve">VIH 1 Y 2, Anticuerpos </t>
  </si>
  <si>
    <t>IMÁGENES DIAGNÓSTICAS</t>
  </si>
  <si>
    <t>Ecografía de mamas</t>
  </si>
  <si>
    <t>Ecografía de abdomen total</t>
  </si>
  <si>
    <t>Cita con especialista en MEDICINA INTERNA</t>
  </si>
  <si>
    <t>ORDENES MÉDICAS</t>
  </si>
  <si>
    <t xml:space="preserve">AMH hormona antimulleriana </t>
  </si>
  <si>
    <t>Estradiol total</t>
  </si>
  <si>
    <t xml:space="preserve">FSH Hormona foliculoestimulante </t>
  </si>
  <si>
    <t>LH Hormona Luteinizante</t>
  </si>
  <si>
    <t>Prolactina</t>
  </si>
  <si>
    <t>Testosterona total</t>
  </si>
  <si>
    <t>Androstenediona</t>
  </si>
  <si>
    <t>Hormona Dehidroepiandrosterona-Sulfato (DHEA-S)</t>
  </si>
  <si>
    <t>Hidroxiprogesterona  (17 OHP)</t>
  </si>
  <si>
    <t>G6PD (glucosa-6-fosfato deshidrogenasa) Prueba cualitativa</t>
  </si>
  <si>
    <t>G6PD (glucosa-6-fosfato deshidrogenasa) Prueba cuantitativa</t>
  </si>
  <si>
    <t>Frotis de sangre periférica - (extendido de sangre periférica estudio de morfología)</t>
  </si>
  <si>
    <t>Test de sicklemia: (Células Falciformes-drepanocitosis)</t>
  </si>
  <si>
    <t>Insulina Pre y post glucosa</t>
  </si>
  <si>
    <t>Curva de glucosa.</t>
  </si>
  <si>
    <t>Paratohormona</t>
  </si>
  <si>
    <t>Homocisteína</t>
  </si>
  <si>
    <t>Esofagoduoendoscopia</t>
  </si>
  <si>
    <t>Una biopsia para la endoscopia</t>
  </si>
  <si>
    <t>Ecocardiografía</t>
  </si>
  <si>
    <r>
      <rPr>
        <rFont val="Lexend"/>
        <color theme="1"/>
        <sz val="10.0"/>
      </rPr>
      <t xml:space="preserve">Somnoscopia o Endoscopia del Sueño - </t>
    </r>
    <r>
      <rPr>
        <rFont val="Lexend"/>
        <b/>
        <color theme="1"/>
        <sz val="10.0"/>
      </rPr>
      <t xml:space="preserve">incluye </t>
    </r>
    <r>
      <rPr>
        <rFont val="Lexend"/>
        <color theme="1"/>
        <sz val="10.0"/>
      </rPr>
      <t>Sala de quirófano + anestesia + honorarios médicos + insumos</t>
    </r>
  </si>
  <si>
    <t>Espirometría</t>
  </si>
  <si>
    <t>Ecografía transvaginal</t>
  </si>
  <si>
    <t>ESPECIALISTAS</t>
  </si>
  <si>
    <t>Consulta con CARDIOLOGÍA</t>
  </si>
  <si>
    <t>Consulta con OTORRINOLARINGOLOGO</t>
  </si>
  <si>
    <t>Consulta con OFTALMOLOGÍA</t>
  </si>
  <si>
    <t>Consulta con GASTROENTERÓLOGO</t>
  </si>
  <si>
    <t>Consulta con GINECOLOGÍA</t>
  </si>
  <si>
    <t>Consulta con ENDOCRINÓLOGO</t>
  </si>
  <si>
    <t>Consulta con NEUROLOGÍA</t>
  </si>
  <si>
    <t>02 Traslados hotel - clínica por trayecto largo</t>
  </si>
  <si>
    <t>09 Traslados hotel - clínica por trayecto Corto</t>
  </si>
  <si>
    <t>Servicios Medical Trip Colombia: Acompañamiento Virtual</t>
  </si>
  <si>
    <t>Servicios Medical Trip Colombia: Acompañamiento presencial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</si>
  <si>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</si>
  <si>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</si>
  <si>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</si>
  <si>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</si>
  <si>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</si>
  <si>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</si>
  <si>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</si>
  <si>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DETALLE DE SERVICIOS</t>
  </si>
  <si>
    <t>PERFIL HORMONAL</t>
  </si>
  <si>
    <t>Progesterona</t>
  </si>
  <si>
    <t>TOTAL</t>
  </si>
  <si>
    <t>4 * 1000 Impuesto bancario</t>
  </si>
  <si>
    <t>Cargos bancarios por pagos</t>
  </si>
  <si>
    <t>TOTAL A PAGAR</t>
  </si>
  <si>
    <t xml:space="preserve">Traslado aeropuerto - hotel - aeropuerto </t>
  </si>
  <si>
    <t>Somnoscopia o Endoscopia del Sueño - incluye Sala de quirófano + anestesia + honorarios médicos + insumos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</si>
</sst>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 yyyy"/>
    <numFmt numFmtId="165" formatCode="d m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0"/>
    <numFmt numFmtId="172" formatCode="d mmmm yyyy"/>
    <numFmt numFmtId="173" formatCode="0.0%"/>
    <numFmt numFmtId="174" formatCode="&quot;$&quot;#,##0.0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Arial"/>
      <scheme val="minor"/>
    </font>
    <font>
      <color theme="1"/>
      <name val="Lexend"/>
    </font>
    <font>
      <sz val="12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sz val="10.0"/>
      <color theme="1"/>
      <name val="Arial"/>
    </font>
    <font>
      <b/>
      <sz val="11.0"/>
      <color theme="1"/>
      <name val="Lexend"/>
    </font>
    <font>
      <b/>
      <sz val="11.0"/>
      <color rgb="FFFFFFFF"/>
      <name val="Lexend"/>
    </font>
    <font/>
    <font>
      <b/>
      <sz val="10.0"/>
      <color theme="1"/>
      <name val="Lexend"/>
    </font>
    <font>
      <b/>
      <sz val="8.0"/>
      <color theme="1"/>
      <name val="Lexend"/>
    </font>
    <font>
      <sz val="10.0"/>
      <color theme="1"/>
      <name val="Lexend"/>
    </font>
    <font>
      <sz val="8.0"/>
      <color theme="1"/>
      <name val="Lexend"/>
    </font>
    <font>
      <b/>
      <sz val="10.0"/>
      <color rgb="FFFFFFFF"/>
      <name val="Lexend"/>
    </font>
    <font>
      <color rgb="FFFFFFFF"/>
      <name val="Arial"/>
    </font>
    <font>
      <sz val="11.0"/>
      <color rgb="FFFFFFFF"/>
      <name val="Lexend"/>
    </font>
    <font>
      <b/>
      <sz val="12.0"/>
      <color rgb="FFFFFFFF"/>
      <name val="Lexend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Lexend"/>
    </font>
    <font>
      <b/>
      <sz val="12.0"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vertical="center"/>
    </xf>
    <xf borderId="0" fillId="0" fontId="5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" fillId="5" fontId="5" numFmtId="165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ont="1">
      <alignment horizontal="center" readingOrder="0" vertical="center"/>
    </xf>
    <xf borderId="1" fillId="5" fontId="5" numFmtId="165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vertical="center"/>
    </xf>
    <xf borderId="2" fillId="5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4" numFmtId="166" xfId="0" applyAlignment="1" applyBorder="1" applyFont="1" applyNumberFormat="1">
      <alignment vertical="center"/>
    </xf>
    <xf borderId="4" fillId="0" fontId="4" numFmtId="166" xfId="0" applyAlignment="1" applyBorder="1" applyFont="1" applyNumberFormat="1">
      <alignment vertical="center"/>
    </xf>
    <xf borderId="1" fillId="6" fontId="5" numFmtId="0" xfId="0" applyAlignment="1" applyBorder="1" applyFill="1" applyFont="1">
      <alignment vertical="center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7" fontId="5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readingOrder="0" vertical="center"/>
    </xf>
    <xf borderId="1" fillId="7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0" fillId="0" fontId="4" numFmtId="166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0" fillId="0" fontId="2" numFmtId="167" xfId="0" applyAlignment="1" applyFont="1" applyNumberFormat="1">
      <alignment horizontal="center" vertical="center"/>
    </xf>
    <xf borderId="0" fillId="0" fontId="2" numFmtId="168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5" fillId="0" fontId="9" numFmtId="168" xfId="0" applyAlignment="1" applyBorder="1" applyFont="1" applyNumberForma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1" fillId="4" fontId="10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5" fillId="4" fontId="2" numFmtId="0" xfId="0" applyAlignment="1" applyBorder="1" applyFont="1">
      <alignment horizontal="center" vertical="center"/>
    </xf>
    <xf borderId="1" fillId="4" fontId="2" numFmtId="169" xfId="0" applyAlignment="1" applyBorder="1" applyFont="1" applyNumberFormat="1">
      <alignment vertical="center"/>
    </xf>
    <xf borderId="5" fillId="4" fontId="10" numFmtId="169" xfId="0" applyAlignment="1" applyBorder="1" applyFont="1" applyNumberFormat="1">
      <alignment shrinkToFit="0" vertical="center" wrapText="1"/>
    </xf>
    <xf borderId="5" fillId="4" fontId="2" numFmtId="168" xfId="0" applyAlignment="1" applyBorder="1" applyFont="1" applyNumberFormat="1">
      <alignment vertical="center"/>
    </xf>
    <xf borderId="5" fillId="4" fontId="10" numFmtId="168" xfId="0" applyAlignment="1" applyBorder="1" applyFont="1" applyNumberFormat="1">
      <alignment horizontal="center" shrinkToFit="0" vertical="center" wrapText="1"/>
    </xf>
    <xf borderId="5" fillId="0" fontId="11" numFmtId="0" xfId="0" applyBorder="1" applyFont="1"/>
    <xf borderId="5" fillId="4" fontId="2" numFmtId="0" xfId="0" applyAlignment="1" applyBorder="1" applyFont="1">
      <alignment vertical="center"/>
    </xf>
    <xf borderId="5" fillId="4" fontId="10" numFmtId="0" xfId="0" applyAlignment="1" applyBorder="1" applyFont="1">
      <alignment horizontal="center" shrinkToFit="0" vertical="center" wrapText="1"/>
    </xf>
    <xf borderId="2" fillId="0" fontId="11" numFmtId="0" xfId="0" applyBorder="1" applyFont="1"/>
    <xf borderId="2" fillId="4" fontId="2" numFmtId="0" xfId="0" applyAlignment="1" applyBorder="1" applyFont="1">
      <alignment vertical="center"/>
    </xf>
    <xf borderId="1" fillId="5" fontId="1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2" fillId="5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8" fontId="2" numFmtId="169" xfId="0" applyAlignment="1" applyBorder="1" applyFill="1" applyFont="1" applyNumberFormat="1">
      <alignment vertical="center"/>
    </xf>
    <xf borderId="1" fillId="8" fontId="2" numFmtId="0" xfId="0" applyAlignment="1" applyBorder="1" applyFont="1">
      <alignment vertical="center"/>
    </xf>
    <xf borderId="1" fillId="9" fontId="9" numFmtId="169" xfId="0" applyAlignment="1" applyBorder="1" applyFill="1" applyFont="1" applyNumberFormat="1">
      <alignment horizontal="center" shrinkToFit="0" vertical="center" wrapText="1"/>
    </xf>
    <xf borderId="4" fillId="5" fontId="9" numFmtId="169" xfId="0" applyAlignment="1" applyBorder="1" applyFont="1" applyNumberFormat="1">
      <alignment horizontal="center" shrinkToFit="0" vertical="center" wrapText="1"/>
    </xf>
    <xf borderId="2" fillId="5" fontId="9" numFmtId="168" xfId="0" applyAlignment="1" applyBorder="1" applyFont="1" applyNumberFormat="1">
      <alignment horizontal="center" shrinkToFit="0" vertical="center" wrapText="1"/>
    </xf>
    <xf borderId="3" fillId="10" fontId="10" numFmtId="169" xfId="0" applyAlignment="1" applyBorder="1" applyFill="1" applyFont="1" applyNumberFormat="1">
      <alignment horizontal="center" shrinkToFit="0" vertical="center" wrapText="1"/>
    </xf>
    <xf borderId="3" fillId="10" fontId="10" numFmtId="170" xfId="0" applyAlignment="1" applyBorder="1" applyFont="1" applyNumberFormat="1">
      <alignment horizontal="center" shrinkToFit="0" vertical="center" wrapText="1"/>
    </xf>
    <xf borderId="0" fillId="0" fontId="2" numFmtId="170" xfId="0" applyAlignment="1" applyFont="1" applyNumberFormat="1">
      <alignment vertical="center"/>
    </xf>
    <xf borderId="1" fillId="10" fontId="10" numFmtId="170" xfId="0" applyAlignment="1" applyBorder="1" applyFont="1" applyNumberForma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4" fillId="11" fontId="14" numFmtId="0" xfId="0" applyAlignment="1" applyBorder="1" applyFill="1" applyFont="1">
      <alignment readingOrder="0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horizontal="center" shrinkToFit="0" vertical="center" wrapText="1"/>
    </xf>
    <xf borderId="1" fillId="5" fontId="1" numFmtId="171" xfId="0" applyAlignment="1" applyBorder="1" applyFont="1" applyNumberFormat="1">
      <alignment horizontal="center" shrinkToFit="0" vertical="center" wrapText="1"/>
    </xf>
    <xf borderId="1" fillId="9" fontId="2" numFmtId="169" xfId="0" applyAlignment="1" applyBorder="1" applyFont="1" applyNumberFormat="1">
      <alignment vertical="center"/>
    </xf>
    <xf borderId="4" fillId="5" fontId="2" numFmtId="169" xfId="0" applyAlignment="1" applyBorder="1" applyFont="1" applyNumberFormat="1">
      <alignment vertical="center"/>
    </xf>
    <xf borderId="2" fillId="5" fontId="2" numFmtId="168" xfId="0" applyAlignment="1" applyBorder="1" applyFont="1" applyNumberFormat="1">
      <alignment vertical="center"/>
    </xf>
    <xf borderId="1" fillId="12" fontId="2" numFmtId="169" xfId="0" applyAlignment="1" applyBorder="1" applyFill="1" applyFont="1" applyNumberFormat="1">
      <alignment vertical="center"/>
    </xf>
    <xf borderId="1" fillId="12" fontId="2" numFmtId="168" xfId="0" applyAlignment="1" applyBorder="1" applyFont="1" applyNumberFormat="1">
      <alignment vertical="center"/>
    </xf>
    <xf borderId="1" fillId="12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168" xfId="0" applyAlignment="1" applyBorder="1" applyFont="1" applyNumberFormat="1">
      <alignment vertical="center"/>
    </xf>
    <xf borderId="2" fillId="0" fontId="2" numFmtId="168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3" fillId="0" fontId="2" numFmtId="167" xfId="0" applyAlignment="1" applyBorder="1" applyFont="1" applyNumberFormat="1">
      <alignment vertical="center"/>
    </xf>
    <xf borderId="1" fillId="13" fontId="16" numFmtId="0" xfId="0" applyAlignment="1" applyBorder="1" applyFill="1" applyFont="1">
      <alignment readingOrder="0" shrinkToFit="0" vertical="center" wrapText="1"/>
    </xf>
    <xf borderId="1" fillId="13" fontId="17" numFmtId="0" xfId="0" applyAlignment="1" applyBorder="1" applyFont="1">
      <alignment vertical="center"/>
    </xf>
    <xf borderId="1" fillId="13" fontId="17" numFmtId="167" xfId="0" applyAlignment="1" applyBorder="1" applyFont="1" applyNumberFormat="1">
      <alignment vertical="center"/>
    </xf>
    <xf borderId="2" fillId="13" fontId="17" numFmtId="0" xfId="0" applyAlignment="1" applyBorder="1" applyFont="1">
      <alignment vertical="center"/>
    </xf>
    <xf borderId="1" fillId="13" fontId="18" numFmtId="167" xfId="0" applyAlignment="1" applyBorder="1" applyFont="1" applyNumberFormat="1">
      <alignment horizontal="center" readingOrder="0" vertical="center"/>
    </xf>
    <xf borderId="1" fillId="13" fontId="17" numFmtId="167" xfId="0" applyAlignment="1" applyBorder="1" applyFont="1" applyNumberFormat="1">
      <alignment horizontal="center" vertical="center"/>
    </xf>
    <xf borderId="1" fillId="13" fontId="18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1" fillId="14" fontId="12" numFmtId="0" xfId="0" applyAlignment="1" applyBorder="1" applyFill="1" applyFont="1">
      <alignment readingOrder="0" shrinkToFit="0" vertical="center" wrapText="1"/>
    </xf>
    <xf borderId="1" fillId="14" fontId="2" numFmtId="0" xfId="0" applyAlignment="1" applyBorder="1" applyFont="1">
      <alignment vertical="center"/>
    </xf>
    <xf borderId="1" fillId="14" fontId="1" numFmtId="167" xfId="0" applyAlignment="1" applyBorder="1" applyFont="1" applyNumberFormat="1">
      <alignment horizontal="center" shrinkToFit="0" vertical="center" wrapText="1"/>
    </xf>
    <xf borderId="2" fillId="14" fontId="1" numFmtId="0" xfId="0" applyAlignment="1" applyBorder="1" applyFont="1">
      <alignment horizontal="center" vertical="center"/>
    </xf>
    <xf borderId="1" fillId="14" fontId="2" numFmtId="167" xfId="0" applyAlignment="1" applyBorder="1" applyFont="1" applyNumberFormat="1">
      <alignment horizontal="center" readingOrder="0" vertical="center"/>
    </xf>
    <xf borderId="1" fillId="14" fontId="2" numFmtId="167" xfId="0" applyAlignment="1" applyBorder="1" applyFont="1" applyNumberFormat="1">
      <alignment vertical="center"/>
    </xf>
    <xf borderId="0" fillId="14" fontId="2" numFmtId="167" xfId="0" applyAlignment="1" applyFont="1" applyNumberFormat="1">
      <alignment vertical="center"/>
    </xf>
    <xf borderId="1" fillId="14" fontId="2" numFmtId="167" xfId="0" applyAlignment="1" applyBorder="1" applyFont="1" applyNumberFormat="1">
      <alignment horizontal="center" vertical="center"/>
    </xf>
    <xf borderId="1" fillId="7" fontId="14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vertical="center"/>
    </xf>
    <xf borderId="1" fillId="7" fontId="1" numFmtId="167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ont="1">
      <alignment horizontal="center" vertical="center"/>
    </xf>
    <xf borderId="1" fillId="12" fontId="2" numFmtId="167" xfId="0" applyAlignment="1" applyBorder="1" applyFont="1" applyNumberFormat="1">
      <alignment horizontal="center" readingOrder="0" vertical="center"/>
    </xf>
    <xf borderId="1" fillId="7" fontId="2" numFmtId="167" xfId="0" applyAlignment="1" applyBorder="1" applyFont="1" applyNumberFormat="1">
      <alignment vertical="center"/>
    </xf>
    <xf borderId="1" fillId="7" fontId="2" numFmtId="167" xfId="0" applyAlignment="1" applyBorder="1" applyFont="1" applyNumberFormat="1">
      <alignment horizontal="center" vertical="center"/>
    </xf>
    <xf borderId="1" fillId="7" fontId="15" numFmtId="0" xfId="0" applyAlignment="1" applyBorder="1" applyFont="1">
      <alignment shrinkToFit="0" vertical="center" wrapText="1"/>
    </xf>
    <xf borderId="1" fillId="7" fontId="1" numFmtId="167" xfId="0" applyAlignment="1" applyBorder="1" applyFont="1" applyNumberFormat="1">
      <alignment horizontal="center" vertical="center"/>
    </xf>
    <xf borderId="1" fillId="15" fontId="12" numFmtId="0" xfId="0" applyAlignment="1" applyBorder="1" applyFill="1" applyFont="1">
      <alignment shrinkToFit="0" vertical="center" wrapText="1"/>
    </xf>
    <xf borderId="1" fillId="15" fontId="2" numFmtId="0" xfId="0" applyAlignment="1" applyBorder="1" applyFont="1">
      <alignment vertical="center"/>
    </xf>
    <xf borderId="1" fillId="15" fontId="2" numFmtId="167" xfId="0" applyAlignment="1" applyBorder="1" applyFont="1" applyNumberFormat="1">
      <alignment vertical="center"/>
    </xf>
    <xf borderId="1" fillId="15" fontId="2" numFmtId="167" xfId="0" applyAlignment="1" applyBorder="1" applyFont="1" applyNumberFormat="1">
      <alignment horizontal="center" vertical="center"/>
    </xf>
    <xf borderId="1" fillId="16" fontId="12" numFmtId="0" xfId="0" applyAlignment="1" applyBorder="1" applyFill="1" applyFont="1">
      <alignment readingOrder="0" shrinkToFit="0" vertical="center" wrapText="1"/>
    </xf>
    <xf borderId="1" fillId="16" fontId="2" numFmtId="0" xfId="0" applyAlignment="1" applyBorder="1" applyFont="1">
      <alignment vertical="center"/>
    </xf>
    <xf borderId="1" fillId="16" fontId="2" numFmtId="167" xfId="0" applyAlignment="1" applyBorder="1" applyFont="1" applyNumberFormat="1">
      <alignment vertical="center"/>
    </xf>
    <xf borderId="1" fillId="16" fontId="2" numFmtId="167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1" fillId="9" fontId="14" numFmtId="0" xfId="0" applyAlignment="1" applyBorder="1" applyFont="1">
      <alignment shrinkToFit="0" vertical="center" wrapText="1"/>
    </xf>
    <xf borderId="1" fillId="9" fontId="15" numFmtId="0" xfId="0" applyAlignment="1" applyBorder="1" applyFont="1">
      <alignment vertical="center"/>
    </xf>
    <xf borderId="1" fillId="9" fontId="1" numFmtId="167" xfId="0" applyAlignment="1" applyBorder="1" applyFont="1" applyNumberForma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1" fillId="9" fontId="2" numFmtId="167" xfId="0" applyAlignment="1" applyBorder="1" applyFont="1" applyNumberFormat="1">
      <alignment horizontal="center" vertical="center"/>
    </xf>
    <xf borderId="1" fillId="9" fontId="14" numFmtId="0" xfId="0" applyAlignment="1" applyBorder="1" applyFont="1">
      <alignment readingOrder="0" shrinkToFit="0" vertical="center" wrapText="1"/>
    </xf>
    <xf borderId="2" fillId="9" fontId="1" numFmtId="0" xfId="0" applyAlignment="1" applyBorder="1" applyFont="1">
      <alignment horizontal="center" vertical="center"/>
    </xf>
    <xf borderId="1" fillId="9" fontId="2" numFmtId="167" xfId="0" applyAlignment="1" applyBorder="1" applyFont="1" applyNumberFormat="1">
      <alignment vertical="center"/>
    </xf>
    <xf borderId="1" fillId="12" fontId="2" numFmtId="167" xfId="0" applyAlignment="1" applyBorder="1" applyFont="1" applyNumberFormat="1">
      <alignment horizontal="center" vertical="center"/>
    </xf>
    <xf borderId="1" fillId="17" fontId="2" numFmtId="169" xfId="0" applyAlignment="1" applyBorder="1" applyFill="1" applyFont="1" applyNumberFormat="1">
      <alignment vertical="center"/>
    </xf>
    <xf borderId="1" fillId="0" fontId="2" numFmtId="167" xfId="0" applyAlignment="1" applyBorder="1" applyFont="1" applyNumberFormat="1">
      <alignment vertical="center"/>
    </xf>
    <xf borderId="1" fillId="5" fontId="2" numFmtId="169" xfId="0" applyAlignment="1" applyBorder="1" applyFont="1" applyNumberFormat="1">
      <alignment vertical="center"/>
    </xf>
    <xf borderId="1" fillId="5" fontId="2" numFmtId="168" xfId="0" applyAlignment="1" applyBorder="1" applyFont="1" applyNumberFormat="1">
      <alignment vertical="center"/>
    </xf>
    <xf borderId="1" fillId="0" fontId="2" numFmtId="172" xfId="0" applyAlignment="1" applyBorder="1" applyFont="1" applyNumberFormat="1">
      <alignment vertical="center"/>
    </xf>
    <xf borderId="1" fillId="13" fontId="19" numFmtId="0" xfId="0" applyAlignment="1" applyBorder="1" applyFont="1">
      <alignment readingOrder="0" shrinkToFit="0" vertical="center" wrapText="1"/>
    </xf>
    <xf borderId="2" fillId="13" fontId="10" numFmtId="0" xfId="0" applyAlignment="1" applyBorder="1" applyFont="1">
      <alignment readingOrder="0" shrinkToFit="0" vertical="center" wrapText="1"/>
    </xf>
    <xf borderId="1" fillId="13" fontId="10" numFmtId="0" xfId="0" applyAlignment="1" applyBorder="1" applyFont="1">
      <alignment readingOrder="0" shrinkToFit="0" vertical="center" wrapText="1"/>
    </xf>
    <xf borderId="1" fillId="13" fontId="10" numFmtId="0" xfId="0" applyAlignment="1" applyBorder="1" applyFont="1">
      <alignment horizontal="center" readingOrder="0" shrinkToFit="0" vertical="center" wrapText="1"/>
    </xf>
    <xf borderId="1" fillId="7" fontId="5" numFmtId="167" xfId="0" applyAlignment="1" applyBorder="1" applyFont="1" applyNumberFormat="1">
      <alignment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7" fontId="14" numFmtId="0" xfId="0" applyAlignment="1" applyBorder="1" applyFont="1">
      <alignment readingOrder="0" shrinkToFit="0" vertical="center" wrapText="1"/>
    </xf>
    <xf borderId="1" fillId="16" fontId="20" numFmtId="167" xfId="0" applyAlignment="1" applyBorder="1" applyFont="1" applyNumberFormat="1">
      <alignment vertical="center"/>
    </xf>
    <xf borderId="1" fillId="9" fontId="5" numFmtId="167" xfId="0" applyAlignment="1" applyBorder="1" applyFont="1" applyNumberFormat="1">
      <alignment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0" fillId="9" fontId="2" numFmtId="167" xfId="0" applyAlignment="1" applyFont="1" applyNumberFormat="1">
      <alignment vertical="center"/>
    </xf>
    <xf borderId="1" fillId="9" fontId="1" numFmtId="167" xfId="0" applyAlignment="1" applyBorder="1" applyFont="1" applyNumberFormat="1">
      <alignment horizontal="center" vertical="center"/>
    </xf>
    <xf borderId="2" fillId="9" fontId="1" numFmtId="0" xfId="0" applyAlignment="1" applyBorder="1" applyFont="1">
      <alignment horizontal="center" readingOrder="0" shrinkToFit="0" vertical="center" wrapText="1"/>
    </xf>
    <xf borderId="1" fillId="9" fontId="1" numFmtId="167" xfId="0" applyAlignment="1" applyBorder="1" applyFont="1" applyNumberFormat="1">
      <alignment horizontal="center" readingOrder="0" shrinkToFit="0" vertical="center" wrapText="1"/>
    </xf>
    <xf borderId="1" fillId="18" fontId="12" numFmtId="0" xfId="0" applyAlignment="1" applyBorder="1" applyFill="1" applyFont="1">
      <alignment readingOrder="0" shrinkToFit="0" vertical="center" wrapText="1"/>
    </xf>
    <xf borderId="2" fillId="18" fontId="5" numFmtId="167" xfId="0" applyAlignment="1" applyBorder="1" applyFont="1" applyNumberFormat="1">
      <alignment vertical="center"/>
    </xf>
    <xf borderId="1" fillId="18" fontId="1" numFmtId="0" xfId="0" applyAlignment="1" applyBorder="1" applyFont="1">
      <alignment horizontal="center" shrinkToFit="0" vertical="center" wrapText="1"/>
    </xf>
    <xf borderId="1" fillId="18" fontId="2" numFmtId="167" xfId="0" applyAlignment="1" applyBorder="1" applyFont="1" applyNumberFormat="1">
      <alignment vertical="center"/>
    </xf>
    <xf borderId="1" fillId="18" fontId="1" numFmtId="167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readingOrder="0" shrinkToFit="0" vertical="center" wrapText="1"/>
    </xf>
    <xf borderId="2" fillId="6" fontId="5" numFmtId="167" xfId="0" applyAlignment="1" applyBorder="1" applyFont="1" applyNumberFormat="1">
      <alignment readingOrder="0" vertical="center"/>
    </xf>
    <xf borderId="2" fillId="6" fontId="5" numFmtId="167" xfId="0" applyAlignment="1" applyBorder="1" applyFont="1" applyNumberFormat="1">
      <alignment horizontal="center" readingOrder="0" vertical="center"/>
    </xf>
    <xf borderId="1" fillId="5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167" xfId="0" applyAlignment="1" applyBorder="1" applyFont="1" applyNumberFormat="1">
      <alignment horizontal="center" shrinkToFit="0" vertical="center" wrapText="1"/>
    </xf>
    <xf borderId="1" fillId="5" fontId="1" numFmtId="167" xfId="0" applyAlignment="1" applyBorder="1" applyFont="1" applyNumberFormat="1">
      <alignment horizontal="center" shrinkToFit="0" vertical="center" wrapText="1"/>
    </xf>
    <xf borderId="1" fillId="5" fontId="1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173" xfId="0" applyAlignment="1" applyFont="1" applyNumberFormat="1">
      <alignment vertical="center"/>
    </xf>
    <xf borderId="0" fillId="0" fontId="1" numFmtId="167" xfId="0" applyAlignment="1" applyFont="1" applyNumberFormat="1">
      <alignment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2" numFmtId="174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right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right" shrinkToFit="0" vertical="center" wrapText="1"/>
    </xf>
    <xf borderId="0" fillId="19" fontId="9" numFmtId="167" xfId="0" applyAlignment="1" applyFill="1" applyFont="1" applyNumberFormat="1">
      <alignment horizontal="center" shrinkToFit="0" vertical="center" wrapText="1"/>
    </xf>
    <xf borderId="0" fillId="20" fontId="1" numFmtId="167" xfId="0" applyAlignment="1" applyFill="1" applyFont="1" applyNumberForma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0" fillId="0" fontId="21" numFmtId="0" xfId="0" applyFont="1"/>
    <xf borderId="4" fillId="11" fontId="5" numFmtId="0" xfId="0" applyAlignment="1" applyBorder="1" applyFont="1">
      <alignment shrinkToFit="0" vertical="center" wrapText="1"/>
    </xf>
    <xf borderId="1" fillId="0" fontId="22" numFmtId="171" xfId="0" applyAlignment="1" applyBorder="1" applyFont="1" applyNumberFormat="1">
      <alignment horizontal="center" shrinkToFit="0" vertical="center" wrapText="1"/>
    </xf>
    <xf borderId="4" fillId="11" fontId="5" numFmtId="0" xfId="0" applyAlignment="1" applyBorder="1" applyFont="1">
      <alignment readingOrder="0" shrinkToFit="0" vertical="center" wrapText="1"/>
    </xf>
    <xf borderId="1" fillId="14" fontId="23" numFmtId="0" xfId="0" applyAlignment="1" applyBorder="1" applyFont="1">
      <alignment readingOrder="0" shrinkToFit="0" vertical="center" wrapText="1"/>
    </xf>
    <xf borderId="1" fillId="15" fontId="23" numFmtId="0" xfId="0" applyAlignment="1" applyBorder="1" applyFont="1">
      <alignment shrinkToFit="0" vertical="center" wrapText="1"/>
    </xf>
    <xf borderId="1" fillId="16" fontId="23" numFmtId="0" xfId="0" applyAlignment="1" applyBorder="1" applyFont="1">
      <alignment readingOrder="0" shrinkToFit="0" vertical="center" wrapText="1"/>
    </xf>
    <xf borderId="1" fillId="9" fontId="5" numFmtId="0" xfId="0" applyAlignment="1" applyBorder="1" applyFont="1">
      <alignment shrinkToFit="0" vertical="center" wrapText="1"/>
    </xf>
    <xf borderId="1" fillId="9" fontId="5" numFmtId="0" xfId="0" applyAlignment="1" applyBorder="1" applyFont="1">
      <alignment readingOrder="0" shrinkToFit="0" vertical="center" wrapText="1"/>
    </xf>
    <xf borderId="1" fillId="14" fontId="23" numFmtId="167" xfId="0" applyAlignment="1" applyBorder="1" applyFont="1" applyNumberForma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22" numFmtId="171" xfId="0" applyAlignment="1" applyFont="1" applyNumberFormat="1">
      <alignment horizontal="center" shrinkToFit="0" vertical="center" wrapText="1"/>
    </xf>
    <xf borderId="0" fillId="19" fontId="5" numFmtId="0" xfId="0" applyAlignment="1" applyFont="1">
      <alignment readingOrder="0" vertical="center"/>
    </xf>
    <xf borderId="0" fillId="19" fontId="22" numFmtId="171" xfId="0" applyAlignment="1" applyFont="1" applyNumberFormat="1">
      <alignment horizontal="center" shrinkToFit="0" vertical="center" wrapText="1"/>
    </xf>
    <xf borderId="1" fillId="16" fontId="23" numFmtId="167" xfId="0" applyAlignment="1" applyBorder="1" applyFont="1" applyNumberFormat="1">
      <alignment readingOrder="0" shrinkToFit="0" vertical="center" wrapText="1"/>
    </xf>
    <xf borderId="1" fillId="16" fontId="23" numFmtId="167" xfId="0" applyAlignment="1" applyBorder="1" applyFont="1" applyNumberFormat="1">
      <alignment readingOrder="0" shrinkToFit="0" vertical="center" wrapText="1"/>
    </xf>
    <xf borderId="1" fillId="18" fontId="23" numFmtId="0" xfId="0" applyAlignment="1" applyBorder="1" applyFont="1">
      <alignment readingOrder="0" shrinkToFit="0" vertical="center" wrapText="1"/>
    </xf>
    <xf borderId="1" fillId="18" fontId="23" numFmtId="167" xfId="0" applyAlignment="1" applyBorder="1" applyFont="1" applyNumberFormat="1">
      <alignment readingOrder="0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horizontal="left" readingOrder="0" shrinkToFit="0" vertical="center" wrapText="1"/>
    </xf>
    <xf borderId="1" fillId="19" fontId="22" numFmtId="0" xfId="0" applyAlignment="1" applyBorder="1" applyFont="1">
      <alignment horizontal="left" shrinkToFit="0" vertical="center" wrapText="1"/>
    </xf>
    <xf borderId="1" fillId="19" fontId="22" numFmtId="171" xfId="0" applyAlignment="1" applyBorder="1" applyFont="1" applyNumberFormat="1">
      <alignment horizontal="center" shrinkToFit="0" vertical="center" wrapText="1"/>
    </xf>
    <xf borderId="1" fillId="9" fontId="22" numFmtId="171" xfId="0" applyAlignment="1" applyBorder="1" applyFont="1" applyNumberFormat="1">
      <alignment horizontal="center" shrinkToFit="0" vertical="center" wrapText="1"/>
    </xf>
    <xf borderId="1" fillId="6" fontId="22" numFmtId="171" xfId="0" applyAlignment="1" applyBorder="1" applyFont="1" applyNumberFormat="1">
      <alignment horizontal="center" shrinkToFit="0" vertical="center" wrapText="1"/>
    </xf>
    <xf borderId="1" fillId="0" fontId="22" numFmtId="171" xfId="0" applyAlignment="1" applyBorder="1" applyFont="1" applyNumberFormat="1">
      <alignment horizontal="center" readingOrder="0" shrinkToFit="0" vertical="center" wrapText="1"/>
    </xf>
    <xf borderId="1" fillId="19" fontId="22" numFmtId="171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8.25"/>
    <col customWidth="1" min="3" max="3" width="42.25"/>
    <col customWidth="1" min="4" max="4" width="3.13"/>
    <col customWidth="1" min="5" max="5" width="24.63"/>
    <col customWidth="1" min="6" max="6" width="42.25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 t="s">
        <v>0</v>
      </c>
      <c r="B15" s="1"/>
      <c r="C15" s="3" t="s">
        <v>1</v>
      </c>
      <c r="D15" s="2"/>
      <c r="E15" s="1" t="s">
        <v>0</v>
      </c>
      <c r="F15" s="3" t="s"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 t="s">
        <v>0</v>
      </c>
      <c r="B16" s="1"/>
      <c r="C16" s="4"/>
      <c r="D16" s="2"/>
      <c r="E16" s="1" t="s">
        <v>0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 t="s">
        <v>3</v>
      </c>
      <c r="B17" s="1"/>
      <c r="C17" s="3" t="s">
        <v>4</v>
      </c>
      <c r="D17" s="2"/>
      <c r="E17" s="1" t="s">
        <v>3</v>
      </c>
      <c r="F17" s="3" t="s">
        <v>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 t="s">
        <v>6</v>
      </c>
      <c r="B18" s="1"/>
      <c r="C18" s="1"/>
      <c r="D18" s="2"/>
      <c r="E18" s="1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 t="s">
        <v>7</v>
      </c>
      <c r="B19" s="1"/>
      <c r="C19" s="3" t="s">
        <v>8</v>
      </c>
      <c r="D19" s="2"/>
      <c r="E19" s="1" t="s">
        <v>7</v>
      </c>
      <c r="F19" s="3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" t="s">
        <v>10</v>
      </c>
      <c r="B20" s="1"/>
      <c r="C20" s="3" t="s">
        <v>11</v>
      </c>
      <c r="D20" s="2"/>
      <c r="E20" s="1" t="s">
        <v>10</v>
      </c>
      <c r="F20" s="3" t="s">
        <v>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" t="s">
        <v>13</v>
      </c>
      <c r="B21" s="1"/>
      <c r="C21" s="5">
        <v>32190.0</v>
      </c>
      <c r="D21" s="2"/>
      <c r="E21" s="1" t="s">
        <v>13</v>
      </c>
      <c r="F21" s="3" t="s">
        <v>14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" t="s">
        <v>15</v>
      </c>
      <c r="B22" s="1"/>
      <c r="C22" s="3">
        <v>37.0</v>
      </c>
      <c r="D22" s="2"/>
      <c r="E22" s="1" t="s">
        <v>15</v>
      </c>
      <c r="F22" s="3">
        <v>34.0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" t="s">
        <v>16</v>
      </c>
      <c r="B23" s="1"/>
      <c r="C23" s="3" t="s">
        <v>17</v>
      </c>
      <c r="D23" s="2"/>
      <c r="E23" s="1" t="s">
        <v>16</v>
      </c>
      <c r="F23" s="3" t="s">
        <v>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 t="s">
        <v>18</v>
      </c>
      <c r="B24" s="1"/>
      <c r="C24" s="1"/>
      <c r="D24" s="2"/>
      <c r="E24" s="1" t="s">
        <v>18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 t="s">
        <v>19</v>
      </c>
      <c r="B25" s="1"/>
      <c r="C25" s="3" t="s">
        <v>20</v>
      </c>
      <c r="D25" s="2"/>
      <c r="E25" s="1" t="s">
        <v>19</v>
      </c>
      <c r="F25" s="3" t="s">
        <v>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 t="s">
        <v>21</v>
      </c>
      <c r="B26" s="1"/>
      <c r="C26" s="3" t="s">
        <v>22</v>
      </c>
      <c r="D26" s="2"/>
      <c r="E26" s="1" t="s">
        <v>21</v>
      </c>
      <c r="F26" s="3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 t="s">
        <v>24</v>
      </c>
      <c r="B27" s="1"/>
      <c r="C27" s="3">
        <v>3.1682221015E10</v>
      </c>
      <c r="D27" s="2"/>
      <c r="E27" s="1" t="s">
        <v>24</v>
      </c>
      <c r="F27" s="3">
        <f>+31610674497</f>
        <v>31610674497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 t="s">
        <v>25</v>
      </c>
      <c r="B28" s="1"/>
      <c r="C28" s="3" t="s">
        <v>26</v>
      </c>
      <c r="D28" s="2"/>
      <c r="E28" s="1" t="s">
        <v>25</v>
      </c>
      <c r="F28" s="3" t="s">
        <v>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 t="s">
        <v>27</v>
      </c>
      <c r="B29" s="1"/>
      <c r="C29" s="1"/>
      <c r="D29" s="2"/>
      <c r="E29" s="1" t="s">
        <v>27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 t="s">
        <v>28</v>
      </c>
      <c r="B30" s="1"/>
      <c r="C30" s="3" t="s">
        <v>29</v>
      </c>
      <c r="D30" s="2"/>
      <c r="E30" s="1" t="s">
        <v>28</v>
      </c>
      <c r="F30" s="3" t="s">
        <v>29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 t="s">
        <v>30</v>
      </c>
      <c r="B31" s="1"/>
      <c r="C31" s="3">
        <v>108.0</v>
      </c>
      <c r="D31" s="2"/>
      <c r="E31" s="1" t="s">
        <v>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 t="s">
        <v>31</v>
      </c>
      <c r="B32" s="1"/>
      <c r="C32" s="3">
        <v>1.67</v>
      </c>
      <c r="D32" s="2"/>
      <c r="E32" s="1" t="s">
        <v>31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 t="s">
        <v>32</v>
      </c>
      <c r="B33" s="1"/>
      <c r="C33" s="3" t="s">
        <v>33</v>
      </c>
      <c r="D33" s="2"/>
      <c r="E33" s="1" t="s">
        <v>32</v>
      </c>
      <c r="F33" s="3" t="s">
        <v>34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 t="s">
        <v>35</v>
      </c>
      <c r="B35" s="1"/>
      <c r="C35" s="6" t="s">
        <v>36</v>
      </c>
      <c r="D35" s="2"/>
      <c r="E35" s="1" t="s">
        <v>35</v>
      </c>
      <c r="F35" s="6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6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75"/>
    <col customWidth="1" min="2" max="2" width="12.75"/>
    <col customWidth="1" min="3" max="3" width="9.25"/>
    <col customWidth="1" min="4" max="4" width="10.13"/>
    <col customWidth="1" min="5" max="5" width="50.5"/>
    <col customWidth="1" min="6" max="6" width="11.38"/>
    <col customWidth="1" min="7" max="7" width="10.38"/>
    <col customWidth="1" min="8" max="8" width="12.25"/>
    <col customWidth="1" min="9" max="10" width="11.0"/>
  </cols>
  <sheetData>
    <row r="1" ht="23.25" customHeight="1">
      <c r="A1" s="7"/>
      <c r="B1" s="8"/>
      <c r="C1" s="8"/>
      <c r="D1" s="8"/>
      <c r="E1" s="7"/>
      <c r="F1" s="7"/>
      <c r="G1" s="7"/>
      <c r="H1" s="9"/>
      <c r="I1" s="10"/>
      <c r="J1" s="10"/>
    </row>
    <row r="2" ht="23.25" customHeight="1">
      <c r="A2" s="7"/>
      <c r="B2" s="8"/>
      <c r="C2" s="8"/>
      <c r="D2" s="8"/>
      <c r="E2" s="7"/>
      <c r="F2" s="7"/>
      <c r="G2" s="7"/>
      <c r="H2" s="9"/>
      <c r="I2" s="10"/>
      <c r="J2" s="10"/>
    </row>
    <row r="3" ht="23.25" customHeight="1">
      <c r="A3" s="7"/>
      <c r="B3" s="11" t="s">
        <v>38</v>
      </c>
      <c r="C3" s="11"/>
      <c r="D3" s="11"/>
      <c r="E3" s="12"/>
      <c r="F3" s="12"/>
      <c r="G3" s="12"/>
      <c r="H3" s="12"/>
      <c r="I3" s="10"/>
      <c r="J3" s="10"/>
    </row>
    <row r="4">
      <c r="A4" s="13"/>
      <c r="B4" s="14" t="s">
        <v>39</v>
      </c>
      <c r="C4" s="14" t="s">
        <v>40</v>
      </c>
      <c r="D4" s="15" t="s">
        <v>41</v>
      </c>
      <c r="E4" s="14" t="s">
        <v>42</v>
      </c>
      <c r="F4" s="16" t="s">
        <v>43</v>
      </c>
      <c r="G4" s="16" t="s">
        <v>44</v>
      </c>
      <c r="H4" s="16" t="s">
        <v>45</v>
      </c>
      <c r="I4" s="17"/>
      <c r="J4" s="17"/>
    </row>
    <row r="5">
      <c r="A5" s="7"/>
      <c r="B5" s="18"/>
      <c r="C5" s="19" t="s">
        <v>46</v>
      </c>
      <c r="D5" s="20">
        <v>45889.0</v>
      </c>
      <c r="E5" s="21" t="s">
        <v>47</v>
      </c>
      <c r="F5" s="22"/>
      <c r="G5" s="23"/>
      <c r="H5" s="23"/>
      <c r="I5" s="10"/>
      <c r="J5" s="10"/>
    </row>
    <row r="6">
      <c r="A6" s="7"/>
      <c r="B6" s="24"/>
      <c r="C6" s="24"/>
      <c r="D6" s="25"/>
      <c r="E6" s="26" t="s">
        <v>48</v>
      </c>
      <c r="F6" s="27"/>
      <c r="G6" s="28"/>
      <c r="H6" s="28"/>
      <c r="I6" s="10"/>
      <c r="J6" s="10"/>
    </row>
    <row r="7">
      <c r="A7" s="7"/>
      <c r="B7" s="24"/>
      <c r="C7" s="24"/>
      <c r="D7" s="25"/>
      <c r="E7" s="29" t="s">
        <v>49</v>
      </c>
      <c r="F7" s="27"/>
      <c r="G7" s="28"/>
      <c r="H7" s="28"/>
      <c r="I7" s="10"/>
      <c r="J7" s="10"/>
    </row>
    <row r="8">
      <c r="A8" s="7"/>
      <c r="B8" s="24"/>
      <c r="C8" s="24"/>
      <c r="D8" s="25"/>
      <c r="E8" s="26" t="s">
        <v>50</v>
      </c>
      <c r="F8" s="26"/>
      <c r="G8" s="26"/>
      <c r="H8" s="26"/>
      <c r="I8" s="10"/>
      <c r="J8" s="10"/>
    </row>
    <row r="9">
      <c r="A9" s="7"/>
      <c r="B9" s="18"/>
      <c r="C9" s="19" t="s">
        <v>51</v>
      </c>
      <c r="D9" s="20">
        <v>45890.0</v>
      </c>
      <c r="E9" s="21" t="s">
        <v>52</v>
      </c>
      <c r="F9" s="22"/>
      <c r="G9" s="23"/>
      <c r="H9" s="23"/>
      <c r="I9" s="10"/>
      <c r="J9" s="10"/>
    </row>
    <row r="10">
      <c r="A10" s="7"/>
      <c r="B10" s="24"/>
      <c r="C10" s="24"/>
      <c r="D10" s="25"/>
      <c r="E10" s="30" t="s">
        <v>53</v>
      </c>
      <c r="F10" s="31"/>
      <c r="G10" s="31"/>
      <c r="H10" s="31"/>
      <c r="I10" s="10"/>
      <c r="J10" s="10"/>
    </row>
    <row r="11">
      <c r="A11" s="32"/>
      <c r="B11" s="24"/>
      <c r="C11" s="24"/>
      <c r="D11" s="33" t="s">
        <v>54</v>
      </c>
      <c r="E11" s="34" t="s">
        <v>55</v>
      </c>
      <c r="F11" s="35">
        <v>1.1</v>
      </c>
      <c r="G11" s="35">
        <v>1.0</v>
      </c>
      <c r="H11" s="31"/>
      <c r="I11" s="10"/>
      <c r="J11" s="10"/>
    </row>
    <row r="12">
      <c r="A12" s="32" t="s">
        <v>56</v>
      </c>
      <c r="B12" s="36" t="s">
        <v>57</v>
      </c>
      <c r="C12" s="36" t="s">
        <v>58</v>
      </c>
      <c r="D12" s="33" t="s">
        <v>59</v>
      </c>
      <c r="E12" s="37" t="s">
        <v>60</v>
      </c>
      <c r="F12" s="31"/>
      <c r="G12" s="31"/>
      <c r="H12" s="31"/>
      <c r="I12" s="10"/>
      <c r="J12" s="10"/>
    </row>
    <row r="13">
      <c r="A13" s="32" t="s">
        <v>56</v>
      </c>
      <c r="B13" s="36" t="s">
        <v>57</v>
      </c>
      <c r="C13" s="36" t="s">
        <v>61</v>
      </c>
      <c r="D13" s="33"/>
      <c r="E13" s="37" t="s">
        <v>62</v>
      </c>
      <c r="F13" s="31"/>
      <c r="G13" s="31"/>
      <c r="H13" s="31"/>
      <c r="I13" s="10"/>
      <c r="J13" s="10"/>
    </row>
    <row r="14">
      <c r="A14" s="32" t="s">
        <v>56</v>
      </c>
      <c r="B14" s="36" t="s">
        <v>57</v>
      </c>
      <c r="C14" s="36" t="s">
        <v>61</v>
      </c>
      <c r="D14" s="33"/>
      <c r="E14" s="37" t="s">
        <v>63</v>
      </c>
      <c r="F14" s="31"/>
      <c r="G14" s="31"/>
      <c r="H14" s="31"/>
      <c r="I14" s="10"/>
      <c r="J14" s="10"/>
    </row>
    <row r="15">
      <c r="A15" s="32" t="s">
        <v>56</v>
      </c>
      <c r="B15" s="24"/>
      <c r="C15" s="24"/>
      <c r="D15" s="33"/>
      <c r="E15" s="37" t="s">
        <v>64</v>
      </c>
      <c r="F15" s="31"/>
      <c r="G15" s="31"/>
      <c r="H15" s="31"/>
      <c r="I15" s="10"/>
      <c r="J15" s="10"/>
    </row>
    <row r="16">
      <c r="A16" s="32" t="s">
        <v>56</v>
      </c>
      <c r="B16" s="24"/>
      <c r="C16" s="24"/>
      <c r="D16" s="33"/>
      <c r="E16" s="37" t="s">
        <v>65</v>
      </c>
      <c r="F16" s="31"/>
      <c r="G16" s="31"/>
      <c r="H16" s="31"/>
      <c r="I16" s="10"/>
      <c r="J16" s="10"/>
    </row>
    <row r="17">
      <c r="A17" s="32"/>
      <c r="B17" s="24"/>
      <c r="C17" s="24"/>
      <c r="D17" s="33"/>
      <c r="E17" s="30" t="s">
        <v>66</v>
      </c>
      <c r="F17" s="31"/>
      <c r="G17" s="31"/>
      <c r="H17" s="31"/>
      <c r="I17" s="10"/>
      <c r="J17" s="10"/>
    </row>
    <row r="18">
      <c r="A18" s="7"/>
      <c r="B18" s="24"/>
      <c r="C18" s="24"/>
      <c r="D18" s="33"/>
      <c r="E18" s="34" t="s">
        <v>67</v>
      </c>
      <c r="F18" s="31"/>
      <c r="G18" s="35">
        <v>1.0</v>
      </c>
      <c r="H18" s="31"/>
      <c r="I18" s="10"/>
      <c r="J18" s="10"/>
    </row>
    <row r="19">
      <c r="A19" s="7"/>
      <c r="B19" s="36" t="s">
        <v>68</v>
      </c>
      <c r="C19" s="36" t="s">
        <v>61</v>
      </c>
      <c r="D19" s="33"/>
      <c r="E19" s="37" t="s">
        <v>69</v>
      </c>
      <c r="F19" s="31"/>
      <c r="G19" s="31"/>
      <c r="H19" s="31"/>
      <c r="I19" s="10"/>
      <c r="J19" s="10"/>
    </row>
    <row r="20">
      <c r="A20" s="7"/>
      <c r="B20" s="36" t="s">
        <v>68</v>
      </c>
      <c r="C20" s="36" t="s">
        <v>58</v>
      </c>
      <c r="D20" s="25"/>
      <c r="E20" s="37" t="s">
        <v>69</v>
      </c>
      <c r="F20" s="38"/>
      <c r="G20" s="38"/>
      <c r="H20" s="38"/>
      <c r="I20" s="10"/>
      <c r="J20" s="10"/>
    </row>
    <row r="21">
      <c r="A21" s="7"/>
      <c r="B21" s="24"/>
      <c r="C21" s="24"/>
      <c r="D21" s="25"/>
      <c r="E21" s="34" t="s">
        <v>70</v>
      </c>
      <c r="F21" s="25"/>
      <c r="G21" s="35">
        <v>1.0</v>
      </c>
      <c r="H21" s="25"/>
      <c r="I21" s="10"/>
      <c r="J21" s="10"/>
    </row>
    <row r="22">
      <c r="A22" s="7"/>
      <c r="B22" s="24"/>
      <c r="C22" s="24"/>
      <c r="D22" s="25"/>
      <c r="E22" s="39" t="s">
        <v>71</v>
      </c>
      <c r="F22" s="25"/>
      <c r="G22" s="25"/>
      <c r="H22" s="25"/>
      <c r="I22" s="10"/>
      <c r="J22" s="10"/>
    </row>
    <row r="23">
      <c r="A23" s="7"/>
      <c r="B23" s="18"/>
      <c r="C23" s="19" t="s">
        <v>72</v>
      </c>
      <c r="D23" s="20">
        <v>45891.0</v>
      </c>
      <c r="E23" s="21" t="s">
        <v>73</v>
      </c>
      <c r="F23" s="22"/>
      <c r="G23" s="23"/>
      <c r="H23" s="23"/>
      <c r="I23" s="10"/>
      <c r="J23" s="10"/>
    </row>
    <row r="24">
      <c r="A24" s="7"/>
      <c r="B24" s="24"/>
      <c r="C24" s="24"/>
      <c r="D24" s="25"/>
      <c r="E24" s="30" t="s">
        <v>53</v>
      </c>
      <c r="F24" s="25"/>
      <c r="G24" s="25"/>
      <c r="H24" s="25"/>
      <c r="I24" s="10"/>
      <c r="J24" s="10"/>
    </row>
    <row r="25">
      <c r="A25" s="7"/>
      <c r="B25" s="24"/>
      <c r="C25" s="24"/>
      <c r="D25" s="33"/>
      <c r="E25" s="34" t="s">
        <v>55</v>
      </c>
      <c r="F25" s="35">
        <v>1.1</v>
      </c>
      <c r="G25" s="35">
        <v>1.0</v>
      </c>
      <c r="H25" s="25"/>
      <c r="I25" s="10"/>
      <c r="J25" s="10"/>
    </row>
    <row r="26">
      <c r="A26" s="32" t="s">
        <v>74</v>
      </c>
      <c r="B26" s="36" t="s">
        <v>75</v>
      </c>
      <c r="C26" s="36" t="s">
        <v>76</v>
      </c>
      <c r="D26" s="33" t="s">
        <v>59</v>
      </c>
      <c r="E26" s="40" t="s">
        <v>77</v>
      </c>
      <c r="F26" s="25"/>
      <c r="G26" s="25"/>
      <c r="H26" s="25"/>
      <c r="I26" s="10"/>
      <c r="J26" s="10"/>
    </row>
    <row r="27">
      <c r="A27" s="32" t="s">
        <v>74</v>
      </c>
      <c r="B27" s="36" t="s">
        <v>75</v>
      </c>
      <c r="C27" s="36" t="s">
        <v>61</v>
      </c>
      <c r="D27" s="25"/>
      <c r="E27" s="37" t="s">
        <v>78</v>
      </c>
      <c r="F27" s="25"/>
      <c r="G27" s="25"/>
      <c r="H27" s="25"/>
      <c r="I27" s="10"/>
      <c r="J27" s="10"/>
    </row>
    <row r="28">
      <c r="A28" s="32"/>
      <c r="B28" s="24"/>
      <c r="C28" s="24"/>
      <c r="D28" s="25"/>
      <c r="E28" s="30" t="s">
        <v>66</v>
      </c>
      <c r="F28" s="25"/>
      <c r="G28" s="25"/>
      <c r="H28" s="25"/>
      <c r="I28" s="10"/>
      <c r="J28" s="10"/>
    </row>
    <row r="29">
      <c r="A29" s="32" t="s">
        <v>74</v>
      </c>
      <c r="B29" s="36" t="s">
        <v>79</v>
      </c>
      <c r="C29" s="36" t="s">
        <v>76</v>
      </c>
      <c r="D29" s="25"/>
      <c r="E29" s="37" t="s">
        <v>80</v>
      </c>
      <c r="F29" s="25"/>
      <c r="G29" s="25"/>
      <c r="H29" s="25"/>
      <c r="I29" s="10"/>
      <c r="J29" s="10"/>
    </row>
    <row r="30">
      <c r="A30" s="32" t="s">
        <v>74</v>
      </c>
      <c r="B30" s="36" t="s">
        <v>79</v>
      </c>
      <c r="C30" s="36" t="s">
        <v>76</v>
      </c>
      <c r="D30" s="25"/>
      <c r="E30" s="37" t="s">
        <v>81</v>
      </c>
      <c r="F30" s="25"/>
      <c r="G30" s="25"/>
      <c r="H30" s="25"/>
      <c r="I30" s="10"/>
      <c r="J30" s="10"/>
    </row>
    <row r="31">
      <c r="A31" s="32" t="s">
        <v>74</v>
      </c>
      <c r="B31" s="36" t="s">
        <v>79</v>
      </c>
      <c r="C31" s="36" t="s">
        <v>76</v>
      </c>
      <c r="D31" s="25"/>
      <c r="E31" s="37" t="s">
        <v>82</v>
      </c>
      <c r="F31" s="25"/>
      <c r="G31" s="25"/>
      <c r="H31" s="25"/>
      <c r="I31" s="10"/>
      <c r="J31" s="10"/>
    </row>
    <row r="32">
      <c r="B32" s="24"/>
      <c r="C32" s="24"/>
      <c r="D32" s="25"/>
      <c r="E32" s="30" t="s">
        <v>83</v>
      </c>
      <c r="F32" s="25"/>
      <c r="G32" s="25"/>
      <c r="H32" s="25"/>
      <c r="I32" s="10"/>
      <c r="J32" s="10"/>
    </row>
    <row r="33">
      <c r="A33" s="32" t="s">
        <v>74</v>
      </c>
      <c r="B33" s="36" t="s">
        <v>84</v>
      </c>
      <c r="C33" s="36" t="s">
        <v>61</v>
      </c>
      <c r="D33" s="25"/>
      <c r="E33" s="37" t="s">
        <v>85</v>
      </c>
      <c r="F33" s="25"/>
      <c r="G33" s="25"/>
      <c r="H33" s="25"/>
      <c r="I33" s="10"/>
      <c r="J33" s="10"/>
    </row>
    <row r="34">
      <c r="A34" s="32" t="s">
        <v>74</v>
      </c>
      <c r="B34" s="36" t="s">
        <v>84</v>
      </c>
      <c r="C34" s="36" t="s">
        <v>61</v>
      </c>
      <c r="D34" s="25"/>
      <c r="E34" s="37" t="s">
        <v>86</v>
      </c>
      <c r="F34" s="25"/>
      <c r="G34" s="25"/>
      <c r="H34" s="25"/>
      <c r="I34" s="10"/>
      <c r="J34" s="10"/>
    </row>
    <row r="35">
      <c r="B35" s="24"/>
      <c r="C35" s="24"/>
      <c r="D35" s="33" t="s">
        <v>87</v>
      </c>
      <c r="E35" s="34" t="s">
        <v>70</v>
      </c>
      <c r="F35" s="25"/>
      <c r="G35" s="25"/>
      <c r="H35" s="25"/>
      <c r="I35" s="10"/>
      <c r="J35" s="10"/>
    </row>
    <row r="36">
      <c r="B36" s="24"/>
      <c r="C36" s="24"/>
      <c r="D36" s="25"/>
      <c r="E36" s="39" t="s">
        <v>71</v>
      </c>
      <c r="F36" s="25"/>
      <c r="G36" s="35">
        <v>1.0</v>
      </c>
      <c r="H36" s="25"/>
      <c r="I36" s="10"/>
      <c r="J36" s="10"/>
    </row>
    <row r="37">
      <c r="B37" s="24"/>
      <c r="C37" s="19" t="s">
        <v>88</v>
      </c>
      <c r="D37" s="20">
        <v>45892.0</v>
      </c>
      <c r="E37" s="21" t="s">
        <v>89</v>
      </c>
      <c r="F37" s="22"/>
      <c r="G37" s="23"/>
      <c r="H37" s="23"/>
      <c r="I37" s="10"/>
      <c r="J37" s="10"/>
    </row>
    <row r="38">
      <c r="B38" s="24"/>
      <c r="C38" s="24"/>
      <c r="D38" s="25"/>
      <c r="E38" s="30" t="s">
        <v>53</v>
      </c>
      <c r="F38" s="25"/>
      <c r="G38" s="31"/>
      <c r="H38" s="25"/>
      <c r="I38" s="10"/>
      <c r="J38" s="10"/>
    </row>
    <row r="39">
      <c r="A39" s="32"/>
      <c r="B39" s="24"/>
      <c r="C39" s="24"/>
      <c r="D39" s="25"/>
      <c r="E39" s="34" t="s">
        <v>55</v>
      </c>
      <c r="F39" s="35">
        <v>0.5</v>
      </c>
      <c r="G39" s="35">
        <v>1.0</v>
      </c>
      <c r="H39" s="25"/>
      <c r="I39" s="10"/>
      <c r="J39" s="10"/>
    </row>
    <row r="40">
      <c r="A40" s="32"/>
      <c r="B40" s="36" t="s">
        <v>90</v>
      </c>
      <c r="C40" s="36" t="s">
        <v>58</v>
      </c>
      <c r="D40" s="33" t="s">
        <v>59</v>
      </c>
      <c r="E40" s="37" t="s">
        <v>91</v>
      </c>
      <c r="F40" s="25"/>
      <c r="G40" s="31"/>
      <c r="H40" s="25"/>
      <c r="I40" s="10"/>
      <c r="J40" s="10"/>
    </row>
    <row r="41">
      <c r="A41" s="32"/>
      <c r="B41" s="36"/>
      <c r="C41" s="36"/>
      <c r="D41" s="25"/>
      <c r="E41" s="34" t="s">
        <v>70</v>
      </c>
      <c r="F41" s="25"/>
      <c r="G41" s="35">
        <v>1.0</v>
      </c>
      <c r="H41" s="25"/>
      <c r="I41" s="10"/>
      <c r="J41" s="10"/>
    </row>
    <row r="42">
      <c r="A42" s="32"/>
      <c r="B42" s="36"/>
      <c r="C42" s="36"/>
      <c r="D42" s="25"/>
      <c r="E42" s="30" t="s">
        <v>92</v>
      </c>
      <c r="F42" s="25"/>
      <c r="G42" s="31"/>
      <c r="H42" s="25"/>
      <c r="I42" s="10"/>
      <c r="J42" s="10"/>
    </row>
    <row r="43">
      <c r="A43" s="32"/>
      <c r="B43" s="36"/>
      <c r="C43" s="36"/>
      <c r="D43" s="33" t="s">
        <v>93</v>
      </c>
      <c r="E43" s="37" t="s">
        <v>94</v>
      </c>
      <c r="F43" s="25"/>
      <c r="G43" s="31"/>
      <c r="H43" s="25"/>
      <c r="I43" s="10"/>
      <c r="J43" s="10"/>
    </row>
    <row r="44">
      <c r="A44" s="32"/>
      <c r="B44" s="36"/>
      <c r="C44" s="36"/>
      <c r="D44" s="25"/>
      <c r="E44" s="39" t="s">
        <v>71</v>
      </c>
      <c r="F44" s="25"/>
      <c r="G44" s="31"/>
      <c r="H44" s="25"/>
      <c r="I44" s="10"/>
      <c r="J44" s="10"/>
    </row>
    <row r="45">
      <c r="A45" s="32"/>
      <c r="B45" s="36"/>
      <c r="C45" s="19" t="s">
        <v>95</v>
      </c>
      <c r="D45" s="20">
        <v>45893.0</v>
      </c>
      <c r="E45" s="21" t="s">
        <v>96</v>
      </c>
      <c r="F45" s="22"/>
      <c r="G45" s="23"/>
      <c r="H45" s="23"/>
      <c r="I45" s="10"/>
      <c r="J45" s="10"/>
    </row>
    <row r="46">
      <c r="A46" s="32"/>
      <c r="B46" s="36"/>
      <c r="C46" s="36"/>
      <c r="D46" s="19"/>
      <c r="E46" s="21" t="s">
        <v>97</v>
      </c>
      <c r="F46" s="22"/>
      <c r="G46" s="23"/>
      <c r="H46" s="23"/>
      <c r="I46" s="10"/>
      <c r="J46" s="10"/>
    </row>
    <row r="47">
      <c r="A47" s="32"/>
      <c r="B47" s="36"/>
      <c r="C47" s="19" t="s">
        <v>98</v>
      </c>
      <c r="D47" s="20">
        <v>45894.0</v>
      </c>
      <c r="E47" s="21" t="s">
        <v>99</v>
      </c>
      <c r="F47" s="22"/>
      <c r="G47" s="23"/>
      <c r="H47" s="23"/>
      <c r="I47" s="10"/>
      <c r="J47" s="10"/>
    </row>
    <row r="48">
      <c r="A48" s="32"/>
      <c r="B48" s="36"/>
      <c r="C48" s="36"/>
      <c r="D48" s="25"/>
      <c r="E48" s="30" t="s">
        <v>66</v>
      </c>
      <c r="F48" s="25"/>
      <c r="G48" s="31"/>
      <c r="H48" s="41"/>
      <c r="I48" s="10"/>
      <c r="J48" s="10"/>
    </row>
    <row r="49">
      <c r="A49" s="32"/>
      <c r="B49" s="36"/>
      <c r="C49" s="36"/>
      <c r="D49" s="25"/>
      <c r="E49" s="34" t="s">
        <v>55</v>
      </c>
      <c r="F49" s="35">
        <v>0.5</v>
      </c>
      <c r="G49" s="35">
        <v>1.0</v>
      </c>
      <c r="H49" s="41"/>
      <c r="I49" s="10"/>
      <c r="J49" s="10"/>
    </row>
    <row r="50">
      <c r="A50" s="32" t="s">
        <v>100</v>
      </c>
      <c r="B50" s="36" t="s">
        <v>101</v>
      </c>
      <c r="C50" s="36" t="s">
        <v>58</v>
      </c>
      <c r="D50" s="33" t="s">
        <v>102</v>
      </c>
      <c r="E50" s="37" t="s">
        <v>103</v>
      </c>
      <c r="F50" s="25"/>
      <c r="G50" s="31"/>
      <c r="H50" s="25"/>
      <c r="I50" s="10"/>
      <c r="J50" s="10"/>
    </row>
    <row r="51">
      <c r="A51" s="32" t="s">
        <v>100</v>
      </c>
      <c r="B51" s="36" t="s">
        <v>101</v>
      </c>
      <c r="C51" s="36" t="s">
        <v>58</v>
      </c>
      <c r="D51" s="33" t="s">
        <v>104</v>
      </c>
      <c r="E51" s="37" t="s">
        <v>105</v>
      </c>
      <c r="F51" s="25"/>
      <c r="G51" s="31"/>
      <c r="H51" s="25"/>
      <c r="I51" s="10"/>
      <c r="J51" s="10"/>
    </row>
    <row r="52">
      <c r="A52" s="32"/>
      <c r="B52" s="36"/>
      <c r="C52" s="36"/>
      <c r="D52" s="42"/>
      <c r="E52" s="34" t="s">
        <v>70</v>
      </c>
      <c r="F52" s="25"/>
      <c r="G52" s="35">
        <v>1.0</v>
      </c>
      <c r="H52" s="41"/>
      <c r="I52" s="10"/>
      <c r="J52" s="10"/>
    </row>
    <row r="53">
      <c r="A53" s="32"/>
      <c r="B53" s="36"/>
      <c r="C53" s="36"/>
      <c r="D53" s="25"/>
      <c r="E53" s="39" t="s">
        <v>71</v>
      </c>
      <c r="F53" s="25"/>
      <c r="G53" s="31"/>
      <c r="H53" s="25"/>
      <c r="I53" s="10"/>
      <c r="J53" s="10"/>
    </row>
    <row r="54">
      <c r="B54" s="24"/>
      <c r="C54" s="19" t="s">
        <v>106</v>
      </c>
      <c r="D54" s="20">
        <v>45895.0</v>
      </c>
      <c r="E54" s="21" t="s">
        <v>107</v>
      </c>
      <c r="F54" s="22"/>
      <c r="G54" s="23"/>
      <c r="H54" s="23"/>
      <c r="I54" s="10"/>
      <c r="J54" s="10"/>
    </row>
    <row r="55">
      <c r="B55" s="24"/>
      <c r="C55" s="24"/>
      <c r="E55" s="30" t="s">
        <v>66</v>
      </c>
      <c r="F55" s="25"/>
      <c r="G55" s="25"/>
      <c r="H55" s="25"/>
      <c r="I55" s="10"/>
      <c r="J55" s="10"/>
    </row>
    <row r="56">
      <c r="A56" s="32"/>
      <c r="B56" s="24"/>
      <c r="C56" s="24"/>
      <c r="D56" s="25"/>
      <c r="E56" s="34" t="s">
        <v>55</v>
      </c>
      <c r="F56" s="35">
        <v>1.0</v>
      </c>
      <c r="G56" s="35"/>
      <c r="H56" s="35">
        <v>1.0</v>
      </c>
      <c r="I56" s="10"/>
      <c r="J56" s="10"/>
    </row>
    <row r="57">
      <c r="A57" s="32"/>
      <c r="B57" s="36" t="s">
        <v>108</v>
      </c>
      <c r="C57" s="24"/>
      <c r="D57" s="42" t="s">
        <v>61</v>
      </c>
      <c r="E57" s="37" t="s">
        <v>109</v>
      </c>
      <c r="F57" s="25"/>
      <c r="G57" s="25"/>
      <c r="H57" s="25"/>
      <c r="I57" s="10"/>
      <c r="J57" s="10"/>
    </row>
    <row r="58">
      <c r="A58" s="32"/>
      <c r="B58" s="36" t="s">
        <v>108</v>
      </c>
      <c r="C58" s="24"/>
      <c r="D58" s="42" t="s">
        <v>58</v>
      </c>
      <c r="E58" s="37" t="s">
        <v>110</v>
      </c>
      <c r="F58" s="25"/>
      <c r="G58" s="31"/>
      <c r="H58" s="25"/>
      <c r="I58" s="10"/>
      <c r="J58" s="10"/>
    </row>
    <row r="59">
      <c r="A59" s="32"/>
      <c r="B59" s="36"/>
      <c r="C59" s="36"/>
      <c r="D59" s="33"/>
      <c r="E59" s="30" t="s">
        <v>83</v>
      </c>
      <c r="F59" s="25"/>
      <c r="G59" s="31"/>
      <c r="H59" s="25"/>
      <c r="I59" s="10"/>
      <c r="J59" s="10"/>
    </row>
    <row r="60">
      <c r="A60" s="32"/>
      <c r="B60" s="36" t="s">
        <v>108</v>
      </c>
      <c r="C60" s="36"/>
      <c r="D60" s="42" t="s">
        <v>61</v>
      </c>
      <c r="E60" s="37" t="s">
        <v>111</v>
      </c>
      <c r="F60" s="25"/>
      <c r="G60" s="31"/>
      <c r="H60" s="25"/>
      <c r="I60" s="10"/>
      <c r="J60" s="10"/>
    </row>
    <row r="61">
      <c r="B61" s="24"/>
      <c r="C61" s="24"/>
      <c r="D61" s="24"/>
      <c r="E61" s="34" t="s">
        <v>67</v>
      </c>
      <c r="F61" s="25"/>
      <c r="G61" s="35"/>
      <c r="H61" s="35">
        <v>1.0</v>
      </c>
      <c r="I61" s="10"/>
      <c r="J61" s="10"/>
    </row>
    <row r="62">
      <c r="B62" s="24"/>
      <c r="C62" s="24"/>
      <c r="D62" s="24"/>
      <c r="E62" s="39" t="s">
        <v>71</v>
      </c>
      <c r="F62" s="25"/>
      <c r="G62" s="31"/>
      <c r="H62" s="25"/>
      <c r="I62" s="10"/>
      <c r="J62" s="10"/>
    </row>
    <row r="63">
      <c r="B63" s="24"/>
      <c r="C63" s="19" t="s">
        <v>112</v>
      </c>
      <c r="D63" s="20">
        <v>45896.0</v>
      </c>
      <c r="E63" s="21" t="s">
        <v>47</v>
      </c>
      <c r="F63" s="22"/>
      <c r="G63" s="23"/>
      <c r="H63" s="23"/>
      <c r="I63" s="10"/>
      <c r="J63" s="10"/>
    </row>
    <row r="64">
      <c r="B64" s="24"/>
      <c r="C64" s="24"/>
      <c r="D64" s="24"/>
      <c r="E64" s="30" t="s">
        <v>97</v>
      </c>
      <c r="F64" s="25"/>
      <c r="G64" s="31"/>
      <c r="H64" s="25"/>
      <c r="I64" s="10"/>
      <c r="J64" s="10"/>
    </row>
    <row r="65">
      <c r="B65" s="24"/>
      <c r="C65" s="19" t="s">
        <v>113</v>
      </c>
      <c r="D65" s="20">
        <v>45897.0</v>
      </c>
      <c r="E65" s="21" t="s">
        <v>52</v>
      </c>
      <c r="F65" s="22"/>
      <c r="G65" s="23"/>
      <c r="H65" s="23"/>
      <c r="I65" s="10"/>
      <c r="J65" s="10"/>
    </row>
    <row r="66">
      <c r="A66" s="7"/>
      <c r="B66" s="24"/>
      <c r="C66" s="24"/>
      <c r="D66" s="24"/>
      <c r="E66" s="30" t="s">
        <v>97</v>
      </c>
      <c r="F66" s="25"/>
      <c r="G66" s="31"/>
      <c r="H66" s="25"/>
      <c r="I66" s="10"/>
      <c r="J66" s="10"/>
    </row>
    <row r="67">
      <c r="A67" s="7"/>
      <c r="B67" s="24"/>
      <c r="C67" s="19" t="s">
        <v>114</v>
      </c>
      <c r="D67" s="20">
        <v>45898.0</v>
      </c>
      <c r="E67" s="21" t="s">
        <v>73</v>
      </c>
      <c r="F67" s="22"/>
      <c r="G67" s="23"/>
      <c r="H67" s="23"/>
      <c r="I67" s="10"/>
      <c r="J67" s="10"/>
    </row>
    <row r="68">
      <c r="A68" s="7"/>
      <c r="B68" s="24"/>
      <c r="C68" s="24"/>
      <c r="D68" s="24"/>
      <c r="E68" s="30" t="s">
        <v>97</v>
      </c>
      <c r="F68" s="25"/>
      <c r="G68" s="31"/>
      <c r="H68" s="25"/>
      <c r="I68" s="10"/>
      <c r="J68" s="10"/>
    </row>
    <row r="69">
      <c r="A69" s="7"/>
      <c r="B69" s="24"/>
      <c r="C69" s="19" t="s">
        <v>115</v>
      </c>
      <c r="D69" s="20">
        <v>45899.0</v>
      </c>
      <c r="E69" s="21" t="s">
        <v>89</v>
      </c>
      <c r="F69" s="22"/>
      <c r="G69" s="23"/>
      <c r="H69" s="23"/>
      <c r="I69" s="10"/>
      <c r="J69" s="10"/>
    </row>
    <row r="70">
      <c r="A70" s="7"/>
      <c r="B70" s="24"/>
      <c r="C70" s="24"/>
      <c r="D70" s="24"/>
      <c r="E70" s="43" t="s">
        <v>116</v>
      </c>
      <c r="F70" s="24"/>
      <c r="G70" s="24"/>
      <c r="H70" s="24"/>
      <c r="I70" s="10"/>
      <c r="J70" s="10"/>
    </row>
    <row r="71">
      <c r="A71" s="7"/>
      <c r="B71" s="24"/>
      <c r="C71" s="24"/>
      <c r="D71" s="38"/>
      <c r="E71" s="29" t="s">
        <v>117</v>
      </c>
      <c r="F71" s="24"/>
      <c r="G71" s="24"/>
      <c r="H71" s="24"/>
      <c r="I71" s="10"/>
      <c r="J71" s="10"/>
    </row>
    <row r="72">
      <c r="A72" s="7"/>
      <c r="B72" s="24"/>
      <c r="C72" s="24"/>
      <c r="D72" s="38"/>
      <c r="E72" s="43" t="s">
        <v>118</v>
      </c>
      <c r="F72" s="24"/>
      <c r="G72" s="24"/>
      <c r="H72" s="24"/>
      <c r="I72" s="10"/>
      <c r="J72" s="10"/>
    </row>
    <row r="73" ht="23.25" customHeight="1">
      <c r="A73" s="10"/>
      <c r="B73" s="44"/>
      <c r="C73" s="44"/>
      <c r="D73" s="8"/>
      <c r="E73" s="10"/>
      <c r="F73" s="45">
        <f t="shared" ref="F73:H73" si="1">SUM(F5:F72)</f>
        <v>4.2</v>
      </c>
      <c r="G73" s="45">
        <f t="shared" si="1"/>
        <v>9</v>
      </c>
      <c r="H73" s="45">
        <f t="shared" si="1"/>
        <v>2</v>
      </c>
      <c r="I73" s="10"/>
      <c r="J73" s="10"/>
    </row>
    <row r="74" ht="23.25" customHeight="1">
      <c r="A74" s="46"/>
      <c r="B74" s="44"/>
      <c r="C74" s="44"/>
      <c r="D74" s="8"/>
      <c r="E74" s="10"/>
      <c r="F74" s="47"/>
      <c r="G74" s="10"/>
      <c r="H74" s="10"/>
      <c r="I74" s="10"/>
      <c r="J74" s="10"/>
    </row>
    <row r="75" ht="23.25" customHeight="1">
      <c r="A75" s="46"/>
      <c r="B75" s="8"/>
      <c r="C75" s="8"/>
      <c r="D75" s="7"/>
      <c r="E75" s="7"/>
      <c r="F75" s="7"/>
      <c r="G75" s="7"/>
      <c r="H75" s="7"/>
      <c r="I75" s="7"/>
      <c r="J75" s="7"/>
    </row>
    <row r="76" ht="23.25" customHeight="1">
      <c r="A76" s="46"/>
      <c r="B76" s="8"/>
      <c r="C76" s="8"/>
      <c r="D76" s="7"/>
      <c r="E76" s="7"/>
      <c r="F76" s="7"/>
      <c r="G76" s="7"/>
      <c r="H76" s="7"/>
      <c r="I76" s="7"/>
      <c r="J76" s="7"/>
    </row>
    <row r="77" ht="23.25" customHeight="1">
      <c r="A77" s="46"/>
      <c r="B77" s="8"/>
      <c r="C77" s="8"/>
      <c r="D77" s="7"/>
      <c r="E77" s="7"/>
      <c r="F77" s="7"/>
      <c r="G77" s="7"/>
      <c r="H77" s="7"/>
      <c r="I77" s="7"/>
      <c r="J77" s="7"/>
    </row>
    <row r="78" ht="23.25" customHeight="1">
      <c r="A78" s="46"/>
      <c r="B78" s="8"/>
      <c r="C78" s="8"/>
      <c r="D78" s="7"/>
      <c r="E78" s="7"/>
      <c r="F78" s="7"/>
      <c r="G78" s="7"/>
      <c r="H78" s="7"/>
      <c r="I78" s="7"/>
      <c r="J78" s="7"/>
    </row>
    <row r="79" ht="23.25" customHeight="1">
      <c r="A79" s="46"/>
      <c r="B79" s="8"/>
      <c r="C79" s="8"/>
      <c r="D79" s="7"/>
      <c r="E79" s="7"/>
      <c r="F79" s="7"/>
      <c r="G79" s="7"/>
      <c r="H79" s="7"/>
      <c r="I79" s="7"/>
      <c r="J79" s="7"/>
    </row>
    <row r="80" ht="23.25" customHeight="1">
      <c r="A80" s="46"/>
      <c r="B80" s="8"/>
      <c r="C80" s="8"/>
      <c r="D80" s="7"/>
      <c r="E80" s="7"/>
      <c r="F80" s="7"/>
      <c r="G80" s="7"/>
      <c r="H80" s="7"/>
      <c r="I80" s="7"/>
      <c r="J80" s="7"/>
    </row>
    <row r="81" ht="23.25" customHeight="1">
      <c r="A81" s="46"/>
      <c r="B81" s="8"/>
      <c r="C81" s="8"/>
      <c r="D81" s="7"/>
      <c r="E81" s="7"/>
      <c r="F81" s="7"/>
      <c r="G81" s="7"/>
      <c r="H81" s="7"/>
      <c r="I81" s="7"/>
      <c r="J81" s="7"/>
    </row>
    <row r="82" ht="23.25" customHeight="1">
      <c r="A82" s="46"/>
      <c r="B82" s="8"/>
      <c r="C82" s="8"/>
      <c r="D82" s="7"/>
      <c r="E82" s="7"/>
      <c r="F82" s="7"/>
      <c r="G82" s="7"/>
      <c r="H82" s="7"/>
      <c r="I82" s="7"/>
      <c r="J82" s="7"/>
    </row>
    <row r="83" ht="23.25" customHeight="1">
      <c r="A83" s="46"/>
      <c r="B83" s="8"/>
      <c r="C83" s="8"/>
      <c r="D83" s="7"/>
      <c r="E83" s="7"/>
      <c r="F83" s="7"/>
      <c r="G83" s="7"/>
      <c r="H83" s="7"/>
      <c r="I83" s="7"/>
      <c r="J83" s="7"/>
    </row>
    <row r="84" ht="23.25" customHeight="1">
      <c r="A84" s="46"/>
      <c r="B84" s="8"/>
      <c r="C84" s="8"/>
      <c r="D84" s="7"/>
      <c r="E84" s="7"/>
      <c r="F84" s="7"/>
      <c r="G84" s="7"/>
      <c r="H84" s="7"/>
      <c r="I84" s="7"/>
      <c r="J84" s="7"/>
    </row>
    <row r="85" ht="23.25" customHeight="1">
      <c r="A85" s="46"/>
      <c r="B85" s="8"/>
      <c r="C85" s="8"/>
      <c r="D85" s="7"/>
      <c r="E85" s="7"/>
      <c r="F85" s="7"/>
      <c r="G85" s="7"/>
      <c r="H85" s="7"/>
      <c r="I85" s="7"/>
      <c r="J85" s="7"/>
    </row>
    <row r="86" ht="23.25" customHeight="1">
      <c r="A86" s="46"/>
      <c r="B86" s="8"/>
      <c r="C86" s="8"/>
      <c r="D86" s="7"/>
      <c r="E86" s="7"/>
      <c r="F86" s="7"/>
      <c r="G86" s="7"/>
      <c r="H86" s="7"/>
      <c r="I86" s="7"/>
      <c r="J86" s="7"/>
    </row>
    <row r="87" ht="23.25" customHeight="1">
      <c r="A87" s="46"/>
      <c r="B87" s="8"/>
      <c r="C87" s="8"/>
      <c r="D87" s="7"/>
      <c r="E87" s="7"/>
      <c r="F87" s="7"/>
      <c r="G87" s="7"/>
      <c r="H87" s="7"/>
      <c r="I87" s="7"/>
      <c r="J87" s="7"/>
    </row>
    <row r="88" ht="23.25" customHeight="1">
      <c r="A88" s="46"/>
      <c r="B88" s="8"/>
      <c r="C88" s="8"/>
      <c r="D88" s="7"/>
      <c r="E88" s="7"/>
      <c r="F88" s="7"/>
      <c r="G88" s="7"/>
      <c r="H88" s="7"/>
      <c r="I88" s="7"/>
      <c r="J88" s="7"/>
    </row>
    <row r="89" ht="23.25" customHeight="1">
      <c r="A89" s="46"/>
      <c r="B89" s="8"/>
      <c r="C89" s="8"/>
      <c r="D89" s="7"/>
      <c r="E89" s="7"/>
      <c r="F89" s="7"/>
      <c r="G89" s="7"/>
      <c r="H89" s="7"/>
      <c r="I89" s="7"/>
      <c r="J89" s="7"/>
    </row>
    <row r="90" ht="23.25" customHeight="1">
      <c r="A90" s="46"/>
      <c r="B90" s="8"/>
      <c r="C90" s="8"/>
      <c r="D90" s="7"/>
      <c r="E90" s="7"/>
      <c r="F90" s="7"/>
      <c r="G90" s="7"/>
      <c r="H90" s="7"/>
      <c r="I90" s="7"/>
      <c r="J9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3.5"/>
    <col customWidth="1" min="4" max="4" width="10.5"/>
    <col customWidth="1" min="5" max="5" width="40.63"/>
    <col customWidth="1" min="6" max="6" width="5.13"/>
    <col customWidth="1" min="7" max="7" width="13.63"/>
    <col customWidth="1" min="8" max="8" width="13.0"/>
    <col customWidth="1" min="11" max="11" width="3.88"/>
    <col customWidth="1" min="12" max="12" width="11.75"/>
    <col customWidth="1" min="13" max="13" width="12.5"/>
    <col customWidth="1" min="14" max="14" width="9.13"/>
    <col customWidth="1" min="15" max="15" width="9.5"/>
    <col customWidth="1" min="16" max="16" width="4.38"/>
    <col customWidth="1" min="17" max="17" width="18.0"/>
    <col customWidth="1" min="18" max="18" width="11.88"/>
    <col customWidth="1" min="19" max="19" width="31.13"/>
    <col customWidth="1" min="20" max="20" width="24.5"/>
    <col customWidth="1" min="21" max="21" width="2.13"/>
    <col customWidth="1" min="22" max="22" width="27.63"/>
    <col customWidth="1" min="23" max="23" width="17.88"/>
    <col customWidth="1" min="24" max="24" width="3.88"/>
    <col customWidth="1" min="25" max="25" width="30.13"/>
    <col customWidth="1" min="26" max="26" width="29.0"/>
    <col customWidth="1" min="27" max="27" width="20.88"/>
    <col customWidth="1" min="29" max="31" width="19.63"/>
    <col customWidth="1" min="32" max="33" width="40.0"/>
    <col customWidth="1" min="34" max="34" width="29.0"/>
    <col customWidth="1" min="35" max="35" width="25.88"/>
    <col customWidth="1" min="36" max="36" width="23.25"/>
  </cols>
  <sheetData>
    <row r="1">
      <c r="A1" s="4"/>
      <c r="B1" s="4"/>
      <c r="C1" s="4"/>
      <c r="D1" s="48"/>
      <c r="E1" s="49"/>
      <c r="F1" s="4"/>
      <c r="G1" s="4"/>
      <c r="H1" s="4"/>
      <c r="I1" s="4"/>
      <c r="J1" s="4"/>
      <c r="K1" s="50"/>
      <c r="L1" s="51"/>
      <c r="M1" s="51"/>
      <c r="N1" s="51"/>
      <c r="O1" s="51"/>
      <c r="P1" s="50"/>
      <c r="Q1" s="4"/>
      <c r="R1" s="4"/>
      <c r="S1" s="4"/>
      <c r="T1" s="52"/>
      <c r="U1" s="53"/>
      <c r="V1" s="4"/>
      <c r="W1" s="52"/>
      <c r="X1" s="53"/>
      <c r="Y1" s="52"/>
      <c r="Z1" s="52"/>
      <c r="AA1" s="4"/>
      <c r="AB1" s="52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75" customHeight="1">
      <c r="A2" s="4"/>
      <c r="B2" s="4"/>
      <c r="C2" s="4"/>
      <c r="D2" s="48"/>
      <c r="E2" s="49"/>
      <c r="F2" s="4"/>
      <c r="G2" s="4"/>
      <c r="H2" s="4"/>
      <c r="I2" s="4"/>
      <c r="J2" s="4"/>
      <c r="K2" s="50"/>
      <c r="L2" s="48"/>
      <c r="M2" s="48"/>
      <c r="N2" s="48"/>
      <c r="O2" s="48"/>
      <c r="P2" s="4"/>
      <c r="Q2" s="4"/>
      <c r="R2" s="4"/>
      <c r="S2" s="4"/>
      <c r="T2" s="52"/>
      <c r="U2" s="53"/>
      <c r="V2" s="4"/>
      <c r="W2" s="52"/>
      <c r="X2" s="53"/>
      <c r="Y2" s="54" t="s">
        <v>119</v>
      </c>
      <c r="Z2" s="52"/>
      <c r="AA2" s="4"/>
      <c r="AB2" s="52"/>
      <c r="AC2" s="4"/>
      <c r="AD2" s="4"/>
      <c r="AE2" s="4"/>
      <c r="AF2" s="4"/>
      <c r="AG2" s="55" t="s">
        <v>120</v>
      </c>
      <c r="AH2" s="56"/>
      <c r="AI2" s="56"/>
      <c r="AJ2" s="56"/>
      <c r="AK2" s="4"/>
      <c r="AL2" s="56"/>
      <c r="AM2" s="4"/>
    </row>
    <row r="3">
      <c r="A3" s="4"/>
      <c r="B3" s="57"/>
      <c r="C3" s="58" t="s">
        <v>121</v>
      </c>
      <c r="D3" s="57"/>
      <c r="E3" s="59"/>
      <c r="F3" s="60"/>
      <c r="G3" s="60"/>
      <c r="H3" s="60"/>
      <c r="I3" s="61"/>
      <c r="J3" s="61"/>
      <c r="K3" s="50"/>
      <c r="L3" s="62"/>
      <c r="M3" s="62"/>
      <c r="N3" s="62"/>
      <c r="O3" s="62"/>
      <c r="P3" s="53"/>
      <c r="Q3" s="58" t="s">
        <v>121</v>
      </c>
      <c r="R3" s="63"/>
      <c r="S3" s="63"/>
      <c r="T3" s="63"/>
      <c r="U3" s="53"/>
      <c r="V3" s="64" t="s">
        <v>122</v>
      </c>
      <c r="W3" s="65"/>
      <c r="X3" s="53"/>
      <c r="Y3" s="66" t="s">
        <v>121</v>
      </c>
      <c r="Z3" s="67"/>
      <c r="AA3" s="67"/>
      <c r="AB3" s="67"/>
      <c r="AC3" s="68"/>
      <c r="AD3" s="68"/>
      <c r="AE3" s="68"/>
      <c r="AF3" s="4"/>
      <c r="AG3" s="69" t="s">
        <v>123</v>
      </c>
      <c r="AH3" s="67"/>
      <c r="AI3" s="70"/>
      <c r="AJ3" s="71"/>
      <c r="AK3" s="4"/>
      <c r="AL3" s="71"/>
      <c r="AM3" s="4"/>
    </row>
    <row r="4">
      <c r="A4" s="4"/>
      <c r="B4" s="72" t="s">
        <v>124</v>
      </c>
      <c r="C4" s="72" t="s">
        <v>125</v>
      </c>
      <c r="D4" s="72" t="s">
        <v>126</v>
      </c>
      <c r="E4" s="73" t="s">
        <v>127</v>
      </c>
      <c r="F4" s="74"/>
      <c r="G4" s="75" t="s">
        <v>128</v>
      </c>
      <c r="H4" s="75" t="s">
        <v>129</v>
      </c>
      <c r="I4" s="76" t="s">
        <v>61</v>
      </c>
      <c r="J4" s="76" t="s">
        <v>58</v>
      </c>
      <c r="K4" s="50"/>
      <c r="L4" s="76" t="s">
        <v>61</v>
      </c>
      <c r="M4" s="76" t="s">
        <v>58</v>
      </c>
      <c r="N4" s="76" t="s">
        <v>61</v>
      </c>
      <c r="O4" s="76" t="s">
        <v>58</v>
      </c>
      <c r="P4" s="53"/>
      <c r="Q4" s="77"/>
      <c r="R4" s="78"/>
      <c r="S4" s="79" t="s">
        <v>130</v>
      </c>
      <c r="T4" s="79" t="s">
        <v>131</v>
      </c>
      <c r="U4" s="53"/>
      <c r="V4" s="80" t="s">
        <v>132</v>
      </c>
      <c r="W4" s="81" t="s">
        <v>133</v>
      </c>
      <c r="X4" s="53"/>
      <c r="Y4" s="82" t="s">
        <v>134</v>
      </c>
      <c r="Z4" s="83" t="s">
        <v>135</v>
      </c>
      <c r="AA4" s="83" t="s">
        <v>136</v>
      </c>
      <c r="AB4" s="83" t="s">
        <v>137</v>
      </c>
      <c r="AC4" s="83" t="s">
        <v>138</v>
      </c>
      <c r="AD4" s="83" t="s">
        <v>139</v>
      </c>
      <c r="AE4" s="83" t="s">
        <v>140</v>
      </c>
      <c r="AF4" s="84"/>
      <c r="AG4" s="85" t="s">
        <v>141</v>
      </c>
      <c r="AH4" s="83" t="s">
        <v>142</v>
      </c>
      <c r="AI4" s="86" t="s">
        <v>143</v>
      </c>
      <c r="AJ4" s="83" t="s">
        <v>144</v>
      </c>
      <c r="AK4" s="4"/>
      <c r="AL4" s="86" t="s">
        <v>144</v>
      </c>
      <c r="AM4" s="4"/>
    </row>
    <row r="5">
      <c r="A5" s="4"/>
      <c r="B5" s="4"/>
      <c r="C5" s="4"/>
      <c r="D5" s="4"/>
      <c r="E5" s="87" t="s">
        <v>145</v>
      </c>
      <c r="F5" s="88"/>
      <c r="G5" s="89">
        <v>3500.0</v>
      </c>
      <c r="H5" s="90">
        <v>11.0</v>
      </c>
      <c r="I5" s="91">
        <f t="shared" ref="I5:I7" si="3">G5*H5</f>
        <v>38500</v>
      </c>
      <c r="J5" s="91">
        <f t="shared" ref="J5:J7" si="4">G5*H5</f>
        <v>38500</v>
      </c>
      <c r="K5" s="50"/>
      <c r="L5" s="91">
        <f t="shared" ref="L5:M5" si="1">I5/0.7</f>
        <v>55000</v>
      </c>
      <c r="M5" s="91">
        <f t="shared" si="1"/>
        <v>55000</v>
      </c>
      <c r="N5" s="92">
        <f t="shared" ref="N5:O5" si="2">L5/$H$95</f>
        <v>14.47368421</v>
      </c>
      <c r="O5" s="92">
        <f t="shared" si="2"/>
        <v>14.47368421</v>
      </c>
      <c r="P5" s="50"/>
      <c r="Q5" s="93"/>
      <c r="R5" s="93"/>
      <c r="S5" s="93"/>
      <c r="T5" s="93"/>
      <c r="U5" s="53"/>
      <c r="V5" s="94"/>
      <c r="W5" s="95"/>
      <c r="X5" s="53"/>
      <c r="Y5" s="96"/>
      <c r="Z5" s="97"/>
      <c r="AA5" s="96"/>
      <c r="AB5" s="97"/>
      <c r="AC5" s="98"/>
      <c r="AD5" s="98"/>
      <c r="AE5" s="98"/>
      <c r="AF5" s="4"/>
      <c r="AG5" s="99"/>
      <c r="AH5" s="100"/>
      <c r="AI5" s="100"/>
      <c r="AJ5" s="100"/>
      <c r="AK5" s="4"/>
      <c r="AL5" s="100"/>
      <c r="AM5" s="4"/>
    </row>
    <row r="6">
      <c r="A6" s="4"/>
      <c r="B6" s="4"/>
      <c r="C6" s="4"/>
      <c r="D6" s="4"/>
      <c r="E6" s="87" t="s">
        <v>146</v>
      </c>
      <c r="F6" s="88"/>
      <c r="G6" s="89">
        <v>6000.0</v>
      </c>
      <c r="H6" s="90">
        <v>1.0</v>
      </c>
      <c r="I6" s="91">
        <f t="shared" si="3"/>
        <v>6000</v>
      </c>
      <c r="J6" s="91">
        <f t="shared" si="4"/>
        <v>6000</v>
      </c>
      <c r="K6" s="50"/>
      <c r="L6" s="91">
        <f t="shared" ref="L6:M6" si="5">I6/0.6</f>
        <v>10000</v>
      </c>
      <c r="M6" s="91">
        <f t="shared" si="5"/>
        <v>10000</v>
      </c>
      <c r="N6" s="92">
        <f t="shared" ref="N6:O6" si="6">L6/$H$95</f>
        <v>2.631578947</v>
      </c>
      <c r="O6" s="92">
        <f t="shared" si="6"/>
        <v>2.631578947</v>
      </c>
      <c r="P6" s="50"/>
      <c r="Q6" s="53"/>
      <c r="R6" s="94"/>
      <c r="S6" s="95"/>
      <c r="T6" s="53"/>
      <c r="U6" s="53"/>
      <c r="V6" s="101"/>
      <c r="W6" s="102"/>
      <c r="X6" s="53"/>
      <c r="Y6" s="103"/>
      <c r="Z6" s="104"/>
      <c r="AA6" s="103"/>
      <c r="AB6" s="52"/>
      <c r="AC6" s="105"/>
      <c r="AD6" s="106"/>
      <c r="AE6" s="100"/>
      <c r="AF6" s="4"/>
      <c r="AG6" s="4"/>
      <c r="AH6" s="4"/>
      <c r="AI6" s="100"/>
      <c r="AJ6" s="4"/>
      <c r="AK6" s="4"/>
      <c r="AL6" s="4"/>
      <c r="AM6" s="4"/>
    </row>
    <row r="7">
      <c r="A7" s="4"/>
      <c r="B7" s="4"/>
      <c r="C7" s="4"/>
      <c r="D7" s="4"/>
      <c r="E7" s="87" t="s">
        <v>147</v>
      </c>
      <c r="F7" s="88"/>
      <c r="G7" s="89">
        <v>12000.0</v>
      </c>
      <c r="H7" s="90">
        <v>1.0</v>
      </c>
      <c r="I7" s="91">
        <f t="shared" si="3"/>
        <v>12000</v>
      </c>
      <c r="J7" s="91">
        <f t="shared" si="4"/>
        <v>12000</v>
      </c>
      <c r="K7" s="50"/>
      <c r="L7" s="91">
        <f t="shared" ref="L7:M7" si="7">I7/0.6</f>
        <v>20000</v>
      </c>
      <c r="M7" s="91">
        <f t="shared" si="7"/>
        <v>20000</v>
      </c>
      <c r="N7" s="92">
        <f t="shared" ref="N7:O7" si="8">L7/$H$95</f>
        <v>5.263157895</v>
      </c>
      <c r="O7" s="92">
        <f t="shared" si="8"/>
        <v>5.263157895</v>
      </c>
      <c r="P7" s="50"/>
      <c r="Q7" s="53"/>
      <c r="R7" s="94"/>
      <c r="S7" s="95"/>
      <c r="T7" s="53"/>
      <c r="U7" s="53"/>
      <c r="V7" s="101"/>
      <c r="W7" s="102"/>
      <c r="X7" s="53"/>
      <c r="Y7" s="103"/>
      <c r="Z7" s="104"/>
      <c r="AA7" s="103"/>
      <c r="AB7" s="52"/>
      <c r="AC7" s="105"/>
      <c r="AD7" s="106"/>
      <c r="AE7" s="100"/>
      <c r="AF7" s="4"/>
      <c r="AG7" s="4"/>
      <c r="AH7" s="4"/>
      <c r="AI7" s="100"/>
      <c r="AJ7" s="4"/>
      <c r="AK7" s="4"/>
      <c r="AL7" s="4"/>
      <c r="AM7" s="4"/>
    </row>
    <row r="8">
      <c r="A8" s="4"/>
      <c r="B8" s="4"/>
      <c r="C8" s="4"/>
      <c r="D8" s="4"/>
      <c r="E8" s="87" t="s">
        <v>148</v>
      </c>
      <c r="F8" s="88"/>
      <c r="G8" s="89">
        <v>151000.0</v>
      </c>
      <c r="H8" s="90">
        <v>2.0</v>
      </c>
      <c r="I8" s="91">
        <f>G8*H8/2</f>
        <v>151000</v>
      </c>
      <c r="J8" s="91">
        <f>G8*H8/2</f>
        <v>151000</v>
      </c>
      <c r="K8" s="50"/>
      <c r="L8" s="91">
        <f t="shared" ref="L8:M8" si="9">I8/0.95</f>
        <v>158947.3684</v>
      </c>
      <c r="M8" s="91">
        <f t="shared" si="9"/>
        <v>158947.3684</v>
      </c>
      <c r="N8" s="92">
        <f t="shared" ref="N8:O8" si="10">L8/$H$95</f>
        <v>41.82825485</v>
      </c>
      <c r="O8" s="92">
        <f t="shared" si="10"/>
        <v>41.82825485</v>
      </c>
      <c r="P8" s="50"/>
      <c r="Q8" s="53"/>
      <c r="R8" s="94"/>
      <c r="S8" s="95"/>
      <c r="T8" s="53"/>
      <c r="U8" s="53"/>
      <c r="V8" s="101"/>
      <c r="W8" s="102"/>
      <c r="X8" s="53"/>
      <c r="Y8" s="103"/>
      <c r="Z8" s="104"/>
      <c r="AA8" s="103"/>
      <c r="AB8" s="52"/>
      <c r="AC8" s="105"/>
      <c r="AD8" s="106"/>
      <c r="AE8" s="100"/>
      <c r="AF8" s="4"/>
      <c r="AG8" s="4"/>
      <c r="AH8" s="4"/>
      <c r="AI8" s="100"/>
      <c r="AJ8" s="4"/>
      <c r="AK8" s="4"/>
      <c r="AL8" s="4"/>
      <c r="AM8" s="4"/>
    </row>
    <row r="9">
      <c r="A9" s="4"/>
      <c r="B9" s="4"/>
      <c r="C9" s="4"/>
      <c r="D9" s="4"/>
      <c r="E9" s="107" t="s">
        <v>149</v>
      </c>
      <c r="F9" s="108"/>
      <c r="G9" s="109"/>
      <c r="H9" s="110"/>
      <c r="I9" s="111">
        <v>1450000.0</v>
      </c>
      <c r="J9" s="111">
        <v>1400000.0</v>
      </c>
      <c r="K9" s="50"/>
      <c r="L9" s="112"/>
      <c r="M9" s="112"/>
      <c r="N9" s="113">
        <v>450.0</v>
      </c>
      <c r="O9" s="113">
        <v>450.0</v>
      </c>
      <c r="P9" s="50"/>
      <c r="Q9" s="53"/>
      <c r="R9" s="94"/>
      <c r="S9" s="95"/>
      <c r="T9" s="53"/>
      <c r="U9" s="53"/>
      <c r="V9" s="104"/>
      <c r="W9" s="104"/>
      <c r="X9" s="53"/>
      <c r="Y9" s="103"/>
      <c r="Z9" s="104"/>
      <c r="AA9" s="103"/>
      <c r="AB9" s="52"/>
      <c r="AC9" s="105"/>
      <c r="AD9" s="106"/>
      <c r="AE9" s="100"/>
      <c r="AF9" s="100"/>
      <c r="AG9" s="4"/>
      <c r="AH9" s="4"/>
      <c r="AI9" s="100"/>
      <c r="AJ9" s="4"/>
      <c r="AK9" s="4"/>
      <c r="AL9" s="4"/>
      <c r="AM9" s="4"/>
    </row>
    <row r="10">
      <c r="A10" s="4"/>
      <c r="B10" s="114"/>
      <c r="C10" s="4"/>
      <c r="D10" s="115"/>
      <c r="E10" s="116" t="s">
        <v>150</v>
      </c>
      <c r="F10" s="117"/>
      <c r="G10" s="118"/>
      <c r="H10" s="119"/>
      <c r="I10" s="120"/>
      <c r="J10" s="121"/>
      <c r="K10" s="122"/>
      <c r="L10" s="123"/>
      <c r="M10" s="123"/>
      <c r="N10" s="123"/>
      <c r="O10" s="123"/>
      <c r="P10" s="50"/>
      <c r="Q10" s="53"/>
      <c r="R10" s="94"/>
      <c r="S10" s="95"/>
      <c r="T10" s="53"/>
      <c r="U10" s="53"/>
      <c r="V10" s="104"/>
      <c r="W10" s="104"/>
      <c r="X10" s="53"/>
      <c r="Y10" s="103"/>
      <c r="Z10" s="104"/>
      <c r="AA10" s="105"/>
      <c r="AB10" s="50"/>
      <c r="AC10" s="105"/>
      <c r="AD10" s="106"/>
      <c r="AE10" s="100"/>
      <c r="AF10" s="100"/>
      <c r="AG10" s="4"/>
      <c r="AH10" s="4"/>
      <c r="AI10" s="100"/>
      <c r="AJ10" s="4"/>
      <c r="AK10" s="4"/>
      <c r="AL10" s="4"/>
      <c r="AM10" s="4"/>
    </row>
    <row r="11">
      <c r="A11" s="4"/>
      <c r="B11" s="114" t="s">
        <v>151</v>
      </c>
      <c r="C11" s="4"/>
      <c r="D11" s="115" t="s">
        <v>58</v>
      </c>
      <c r="E11" s="124" t="s">
        <v>152</v>
      </c>
      <c r="F11" s="125"/>
      <c r="G11" s="126"/>
      <c r="H11" s="127"/>
      <c r="I11" s="128" t="s">
        <v>153</v>
      </c>
      <c r="J11" s="129"/>
      <c r="K11" s="50"/>
      <c r="L11" s="130"/>
      <c r="M11" s="130"/>
      <c r="N11" s="130"/>
      <c r="O11" s="130"/>
      <c r="P11" s="50"/>
      <c r="Q11" s="53"/>
      <c r="R11" s="94"/>
      <c r="S11" s="95"/>
      <c r="T11" s="53"/>
      <c r="U11" s="53"/>
      <c r="V11" s="104"/>
      <c r="W11" s="104"/>
      <c r="X11" s="53"/>
      <c r="Y11" s="103"/>
      <c r="Z11" s="104"/>
      <c r="AA11" s="105"/>
      <c r="AB11" s="50"/>
      <c r="AC11" s="105"/>
      <c r="AD11" s="106"/>
      <c r="AE11" s="100"/>
      <c r="AF11" s="100"/>
      <c r="AG11" s="4"/>
      <c r="AH11" s="4"/>
      <c r="AI11" s="100"/>
      <c r="AJ11" s="4"/>
      <c r="AK11" s="4"/>
      <c r="AL11" s="4"/>
      <c r="AM11" s="4"/>
    </row>
    <row r="12">
      <c r="A12" s="4"/>
      <c r="B12" s="114" t="s">
        <v>151</v>
      </c>
      <c r="C12" s="4"/>
      <c r="D12" s="115" t="s">
        <v>58</v>
      </c>
      <c r="E12" s="124" t="s">
        <v>154</v>
      </c>
      <c r="F12" s="131"/>
      <c r="G12" s="126"/>
      <c r="H12" s="127"/>
      <c r="I12" s="126"/>
      <c r="J12" s="126"/>
      <c r="K12" s="50"/>
      <c r="L12" s="132"/>
      <c r="M12" s="130"/>
      <c r="N12" s="126"/>
      <c r="O12" s="130"/>
      <c r="P12" s="50"/>
      <c r="Q12" s="53"/>
      <c r="R12" s="94"/>
      <c r="S12" s="95"/>
      <c r="T12" s="53"/>
      <c r="U12" s="53"/>
      <c r="V12" s="104"/>
      <c r="W12" s="104"/>
      <c r="X12" s="53"/>
      <c r="Y12" s="103"/>
      <c r="Z12" s="104"/>
      <c r="AA12" s="105"/>
      <c r="AB12" s="50"/>
      <c r="AC12" s="105"/>
      <c r="AD12" s="106"/>
      <c r="AE12" s="100"/>
      <c r="AF12" s="100"/>
      <c r="AG12" s="4"/>
      <c r="AH12" s="4"/>
      <c r="AI12" s="100"/>
      <c r="AJ12" s="4"/>
      <c r="AK12" s="4"/>
      <c r="AL12" s="4"/>
      <c r="AM12" s="4"/>
    </row>
    <row r="13">
      <c r="A13" s="4"/>
      <c r="B13" s="114" t="s">
        <v>151</v>
      </c>
      <c r="C13" s="4"/>
      <c r="D13" s="115" t="s">
        <v>155</v>
      </c>
      <c r="E13" s="124" t="s">
        <v>78</v>
      </c>
      <c r="F13" s="131"/>
      <c r="G13" s="126"/>
      <c r="H13" s="127"/>
      <c r="I13" s="129"/>
      <c r="J13" s="128" t="s">
        <v>153</v>
      </c>
      <c r="K13" s="50"/>
      <c r="L13" s="132"/>
      <c r="M13" s="130"/>
      <c r="N13" s="126"/>
      <c r="O13" s="130"/>
      <c r="P13" s="50"/>
      <c r="Q13" s="53"/>
      <c r="R13" s="94"/>
      <c r="S13" s="95"/>
      <c r="T13" s="53"/>
      <c r="U13" s="53"/>
      <c r="V13" s="104"/>
      <c r="W13" s="104"/>
      <c r="X13" s="53"/>
      <c r="Y13" s="103"/>
      <c r="Z13" s="104"/>
      <c r="AA13" s="105"/>
      <c r="AB13" s="50"/>
      <c r="AC13" s="105"/>
      <c r="AD13" s="106"/>
      <c r="AE13" s="100"/>
      <c r="AF13" s="100"/>
      <c r="AG13" s="4"/>
      <c r="AH13" s="4"/>
      <c r="AI13" s="100"/>
      <c r="AJ13" s="4"/>
      <c r="AK13" s="4"/>
      <c r="AL13" s="4"/>
      <c r="AM13" s="4"/>
    </row>
    <row r="14">
      <c r="A14" s="4"/>
      <c r="B14" s="114" t="s">
        <v>151</v>
      </c>
      <c r="C14" s="4"/>
      <c r="D14" s="115" t="s">
        <v>58</v>
      </c>
      <c r="E14" s="124" t="s">
        <v>156</v>
      </c>
      <c r="F14" s="131"/>
      <c r="G14" s="126"/>
      <c r="H14" s="127"/>
      <c r="I14" s="126"/>
      <c r="J14" s="126"/>
      <c r="K14" s="50"/>
      <c r="L14" s="132"/>
      <c r="M14" s="130"/>
      <c r="N14" s="126"/>
      <c r="O14" s="130"/>
      <c r="P14" s="50"/>
      <c r="Q14" s="53"/>
      <c r="R14" s="94"/>
      <c r="S14" s="95"/>
      <c r="T14" s="53"/>
      <c r="U14" s="53"/>
      <c r="V14" s="104"/>
      <c r="W14" s="104"/>
      <c r="X14" s="53"/>
      <c r="Y14" s="103"/>
      <c r="Z14" s="104"/>
      <c r="AA14" s="105"/>
      <c r="AB14" s="50"/>
      <c r="AC14" s="105"/>
      <c r="AD14" s="106"/>
      <c r="AE14" s="100"/>
      <c r="AF14" s="100"/>
      <c r="AG14" s="4"/>
      <c r="AH14" s="4"/>
      <c r="AI14" s="100"/>
      <c r="AJ14" s="4"/>
      <c r="AK14" s="4"/>
      <c r="AL14" s="4"/>
      <c r="AM14" s="4"/>
    </row>
    <row r="15">
      <c r="A15" s="4"/>
      <c r="B15" s="114" t="s">
        <v>151</v>
      </c>
      <c r="C15" s="4"/>
      <c r="D15" s="115" t="s">
        <v>58</v>
      </c>
      <c r="E15" s="124" t="s">
        <v>157</v>
      </c>
      <c r="F15" s="131"/>
      <c r="G15" s="126"/>
      <c r="H15" s="127"/>
      <c r="I15" s="126"/>
      <c r="J15" s="126"/>
      <c r="K15" s="50"/>
      <c r="L15" s="132"/>
      <c r="M15" s="130"/>
      <c r="N15" s="126"/>
      <c r="O15" s="130"/>
      <c r="P15" s="50"/>
      <c r="Q15" s="53"/>
      <c r="R15" s="94"/>
      <c r="S15" s="95"/>
      <c r="T15" s="53"/>
      <c r="U15" s="53"/>
      <c r="V15" s="104"/>
      <c r="W15" s="104"/>
      <c r="X15" s="53"/>
      <c r="Y15" s="103"/>
      <c r="Z15" s="104"/>
      <c r="AA15" s="105"/>
      <c r="AB15" s="50"/>
      <c r="AC15" s="105"/>
      <c r="AD15" s="106"/>
      <c r="AE15" s="100"/>
      <c r="AF15" s="100"/>
      <c r="AG15" s="4"/>
      <c r="AH15" s="4"/>
      <c r="AI15" s="100"/>
      <c r="AJ15" s="4"/>
      <c r="AK15" s="4"/>
      <c r="AL15" s="4"/>
      <c r="AM15" s="4"/>
    </row>
    <row r="16">
      <c r="A16" s="4"/>
      <c r="B16" s="114" t="s">
        <v>151</v>
      </c>
      <c r="C16" s="4"/>
      <c r="D16" s="115" t="s">
        <v>58</v>
      </c>
      <c r="E16" s="133" t="s">
        <v>158</v>
      </c>
      <c r="F16" s="134"/>
      <c r="G16" s="135"/>
      <c r="H16" s="134"/>
      <c r="I16" s="135"/>
      <c r="J16" s="135"/>
      <c r="K16" s="50"/>
      <c r="L16" s="136"/>
      <c r="M16" s="136"/>
      <c r="N16" s="136"/>
      <c r="O16" s="136"/>
      <c r="P16" s="50"/>
      <c r="Q16" s="53"/>
      <c r="R16" s="94"/>
      <c r="S16" s="95"/>
      <c r="T16" s="53"/>
      <c r="U16" s="53"/>
      <c r="V16" s="104"/>
      <c r="W16" s="104"/>
      <c r="X16" s="53"/>
      <c r="Y16" s="103"/>
      <c r="Z16" s="104"/>
      <c r="AA16" s="105"/>
      <c r="AB16" s="50"/>
      <c r="AC16" s="105"/>
      <c r="AD16" s="106"/>
      <c r="AE16" s="100"/>
      <c r="AF16" s="100"/>
      <c r="AG16" s="4"/>
      <c r="AH16" s="4"/>
      <c r="AI16" s="100"/>
      <c r="AJ16" s="4"/>
      <c r="AK16" s="4"/>
      <c r="AL16" s="4"/>
      <c r="AM16" s="4"/>
    </row>
    <row r="17">
      <c r="A17" s="4"/>
      <c r="B17" s="114" t="s">
        <v>151</v>
      </c>
      <c r="C17" s="4"/>
      <c r="D17" s="115" t="s">
        <v>58</v>
      </c>
      <c r="E17" s="124" t="s">
        <v>159</v>
      </c>
      <c r="F17" s="131"/>
      <c r="G17" s="126"/>
      <c r="H17" s="127"/>
      <c r="I17" s="126"/>
      <c r="J17" s="126"/>
      <c r="K17" s="50"/>
      <c r="L17" s="132"/>
      <c r="M17" s="130"/>
      <c r="N17" s="126"/>
      <c r="O17" s="130"/>
      <c r="P17" s="50"/>
      <c r="Q17" s="53"/>
      <c r="R17" s="94"/>
      <c r="S17" s="95"/>
      <c r="T17" s="53"/>
      <c r="U17" s="53"/>
      <c r="V17" s="104"/>
      <c r="W17" s="104"/>
      <c r="X17" s="53"/>
      <c r="Y17" s="103"/>
      <c r="Z17" s="104"/>
      <c r="AA17" s="105"/>
      <c r="AB17" s="50"/>
      <c r="AC17" s="105"/>
      <c r="AD17" s="106"/>
      <c r="AE17" s="100"/>
      <c r="AF17" s="100"/>
      <c r="AG17" s="4"/>
      <c r="AH17" s="4"/>
      <c r="AI17" s="100"/>
      <c r="AJ17" s="4"/>
      <c r="AK17" s="4"/>
      <c r="AL17" s="4"/>
      <c r="AM17" s="4"/>
    </row>
    <row r="18">
      <c r="A18" s="4"/>
      <c r="B18" s="114" t="s">
        <v>151</v>
      </c>
      <c r="C18" s="4"/>
      <c r="D18" s="115" t="s">
        <v>58</v>
      </c>
      <c r="E18" s="124" t="s">
        <v>160</v>
      </c>
      <c r="F18" s="131"/>
      <c r="G18" s="126"/>
      <c r="H18" s="127"/>
      <c r="I18" s="126"/>
      <c r="J18" s="126"/>
      <c r="K18" s="50"/>
      <c r="L18" s="132"/>
      <c r="M18" s="130"/>
      <c r="N18" s="126"/>
      <c r="O18" s="130"/>
      <c r="P18" s="50"/>
      <c r="Q18" s="53"/>
      <c r="R18" s="94"/>
      <c r="S18" s="95"/>
      <c r="T18" s="53"/>
      <c r="U18" s="53"/>
      <c r="V18" s="104"/>
      <c r="W18" s="104"/>
      <c r="X18" s="53"/>
      <c r="Y18" s="103"/>
      <c r="Z18" s="104"/>
      <c r="AA18" s="105"/>
      <c r="AB18" s="50"/>
      <c r="AC18" s="105"/>
      <c r="AD18" s="106"/>
      <c r="AE18" s="100"/>
      <c r="AF18" s="100"/>
      <c r="AG18" s="4"/>
      <c r="AH18" s="4"/>
      <c r="AI18" s="100"/>
      <c r="AJ18" s="4"/>
      <c r="AK18" s="4"/>
      <c r="AL18" s="4"/>
      <c r="AM18" s="4"/>
    </row>
    <row r="19">
      <c r="A19" s="4"/>
      <c r="B19" s="114" t="s">
        <v>151</v>
      </c>
      <c r="C19" s="4"/>
      <c r="D19" s="115" t="s">
        <v>58</v>
      </c>
      <c r="E19" s="124" t="s">
        <v>161</v>
      </c>
      <c r="F19" s="131"/>
      <c r="G19" s="126"/>
      <c r="H19" s="127"/>
      <c r="I19" s="126"/>
      <c r="J19" s="126"/>
      <c r="K19" s="50"/>
      <c r="L19" s="132"/>
      <c r="M19" s="130"/>
      <c r="N19" s="126"/>
      <c r="O19" s="130"/>
      <c r="P19" s="50"/>
      <c r="Q19" s="53"/>
      <c r="R19" s="94"/>
      <c r="S19" s="95"/>
      <c r="T19" s="53"/>
      <c r="U19" s="53"/>
      <c r="V19" s="104"/>
      <c r="W19" s="104"/>
      <c r="X19" s="53"/>
      <c r="Y19" s="103"/>
      <c r="Z19" s="104"/>
      <c r="AA19" s="105"/>
      <c r="AB19" s="50"/>
      <c r="AC19" s="105"/>
      <c r="AD19" s="106"/>
      <c r="AE19" s="100"/>
      <c r="AF19" s="100"/>
      <c r="AG19" s="4"/>
      <c r="AH19" s="4"/>
      <c r="AI19" s="100"/>
      <c r="AJ19" s="4"/>
      <c r="AK19" s="4"/>
      <c r="AL19" s="4"/>
      <c r="AM19" s="4"/>
    </row>
    <row r="20">
      <c r="A20" s="4"/>
      <c r="B20" s="114" t="s">
        <v>151</v>
      </c>
      <c r="C20" s="4"/>
      <c r="D20" s="115" t="s">
        <v>58</v>
      </c>
      <c r="E20" s="124" t="s">
        <v>162</v>
      </c>
      <c r="F20" s="131"/>
      <c r="G20" s="126"/>
      <c r="H20" s="127"/>
      <c r="I20" s="126"/>
      <c r="J20" s="126"/>
      <c r="K20" s="50"/>
      <c r="L20" s="132"/>
      <c r="M20" s="130"/>
      <c r="N20" s="126"/>
      <c r="O20" s="130"/>
      <c r="P20" s="50"/>
      <c r="Q20" s="53"/>
      <c r="R20" s="94"/>
      <c r="S20" s="95"/>
      <c r="T20" s="53"/>
      <c r="U20" s="53"/>
      <c r="V20" s="104"/>
      <c r="W20" s="104"/>
      <c r="X20" s="53"/>
      <c r="Y20" s="103"/>
      <c r="Z20" s="104"/>
      <c r="AA20" s="105"/>
      <c r="AB20" s="50"/>
      <c r="AC20" s="105"/>
      <c r="AD20" s="106"/>
      <c r="AE20" s="100"/>
      <c r="AF20" s="100"/>
      <c r="AG20" s="4"/>
      <c r="AH20" s="4"/>
      <c r="AI20" s="100"/>
      <c r="AJ20" s="4"/>
      <c r="AK20" s="4"/>
      <c r="AL20" s="4"/>
      <c r="AM20" s="4"/>
    </row>
    <row r="21">
      <c r="A21" s="4"/>
      <c r="B21" s="114" t="s">
        <v>151</v>
      </c>
      <c r="C21" s="4"/>
      <c r="D21" s="115" t="s">
        <v>58</v>
      </c>
      <c r="E21" s="133" t="s">
        <v>163</v>
      </c>
      <c r="F21" s="134"/>
      <c r="G21" s="135"/>
      <c r="H21" s="134"/>
      <c r="I21" s="135"/>
      <c r="J21" s="135"/>
      <c r="K21" s="50"/>
      <c r="L21" s="136"/>
      <c r="M21" s="136"/>
      <c r="N21" s="136"/>
      <c r="O21" s="136"/>
      <c r="P21" s="50"/>
      <c r="Q21" s="53"/>
      <c r="R21" s="94"/>
      <c r="S21" s="95"/>
      <c r="T21" s="53"/>
      <c r="U21" s="53"/>
      <c r="V21" s="104"/>
      <c r="W21" s="104"/>
      <c r="X21" s="53"/>
      <c r="Y21" s="103"/>
      <c r="Z21" s="104"/>
      <c r="AA21" s="105"/>
      <c r="AB21" s="50"/>
      <c r="AC21" s="105"/>
      <c r="AD21" s="106"/>
      <c r="AE21" s="100"/>
      <c r="AF21" s="100"/>
      <c r="AG21" s="4"/>
      <c r="AH21" s="4"/>
      <c r="AI21" s="100"/>
      <c r="AJ21" s="4"/>
      <c r="AK21" s="4"/>
      <c r="AL21" s="4"/>
      <c r="AM21" s="4"/>
    </row>
    <row r="22">
      <c r="A22" s="4"/>
      <c r="B22" s="114" t="s">
        <v>151</v>
      </c>
      <c r="C22" s="4"/>
      <c r="D22" s="115" t="s">
        <v>58</v>
      </c>
      <c r="E22" s="124" t="s">
        <v>164</v>
      </c>
      <c r="F22" s="131"/>
      <c r="G22" s="126"/>
      <c r="H22" s="127"/>
      <c r="I22" s="126"/>
      <c r="J22" s="126"/>
      <c r="K22" s="50"/>
      <c r="L22" s="132"/>
      <c r="M22" s="130"/>
      <c r="N22" s="126"/>
      <c r="O22" s="130"/>
      <c r="P22" s="50"/>
      <c r="Q22" s="53"/>
      <c r="R22" s="94"/>
      <c r="S22" s="95"/>
      <c r="T22" s="53"/>
      <c r="U22" s="53"/>
      <c r="V22" s="104"/>
      <c r="W22" s="104"/>
      <c r="X22" s="53"/>
      <c r="Y22" s="103"/>
      <c r="Z22" s="104"/>
      <c r="AA22" s="105"/>
      <c r="AB22" s="50"/>
      <c r="AC22" s="105"/>
      <c r="AD22" s="106"/>
      <c r="AE22" s="100"/>
      <c r="AF22" s="100"/>
      <c r="AG22" s="4"/>
      <c r="AH22" s="4"/>
      <c r="AI22" s="100"/>
      <c r="AJ22" s="4"/>
      <c r="AK22" s="4"/>
      <c r="AL22" s="4"/>
      <c r="AM22" s="4"/>
    </row>
    <row r="23">
      <c r="A23" s="4"/>
      <c r="B23" s="114" t="s">
        <v>151</v>
      </c>
      <c r="C23" s="4"/>
      <c r="D23" s="115" t="s">
        <v>58</v>
      </c>
      <c r="E23" s="124" t="s">
        <v>165</v>
      </c>
      <c r="F23" s="131"/>
      <c r="G23" s="126"/>
      <c r="H23" s="127"/>
      <c r="I23" s="126"/>
      <c r="J23" s="126"/>
      <c r="K23" s="50"/>
      <c r="L23" s="132"/>
      <c r="M23" s="130"/>
      <c r="N23" s="126"/>
      <c r="O23" s="130"/>
      <c r="P23" s="50"/>
      <c r="Q23" s="53"/>
      <c r="R23" s="94"/>
      <c r="S23" s="95"/>
      <c r="T23" s="53"/>
      <c r="U23" s="53"/>
      <c r="V23" s="104"/>
      <c r="W23" s="104"/>
      <c r="X23" s="53"/>
      <c r="Y23" s="103"/>
      <c r="Z23" s="104"/>
      <c r="AA23" s="105"/>
      <c r="AB23" s="50"/>
      <c r="AC23" s="105"/>
      <c r="AD23" s="106"/>
      <c r="AE23" s="100"/>
      <c r="AF23" s="100"/>
      <c r="AG23" s="4"/>
      <c r="AH23" s="4"/>
      <c r="AI23" s="100"/>
      <c r="AJ23" s="4"/>
      <c r="AK23" s="4"/>
      <c r="AL23" s="4"/>
      <c r="AM23" s="4"/>
    </row>
    <row r="24">
      <c r="A24" s="4"/>
      <c r="B24" s="114" t="s">
        <v>151</v>
      </c>
      <c r="C24" s="4"/>
      <c r="D24" s="115" t="s">
        <v>58</v>
      </c>
      <c r="E24" s="124" t="s">
        <v>166</v>
      </c>
      <c r="F24" s="131"/>
      <c r="G24" s="126"/>
      <c r="H24" s="127"/>
      <c r="I24" s="126"/>
      <c r="J24" s="126"/>
      <c r="K24" s="50"/>
      <c r="L24" s="132"/>
      <c r="M24" s="130"/>
      <c r="N24" s="126"/>
      <c r="O24" s="130"/>
      <c r="P24" s="50"/>
      <c r="Q24" s="53"/>
      <c r="R24" s="94"/>
      <c r="S24" s="95"/>
      <c r="T24" s="53"/>
      <c r="U24" s="53"/>
      <c r="V24" s="104"/>
      <c r="W24" s="104"/>
      <c r="X24" s="53"/>
      <c r="Y24" s="103"/>
      <c r="Z24" s="104"/>
      <c r="AA24" s="105"/>
      <c r="AB24" s="50"/>
      <c r="AC24" s="105"/>
      <c r="AD24" s="106"/>
      <c r="AE24" s="100"/>
      <c r="AF24" s="100"/>
      <c r="AG24" s="4"/>
      <c r="AH24" s="4"/>
      <c r="AI24" s="100"/>
      <c r="AJ24" s="4"/>
      <c r="AK24" s="4"/>
      <c r="AL24" s="4"/>
      <c r="AM24" s="4"/>
    </row>
    <row r="25">
      <c r="A25" s="4"/>
      <c r="B25" s="114" t="s">
        <v>151</v>
      </c>
      <c r="C25" s="4"/>
      <c r="D25" s="115" t="s">
        <v>58</v>
      </c>
      <c r="E25" s="124" t="s">
        <v>167</v>
      </c>
      <c r="F25" s="131"/>
      <c r="G25" s="126"/>
      <c r="H25" s="127"/>
      <c r="I25" s="126"/>
      <c r="J25" s="126"/>
      <c r="K25" s="50"/>
      <c r="L25" s="132"/>
      <c r="M25" s="130"/>
      <c r="N25" s="126"/>
      <c r="O25" s="130"/>
      <c r="P25" s="50"/>
      <c r="Q25" s="53"/>
      <c r="R25" s="94"/>
      <c r="S25" s="95"/>
      <c r="T25" s="53"/>
      <c r="U25" s="53"/>
      <c r="V25" s="104"/>
      <c r="W25" s="104"/>
      <c r="X25" s="53"/>
      <c r="Y25" s="103"/>
      <c r="Z25" s="104"/>
      <c r="AA25" s="105"/>
      <c r="AB25" s="50"/>
      <c r="AC25" s="105"/>
      <c r="AD25" s="106"/>
      <c r="AE25" s="100"/>
      <c r="AF25" s="100"/>
      <c r="AG25" s="4"/>
      <c r="AH25" s="4"/>
      <c r="AI25" s="100"/>
      <c r="AJ25" s="4"/>
      <c r="AK25" s="4"/>
      <c r="AL25" s="4"/>
      <c r="AM25" s="4"/>
    </row>
    <row r="26">
      <c r="A26" s="4"/>
      <c r="B26" s="114" t="s">
        <v>151</v>
      </c>
      <c r="C26" s="4"/>
      <c r="D26" s="115" t="s">
        <v>58</v>
      </c>
      <c r="E26" s="133" t="s">
        <v>168</v>
      </c>
      <c r="F26" s="134"/>
      <c r="G26" s="135"/>
      <c r="H26" s="134"/>
      <c r="I26" s="135"/>
      <c r="J26" s="135"/>
      <c r="K26" s="50"/>
      <c r="L26" s="136"/>
      <c r="M26" s="136"/>
      <c r="N26" s="136"/>
      <c r="O26" s="136"/>
      <c r="P26" s="50"/>
      <c r="Q26" s="53"/>
      <c r="R26" s="94"/>
      <c r="S26" s="95"/>
      <c r="T26" s="53"/>
      <c r="U26" s="53"/>
      <c r="V26" s="104"/>
      <c r="W26" s="104"/>
      <c r="X26" s="53"/>
      <c r="Y26" s="103"/>
      <c r="Z26" s="104"/>
      <c r="AA26" s="105"/>
      <c r="AB26" s="50"/>
      <c r="AC26" s="105"/>
      <c r="AD26" s="106"/>
      <c r="AE26" s="100"/>
      <c r="AF26" s="100"/>
      <c r="AG26" s="4"/>
      <c r="AH26" s="4"/>
      <c r="AI26" s="100"/>
      <c r="AJ26" s="4"/>
      <c r="AK26" s="4"/>
      <c r="AL26" s="4"/>
      <c r="AM26" s="4"/>
    </row>
    <row r="27">
      <c r="A27" s="4"/>
      <c r="B27" s="114" t="s">
        <v>151</v>
      </c>
      <c r="C27" s="4"/>
      <c r="D27" s="115" t="s">
        <v>58</v>
      </c>
      <c r="E27" s="124" t="s">
        <v>169</v>
      </c>
      <c r="F27" s="131"/>
      <c r="G27" s="126"/>
      <c r="H27" s="127"/>
      <c r="I27" s="126"/>
      <c r="J27" s="126"/>
      <c r="K27" s="50"/>
      <c r="L27" s="132"/>
      <c r="M27" s="130"/>
      <c r="N27" s="126"/>
      <c r="O27" s="130"/>
      <c r="P27" s="50"/>
      <c r="Q27" s="53"/>
      <c r="R27" s="94"/>
      <c r="S27" s="95"/>
      <c r="T27" s="53"/>
      <c r="U27" s="53"/>
      <c r="V27" s="104"/>
      <c r="W27" s="104"/>
      <c r="X27" s="53"/>
      <c r="Y27" s="103"/>
      <c r="Z27" s="104"/>
      <c r="AA27" s="105"/>
      <c r="AB27" s="50"/>
      <c r="AC27" s="105"/>
      <c r="AD27" s="106"/>
      <c r="AE27" s="100"/>
      <c r="AF27" s="100"/>
      <c r="AG27" s="4"/>
      <c r="AH27" s="4"/>
      <c r="AI27" s="100"/>
      <c r="AJ27" s="4"/>
      <c r="AK27" s="4"/>
      <c r="AL27" s="4"/>
      <c r="AM27" s="4"/>
    </row>
    <row r="28">
      <c r="A28" s="4"/>
      <c r="B28" s="114" t="s">
        <v>151</v>
      </c>
      <c r="C28" s="4"/>
      <c r="D28" s="115" t="s">
        <v>58</v>
      </c>
      <c r="E28" s="124" t="s">
        <v>170</v>
      </c>
      <c r="F28" s="131"/>
      <c r="G28" s="126"/>
      <c r="H28" s="127"/>
      <c r="I28" s="126"/>
      <c r="J28" s="126"/>
      <c r="K28" s="50"/>
      <c r="L28" s="132"/>
      <c r="M28" s="130"/>
      <c r="N28" s="126"/>
      <c r="O28" s="130"/>
      <c r="P28" s="50"/>
      <c r="Q28" s="53"/>
      <c r="R28" s="94"/>
      <c r="S28" s="95"/>
      <c r="T28" s="53"/>
      <c r="U28" s="53"/>
      <c r="V28" s="104"/>
      <c r="W28" s="104"/>
      <c r="X28" s="53"/>
      <c r="Y28" s="103"/>
      <c r="Z28" s="104"/>
      <c r="AA28" s="105"/>
      <c r="AB28" s="50"/>
      <c r="AC28" s="105"/>
      <c r="AD28" s="106"/>
      <c r="AE28" s="100"/>
      <c r="AF28" s="100"/>
      <c r="AG28" s="4"/>
      <c r="AH28" s="4"/>
      <c r="AI28" s="100"/>
      <c r="AJ28" s="4"/>
      <c r="AK28" s="4"/>
      <c r="AL28" s="4"/>
      <c r="AM28" s="4"/>
    </row>
    <row r="29">
      <c r="A29" s="4"/>
      <c r="B29" s="114" t="s">
        <v>151</v>
      </c>
      <c r="C29" s="4"/>
      <c r="D29" s="115" t="s">
        <v>58</v>
      </c>
      <c r="E29" s="124" t="s">
        <v>171</v>
      </c>
      <c r="F29" s="131"/>
      <c r="G29" s="126"/>
      <c r="H29" s="127"/>
      <c r="I29" s="126"/>
      <c r="J29" s="126"/>
      <c r="K29" s="50"/>
      <c r="L29" s="132"/>
      <c r="M29" s="130"/>
      <c r="N29" s="126"/>
      <c r="O29" s="130"/>
      <c r="P29" s="50"/>
      <c r="Q29" s="53"/>
      <c r="R29" s="94"/>
      <c r="S29" s="95"/>
      <c r="T29" s="53"/>
      <c r="U29" s="53"/>
      <c r="V29" s="104"/>
      <c r="W29" s="104"/>
      <c r="X29" s="53"/>
      <c r="Y29" s="103"/>
      <c r="Z29" s="104"/>
      <c r="AA29" s="105"/>
      <c r="AB29" s="50"/>
      <c r="AC29" s="105"/>
      <c r="AD29" s="106"/>
      <c r="AE29" s="100"/>
      <c r="AF29" s="100"/>
      <c r="AG29" s="4"/>
      <c r="AH29" s="4"/>
      <c r="AI29" s="100"/>
      <c r="AJ29" s="4"/>
      <c r="AK29" s="4"/>
      <c r="AL29" s="4"/>
      <c r="AM29" s="4"/>
    </row>
    <row r="30">
      <c r="A30" s="4"/>
      <c r="B30" s="114" t="s">
        <v>151</v>
      </c>
      <c r="C30" s="4"/>
      <c r="D30" s="115" t="s">
        <v>58</v>
      </c>
      <c r="E30" s="133" t="s">
        <v>172</v>
      </c>
      <c r="F30" s="134"/>
      <c r="G30" s="135"/>
      <c r="H30" s="134"/>
      <c r="I30" s="135"/>
      <c r="J30" s="135"/>
      <c r="K30" s="50"/>
      <c r="L30" s="136"/>
      <c r="M30" s="136"/>
      <c r="N30" s="136"/>
      <c r="O30" s="136"/>
      <c r="P30" s="50"/>
      <c r="Q30" s="53"/>
      <c r="R30" s="94"/>
      <c r="S30" s="95"/>
      <c r="T30" s="53"/>
      <c r="U30" s="53"/>
      <c r="V30" s="104"/>
      <c r="W30" s="104"/>
      <c r="X30" s="53"/>
      <c r="Y30" s="103"/>
      <c r="Z30" s="104"/>
      <c r="AA30" s="105"/>
      <c r="AB30" s="50"/>
      <c r="AC30" s="105"/>
      <c r="AD30" s="106"/>
      <c r="AE30" s="100"/>
      <c r="AF30" s="100"/>
      <c r="AG30" s="4"/>
      <c r="AH30" s="4"/>
      <c r="AI30" s="100"/>
      <c r="AJ30" s="4"/>
      <c r="AK30" s="4"/>
      <c r="AL30" s="4"/>
      <c r="AM30" s="4"/>
    </row>
    <row r="31">
      <c r="A31" s="4"/>
      <c r="B31" s="114" t="s">
        <v>151</v>
      </c>
      <c r="C31" s="4"/>
      <c r="D31" s="115" t="s">
        <v>58</v>
      </c>
      <c r="E31" s="124" t="s">
        <v>173</v>
      </c>
      <c r="F31" s="131"/>
      <c r="G31" s="126"/>
      <c r="H31" s="127"/>
      <c r="I31" s="126"/>
      <c r="J31" s="126"/>
      <c r="K31" s="50"/>
      <c r="L31" s="132"/>
      <c r="M31" s="130"/>
      <c r="N31" s="126"/>
      <c r="O31" s="130"/>
      <c r="P31" s="50"/>
      <c r="Q31" s="53"/>
      <c r="R31" s="94"/>
      <c r="S31" s="95"/>
      <c r="T31" s="53"/>
      <c r="U31" s="53"/>
      <c r="V31" s="104"/>
      <c r="W31" s="104"/>
      <c r="X31" s="53"/>
      <c r="Y31" s="103"/>
      <c r="Z31" s="104"/>
      <c r="AA31" s="105"/>
      <c r="AB31" s="50"/>
      <c r="AC31" s="105"/>
      <c r="AD31" s="106"/>
      <c r="AE31" s="100"/>
      <c r="AF31" s="100"/>
      <c r="AG31" s="4"/>
      <c r="AH31" s="4"/>
      <c r="AI31" s="100"/>
      <c r="AJ31" s="4"/>
      <c r="AK31" s="4"/>
      <c r="AL31" s="4"/>
      <c r="AM31" s="4"/>
    </row>
    <row r="32">
      <c r="A32" s="4"/>
      <c r="B32" s="114" t="s">
        <v>151</v>
      </c>
      <c r="C32" s="4"/>
      <c r="D32" s="115" t="s">
        <v>58</v>
      </c>
      <c r="E32" s="124" t="s">
        <v>174</v>
      </c>
      <c r="F32" s="131"/>
      <c r="G32" s="126"/>
      <c r="H32" s="127"/>
      <c r="I32" s="126"/>
      <c r="J32" s="126"/>
      <c r="K32" s="50"/>
      <c r="L32" s="132"/>
      <c r="M32" s="130"/>
      <c r="N32" s="126"/>
      <c r="O32" s="130"/>
      <c r="P32" s="50"/>
      <c r="Q32" s="53"/>
      <c r="R32" s="94"/>
      <c r="S32" s="95"/>
      <c r="T32" s="53"/>
      <c r="U32" s="53"/>
      <c r="V32" s="104"/>
      <c r="W32" s="104"/>
      <c r="X32" s="53"/>
      <c r="Y32" s="103"/>
      <c r="Z32" s="104"/>
      <c r="AA32" s="105"/>
      <c r="AB32" s="50"/>
      <c r="AC32" s="105"/>
      <c r="AD32" s="106"/>
      <c r="AE32" s="100"/>
      <c r="AF32" s="100"/>
      <c r="AG32" s="4"/>
      <c r="AH32" s="4"/>
      <c r="AI32" s="100"/>
      <c r="AJ32" s="4"/>
      <c r="AK32" s="4"/>
      <c r="AL32" s="4"/>
      <c r="AM32" s="4"/>
    </row>
    <row r="33">
      <c r="A33" s="4"/>
      <c r="B33" s="114" t="s">
        <v>151</v>
      </c>
      <c r="C33" s="4"/>
      <c r="D33" s="115" t="s">
        <v>58</v>
      </c>
      <c r="E33" s="124" t="s">
        <v>175</v>
      </c>
      <c r="F33" s="131"/>
      <c r="G33" s="126"/>
      <c r="H33" s="127"/>
      <c r="I33" s="126"/>
      <c r="J33" s="126"/>
      <c r="K33" s="50"/>
      <c r="L33" s="132"/>
      <c r="M33" s="130"/>
      <c r="N33" s="126"/>
      <c r="O33" s="130"/>
      <c r="P33" s="50"/>
      <c r="Q33" s="53"/>
      <c r="R33" s="94"/>
      <c r="S33" s="95"/>
      <c r="T33" s="53"/>
      <c r="U33" s="53"/>
      <c r="V33" s="104"/>
      <c r="W33" s="104"/>
      <c r="X33" s="53"/>
      <c r="Y33" s="103"/>
      <c r="Z33" s="104"/>
      <c r="AA33" s="105"/>
      <c r="AB33" s="50"/>
      <c r="AC33" s="105"/>
      <c r="AD33" s="106"/>
      <c r="AE33" s="100"/>
      <c r="AF33" s="100"/>
      <c r="AG33" s="4"/>
      <c r="AH33" s="4"/>
      <c r="AI33" s="100"/>
      <c r="AJ33" s="4"/>
      <c r="AK33" s="4"/>
      <c r="AL33" s="4"/>
      <c r="AM33" s="4"/>
    </row>
    <row r="34">
      <c r="A34" s="4"/>
      <c r="B34" s="114" t="s">
        <v>151</v>
      </c>
      <c r="C34" s="4"/>
      <c r="D34" s="115" t="s">
        <v>58</v>
      </c>
      <c r="E34" s="124" t="s">
        <v>176</v>
      </c>
      <c r="F34" s="131"/>
      <c r="G34" s="126"/>
      <c r="H34" s="127"/>
      <c r="I34" s="126"/>
      <c r="J34" s="126"/>
      <c r="K34" s="50"/>
      <c r="L34" s="132"/>
      <c r="M34" s="130"/>
      <c r="N34" s="126"/>
      <c r="O34" s="130"/>
      <c r="P34" s="50"/>
      <c r="Q34" s="53"/>
      <c r="R34" s="94"/>
      <c r="S34" s="95"/>
      <c r="T34" s="53"/>
      <c r="U34" s="53"/>
      <c r="V34" s="104"/>
      <c r="W34" s="104"/>
      <c r="X34" s="53"/>
      <c r="Y34" s="103"/>
      <c r="Z34" s="104"/>
      <c r="AA34" s="105"/>
      <c r="AB34" s="50"/>
      <c r="AC34" s="105"/>
      <c r="AD34" s="106"/>
      <c r="AE34" s="100"/>
      <c r="AF34" s="100"/>
      <c r="AG34" s="4"/>
      <c r="AH34" s="4"/>
      <c r="AI34" s="100"/>
      <c r="AJ34" s="4"/>
      <c r="AK34" s="4"/>
      <c r="AL34" s="4"/>
      <c r="AM34" s="4"/>
    </row>
    <row r="35">
      <c r="A35" s="4"/>
      <c r="B35" s="114" t="s">
        <v>151</v>
      </c>
      <c r="C35" s="4"/>
      <c r="D35" s="115" t="s">
        <v>58</v>
      </c>
      <c r="E35" s="133" t="s">
        <v>177</v>
      </c>
      <c r="F35" s="134"/>
      <c r="G35" s="135"/>
      <c r="H35" s="134"/>
      <c r="I35" s="135"/>
      <c r="J35" s="135"/>
      <c r="K35" s="50"/>
      <c r="L35" s="136"/>
      <c r="M35" s="136"/>
      <c r="N35" s="136"/>
      <c r="O35" s="136"/>
      <c r="P35" s="50"/>
      <c r="Q35" s="53"/>
      <c r="R35" s="94"/>
      <c r="S35" s="95"/>
      <c r="T35" s="53"/>
      <c r="U35" s="53"/>
      <c r="V35" s="104"/>
      <c r="W35" s="104"/>
      <c r="X35" s="53"/>
      <c r="Y35" s="103"/>
      <c r="Z35" s="104"/>
      <c r="AA35" s="105"/>
      <c r="AB35" s="50"/>
      <c r="AC35" s="105"/>
      <c r="AD35" s="106"/>
      <c r="AE35" s="100"/>
      <c r="AF35" s="100"/>
      <c r="AG35" s="4"/>
      <c r="AH35" s="4"/>
      <c r="AI35" s="100"/>
      <c r="AJ35" s="4"/>
      <c r="AK35" s="4"/>
      <c r="AL35" s="4"/>
      <c r="AM35" s="4"/>
    </row>
    <row r="36">
      <c r="A36" s="4"/>
      <c r="B36" s="114" t="s">
        <v>151</v>
      </c>
      <c r="C36" s="4"/>
      <c r="D36" s="115" t="s">
        <v>58</v>
      </c>
      <c r="E36" s="124" t="s">
        <v>178</v>
      </c>
      <c r="F36" s="131"/>
      <c r="G36" s="126"/>
      <c r="H36" s="127"/>
      <c r="I36" s="126"/>
      <c r="J36" s="126"/>
      <c r="K36" s="50"/>
      <c r="L36" s="132"/>
      <c r="M36" s="130"/>
      <c r="N36" s="126"/>
      <c r="O36" s="130"/>
      <c r="P36" s="50"/>
      <c r="Q36" s="53"/>
      <c r="R36" s="94"/>
      <c r="S36" s="95"/>
      <c r="T36" s="53"/>
      <c r="U36" s="53"/>
      <c r="V36" s="104"/>
      <c r="W36" s="104"/>
      <c r="X36" s="53"/>
      <c r="Y36" s="103"/>
      <c r="Z36" s="104"/>
      <c r="AA36" s="105"/>
      <c r="AB36" s="50"/>
      <c r="AC36" s="105"/>
      <c r="AD36" s="106"/>
      <c r="AE36" s="100"/>
      <c r="AF36" s="100"/>
      <c r="AG36" s="4"/>
      <c r="AH36" s="4"/>
      <c r="AI36" s="100"/>
      <c r="AJ36" s="4"/>
      <c r="AK36" s="4"/>
      <c r="AL36" s="4"/>
      <c r="AM36" s="4"/>
    </row>
    <row r="37">
      <c r="A37" s="4"/>
      <c r="B37" s="114" t="s">
        <v>151</v>
      </c>
      <c r="C37" s="4"/>
      <c r="D37" s="115" t="s">
        <v>58</v>
      </c>
      <c r="E37" s="124" t="s">
        <v>179</v>
      </c>
      <c r="F37" s="131"/>
      <c r="G37" s="126"/>
      <c r="H37" s="127"/>
      <c r="I37" s="126"/>
      <c r="J37" s="126"/>
      <c r="K37" s="50"/>
      <c r="L37" s="132"/>
      <c r="M37" s="130"/>
      <c r="N37" s="126"/>
      <c r="O37" s="130"/>
      <c r="P37" s="50"/>
      <c r="Q37" s="53"/>
      <c r="R37" s="94"/>
      <c r="S37" s="95"/>
      <c r="T37" s="53"/>
      <c r="U37" s="53"/>
      <c r="V37" s="104"/>
      <c r="W37" s="104"/>
      <c r="X37" s="53"/>
      <c r="Y37" s="103"/>
      <c r="Z37" s="104"/>
      <c r="AA37" s="105"/>
      <c r="AB37" s="50"/>
      <c r="AC37" s="105"/>
      <c r="AD37" s="106"/>
      <c r="AE37" s="100"/>
      <c r="AF37" s="100"/>
      <c r="AG37" s="4"/>
      <c r="AH37" s="4"/>
      <c r="AI37" s="100"/>
      <c r="AJ37" s="4"/>
      <c r="AK37" s="4"/>
      <c r="AL37" s="4"/>
      <c r="AM37" s="4"/>
    </row>
    <row r="38">
      <c r="A38" s="4"/>
      <c r="B38" s="114" t="s">
        <v>151</v>
      </c>
      <c r="C38" s="4"/>
      <c r="D38" s="115" t="s">
        <v>58</v>
      </c>
      <c r="E38" s="133" t="s">
        <v>180</v>
      </c>
      <c r="F38" s="134"/>
      <c r="G38" s="135"/>
      <c r="H38" s="134"/>
      <c r="I38" s="135"/>
      <c r="J38" s="135"/>
      <c r="K38" s="50"/>
      <c r="L38" s="136"/>
      <c r="M38" s="136"/>
      <c r="N38" s="136"/>
      <c r="O38" s="136"/>
      <c r="P38" s="50"/>
      <c r="Q38" s="53"/>
      <c r="R38" s="94"/>
      <c r="S38" s="95"/>
      <c r="T38" s="53"/>
      <c r="U38" s="53"/>
      <c r="V38" s="104"/>
      <c r="W38" s="104"/>
      <c r="X38" s="53"/>
      <c r="Y38" s="103"/>
      <c r="Z38" s="104"/>
      <c r="AA38" s="105"/>
      <c r="AB38" s="50"/>
      <c r="AC38" s="99"/>
      <c r="AD38" s="100"/>
      <c r="AE38" s="100"/>
      <c r="AF38" s="100"/>
      <c r="AG38" s="4"/>
      <c r="AH38" s="4"/>
      <c r="AI38" s="100"/>
      <c r="AJ38" s="4"/>
      <c r="AK38" s="4"/>
      <c r="AL38" s="100"/>
      <c r="AM38" s="4"/>
    </row>
    <row r="39">
      <c r="A39" s="4"/>
      <c r="B39" s="114" t="s">
        <v>151</v>
      </c>
      <c r="C39" s="4"/>
      <c r="D39" s="115" t="s">
        <v>58</v>
      </c>
      <c r="E39" s="124" t="s">
        <v>181</v>
      </c>
      <c r="F39" s="131"/>
      <c r="G39" s="126"/>
      <c r="H39" s="127"/>
      <c r="I39" s="126"/>
      <c r="J39" s="126"/>
      <c r="K39" s="50"/>
      <c r="L39" s="132"/>
      <c r="M39" s="130"/>
      <c r="N39" s="126"/>
      <c r="O39" s="130"/>
      <c r="P39" s="50"/>
      <c r="Q39" s="53"/>
      <c r="R39" s="94"/>
      <c r="S39" s="95"/>
      <c r="T39" s="53"/>
      <c r="U39" s="53"/>
      <c r="V39" s="104"/>
      <c r="W39" s="104"/>
      <c r="X39" s="53"/>
      <c r="Y39" s="103"/>
      <c r="Z39" s="104"/>
      <c r="AA39" s="105"/>
      <c r="AB39" s="50"/>
      <c r="AC39" s="99"/>
      <c r="AD39" s="100"/>
      <c r="AE39" s="100"/>
      <c r="AF39" s="100"/>
      <c r="AG39" s="4"/>
      <c r="AH39" s="4"/>
      <c r="AI39" s="100"/>
      <c r="AJ39" s="4"/>
      <c r="AK39" s="4"/>
      <c r="AL39" s="100"/>
      <c r="AM39" s="4"/>
    </row>
    <row r="40">
      <c r="A40" s="4"/>
      <c r="B40" s="114" t="s">
        <v>151</v>
      </c>
      <c r="C40" s="4"/>
      <c r="D40" s="115" t="s">
        <v>58</v>
      </c>
      <c r="E40" s="124" t="s">
        <v>182</v>
      </c>
      <c r="F40" s="131"/>
      <c r="G40" s="126"/>
      <c r="H40" s="127"/>
      <c r="I40" s="126"/>
      <c r="J40" s="126"/>
      <c r="K40" s="50"/>
      <c r="L40" s="132"/>
      <c r="M40" s="130"/>
      <c r="N40" s="126"/>
      <c r="O40" s="130"/>
      <c r="P40" s="50"/>
      <c r="Q40" s="53"/>
      <c r="R40" s="94"/>
      <c r="S40" s="95"/>
      <c r="T40" s="53"/>
      <c r="U40" s="53"/>
      <c r="V40" s="104"/>
      <c r="W40" s="104"/>
      <c r="X40" s="53"/>
      <c r="Y40" s="103"/>
      <c r="Z40" s="104"/>
      <c r="AA40" s="105"/>
      <c r="AB40" s="50"/>
      <c r="AC40" s="99"/>
      <c r="AD40" s="100"/>
      <c r="AE40" s="100"/>
      <c r="AF40" s="100"/>
      <c r="AG40" s="4"/>
      <c r="AH40" s="4"/>
      <c r="AI40" s="100"/>
      <c r="AJ40" s="4"/>
      <c r="AK40" s="4"/>
      <c r="AL40" s="100"/>
      <c r="AM40" s="4"/>
    </row>
    <row r="41">
      <c r="A41" s="4"/>
      <c r="B41" s="114" t="s">
        <v>151</v>
      </c>
      <c r="C41" s="4"/>
      <c r="D41" s="115" t="s">
        <v>58</v>
      </c>
      <c r="E41" s="137" t="s">
        <v>183</v>
      </c>
      <c r="F41" s="138"/>
      <c r="G41" s="139"/>
      <c r="H41" s="138"/>
      <c r="I41" s="139"/>
      <c r="J41" s="139"/>
      <c r="K41" s="50"/>
      <c r="L41" s="140"/>
      <c r="M41" s="140"/>
      <c r="N41" s="140"/>
      <c r="O41" s="140"/>
      <c r="P41" s="50"/>
      <c r="Q41" s="53"/>
      <c r="R41" s="53"/>
      <c r="S41" s="53"/>
      <c r="T41" s="53"/>
      <c r="U41" s="53"/>
      <c r="V41" s="53"/>
      <c r="W41" s="52"/>
      <c r="X41" s="53"/>
      <c r="Y41" s="53"/>
      <c r="Z41" s="52"/>
      <c r="AA41" s="141"/>
      <c r="AB41" s="50"/>
      <c r="AC41" s="50"/>
      <c r="AD41" s="141"/>
      <c r="AE41" s="4"/>
      <c r="AF41" s="4"/>
      <c r="AG41" s="4"/>
      <c r="AH41" s="4"/>
      <c r="AI41" s="4"/>
      <c r="AJ41" s="4"/>
      <c r="AK41" s="4"/>
      <c r="AL41" s="100"/>
      <c r="AM41" s="4"/>
    </row>
    <row r="42">
      <c r="A42" s="4"/>
      <c r="B42" s="114" t="s">
        <v>151</v>
      </c>
      <c r="C42" s="4"/>
      <c r="D42" s="115" t="s">
        <v>58</v>
      </c>
      <c r="E42" s="142" t="s">
        <v>64</v>
      </c>
      <c r="F42" s="143"/>
      <c r="G42" s="144"/>
      <c r="H42" s="145"/>
      <c r="I42" s="145"/>
      <c r="J42" s="144"/>
      <c r="K42" s="50"/>
      <c r="L42" s="146"/>
      <c r="M42" s="146"/>
      <c r="N42" s="146"/>
      <c r="O42" s="146"/>
      <c r="P42" s="50"/>
      <c r="Q42" s="93"/>
      <c r="R42" s="93"/>
      <c r="S42" s="93"/>
      <c r="T42" s="93"/>
      <c r="U42" s="53"/>
      <c r="V42" s="94"/>
      <c r="W42" s="95"/>
      <c r="X42" s="53"/>
      <c r="Y42" s="103"/>
      <c r="Z42" s="104"/>
      <c r="AA42" s="103"/>
      <c r="AB42" s="104"/>
      <c r="AC42" s="99"/>
      <c r="AD42" s="99"/>
      <c r="AE42" s="99"/>
      <c r="AF42" s="4"/>
      <c r="AG42" s="99"/>
      <c r="AH42" s="100"/>
      <c r="AI42" s="100"/>
      <c r="AJ42" s="100"/>
      <c r="AK42" s="4"/>
      <c r="AL42" s="100"/>
      <c r="AM42" s="4"/>
    </row>
    <row r="43">
      <c r="A43" s="4"/>
      <c r="B43" s="114" t="s">
        <v>151</v>
      </c>
      <c r="C43" s="4"/>
      <c r="D43" s="115" t="s">
        <v>155</v>
      </c>
      <c r="E43" s="147" t="s">
        <v>184</v>
      </c>
      <c r="F43" s="143"/>
      <c r="G43" s="144"/>
      <c r="H43" s="148"/>
      <c r="I43" s="149"/>
      <c r="J43" s="128" t="s">
        <v>153</v>
      </c>
      <c r="K43" s="50"/>
      <c r="L43" s="146"/>
      <c r="M43" s="146"/>
      <c r="N43" s="146"/>
      <c r="O43" s="146"/>
      <c r="P43" s="50"/>
      <c r="Q43" s="93"/>
      <c r="R43" s="93"/>
      <c r="S43" s="93"/>
      <c r="T43" s="93"/>
      <c r="U43" s="53"/>
      <c r="V43" s="94"/>
      <c r="W43" s="95"/>
      <c r="X43" s="53"/>
      <c r="Y43" s="103"/>
      <c r="Z43" s="104"/>
      <c r="AA43" s="103"/>
      <c r="AB43" s="104"/>
      <c r="AC43" s="99"/>
      <c r="AD43" s="99"/>
      <c r="AE43" s="99"/>
      <c r="AF43" s="4"/>
      <c r="AG43" s="99"/>
      <c r="AH43" s="100"/>
      <c r="AI43" s="100"/>
      <c r="AJ43" s="100"/>
      <c r="AK43" s="4"/>
      <c r="AL43" s="100"/>
      <c r="AM43" s="4"/>
    </row>
    <row r="44">
      <c r="A44" s="4"/>
      <c r="B44" s="114" t="s">
        <v>155</v>
      </c>
      <c r="C44" s="114" t="s">
        <v>155</v>
      </c>
      <c r="D44" s="115" t="s">
        <v>155</v>
      </c>
      <c r="E44" s="142" t="s">
        <v>185</v>
      </c>
      <c r="F44" s="128"/>
      <c r="G44" s="150"/>
      <c r="H44" s="150"/>
      <c r="I44" s="128" t="s">
        <v>153</v>
      </c>
      <c r="J44" s="128" t="s">
        <v>153</v>
      </c>
      <c r="K44" s="50"/>
      <c r="L44" s="150"/>
      <c r="M44" s="150"/>
      <c r="N44" s="128" t="s">
        <v>153</v>
      </c>
      <c r="O44" s="128" t="s">
        <v>153</v>
      </c>
      <c r="P44" s="50"/>
      <c r="Q44" s="93"/>
      <c r="R44" s="93"/>
      <c r="S44" s="93"/>
      <c r="T44" s="93"/>
      <c r="U44" s="53"/>
      <c r="V44" s="94"/>
      <c r="W44" s="95"/>
      <c r="X44" s="53"/>
      <c r="Y44" s="103"/>
      <c r="Z44" s="104"/>
      <c r="AA44" s="103"/>
      <c r="AB44" s="104"/>
      <c r="AC44" s="99"/>
      <c r="AD44" s="99"/>
      <c r="AE44" s="99"/>
      <c r="AF44" s="4"/>
      <c r="AG44" s="99"/>
      <c r="AH44" s="100"/>
      <c r="AI44" s="100"/>
      <c r="AJ44" s="100"/>
      <c r="AK44" s="4"/>
      <c r="AL44" s="100"/>
      <c r="AM44" s="4"/>
    </row>
    <row r="45">
      <c r="A45" s="4"/>
      <c r="B45" s="114" t="s">
        <v>151</v>
      </c>
      <c r="C45" s="4"/>
      <c r="D45" s="115" t="s">
        <v>58</v>
      </c>
      <c r="E45" s="142" t="s">
        <v>80</v>
      </c>
      <c r="F45" s="143"/>
      <c r="G45" s="144"/>
      <c r="H45" s="145"/>
      <c r="I45" s="145"/>
      <c r="J45" s="144"/>
      <c r="K45" s="50"/>
      <c r="L45" s="146"/>
      <c r="M45" s="146"/>
      <c r="N45" s="146"/>
      <c r="O45" s="146"/>
      <c r="P45" s="50"/>
      <c r="Q45" s="93"/>
      <c r="R45" s="151"/>
      <c r="S45" s="93"/>
      <c r="T45" s="93"/>
      <c r="U45" s="53"/>
      <c r="V45" s="94"/>
      <c r="W45" s="95"/>
      <c r="X45" s="53"/>
      <c r="Y45" s="103"/>
      <c r="Z45" s="104"/>
      <c r="AA45" s="152"/>
      <c r="AB45" s="105"/>
      <c r="AC45" s="99"/>
      <c r="AD45" s="99"/>
      <c r="AE45" s="99"/>
      <c r="AF45" s="4"/>
      <c r="AG45" s="99"/>
      <c r="AH45" s="100"/>
      <c r="AI45" s="100"/>
      <c r="AJ45" s="100"/>
      <c r="AK45" s="4"/>
      <c r="AL45" s="100"/>
      <c r="AM45" s="4"/>
    </row>
    <row r="46">
      <c r="A46" s="4"/>
      <c r="B46" s="114" t="s">
        <v>155</v>
      </c>
      <c r="C46" s="114" t="s">
        <v>155</v>
      </c>
      <c r="D46" s="115" t="s">
        <v>155</v>
      </c>
      <c r="E46" s="142" t="s">
        <v>186</v>
      </c>
      <c r="F46" s="128"/>
      <c r="G46" s="150"/>
      <c r="H46" s="150"/>
      <c r="I46" s="128" t="s">
        <v>153</v>
      </c>
      <c r="J46" s="128" t="s">
        <v>153</v>
      </c>
      <c r="K46" s="50"/>
      <c r="L46" s="150"/>
      <c r="M46" s="150"/>
      <c r="N46" s="128" t="s">
        <v>153</v>
      </c>
      <c r="O46" s="128" t="s">
        <v>153</v>
      </c>
      <c r="P46" s="50"/>
      <c r="Q46" s="93"/>
      <c r="R46" s="93"/>
      <c r="S46" s="93"/>
      <c r="T46" s="93"/>
      <c r="U46" s="53"/>
      <c r="V46" s="153"/>
      <c r="W46" s="154"/>
      <c r="X46" s="53"/>
      <c r="Y46" s="103"/>
      <c r="Z46" s="104"/>
      <c r="AA46" s="152"/>
      <c r="AB46" s="155"/>
      <c r="AC46" s="99"/>
      <c r="AD46" s="99"/>
      <c r="AE46" s="99"/>
      <c r="AF46" s="4"/>
      <c r="AG46" s="99"/>
      <c r="AH46" s="100"/>
      <c r="AI46" s="100"/>
      <c r="AJ46" s="100"/>
      <c r="AK46" s="4"/>
      <c r="AL46" s="4"/>
      <c r="AM46" s="4"/>
    </row>
    <row r="47">
      <c r="A47" s="4"/>
      <c r="B47" s="4"/>
      <c r="C47" s="4"/>
      <c r="D47" s="48"/>
      <c r="E47" s="156" t="s">
        <v>187</v>
      </c>
      <c r="F47" s="157"/>
      <c r="G47" s="158"/>
      <c r="H47" s="158"/>
      <c r="I47" s="158"/>
      <c r="J47" s="158"/>
      <c r="K47" s="50"/>
      <c r="L47" s="159"/>
      <c r="M47" s="159"/>
      <c r="N47" s="159"/>
      <c r="O47" s="159"/>
      <c r="P47" s="50"/>
      <c r="Q47" s="93"/>
      <c r="R47" s="93"/>
      <c r="S47" s="93"/>
      <c r="T47" s="93"/>
      <c r="U47" s="53"/>
      <c r="V47" s="94"/>
      <c r="W47" s="95"/>
      <c r="X47" s="53"/>
      <c r="Y47" s="103"/>
      <c r="Z47" s="104"/>
      <c r="AA47" s="103"/>
      <c r="AB47" s="104"/>
      <c r="AC47" s="99"/>
      <c r="AD47" s="99"/>
      <c r="AE47" s="99"/>
      <c r="AF47" s="4"/>
      <c r="AG47" s="99"/>
      <c r="AH47" s="100"/>
      <c r="AI47" s="100"/>
      <c r="AJ47" s="100"/>
      <c r="AK47" s="4"/>
      <c r="AL47" s="4"/>
      <c r="AM47" s="4"/>
    </row>
    <row r="48">
      <c r="A48" s="4"/>
      <c r="B48" s="114"/>
      <c r="C48" s="114"/>
      <c r="D48" s="115"/>
      <c r="E48" s="116" t="s">
        <v>150</v>
      </c>
      <c r="F48" s="117"/>
      <c r="G48" s="118"/>
      <c r="H48" s="119"/>
      <c r="I48" s="120"/>
      <c r="J48" s="121"/>
      <c r="K48" s="50"/>
      <c r="L48" s="123"/>
      <c r="M48" s="123"/>
      <c r="N48" s="123"/>
      <c r="O48" s="123"/>
      <c r="P48" s="50"/>
      <c r="Q48" s="93"/>
      <c r="R48" s="93"/>
      <c r="S48" s="93"/>
      <c r="T48" s="93"/>
      <c r="U48" s="53"/>
      <c r="V48" s="94"/>
      <c r="W48" s="95"/>
      <c r="X48" s="53"/>
      <c r="Y48" s="103"/>
      <c r="Z48" s="104"/>
      <c r="AA48" s="103"/>
      <c r="AB48" s="104"/>
      <c r="AC48" s="99"/>
      <c r="AD48" s="99"/>
      <c r="AE48" s="99"/>
      <c r="AF48" s="4"/>
      <c r="AG48" s="99"/>
      <c r="AH48" s="100"/>
      <c r="AI48" s="100"/>
      <c r="AJ48" s="100"/>
      <c r="AK48" s="4"/>
      <c r="AL48" s="4"/>
      <c r="AM48" s="4"/>
    </row>
    <row r="49">
      <c r="A49" s="4"/>
      <c r="B49" s="114" t="s">
        <v>151</v>
      </c>
      <c r="C49" s="114" t="s">
        <v>61</v>
      </c>
      <c r="D49" s="115"/>
      <c r="E49" s="124" t="s">
        <v>188</v>
      </c>
      <c r="F49" s="160"/>
      <c r="G49" s="160">
        <v>150000.0</v>
      </c>
      <c r="H49" s="161">
        <v>1.0</v>
      </c>
      <c r="I49" s="126">
        <f t="shared" ref="I49:I63" si="11">G49*H49</f>
        <v>150000</v>
      </c>
      <c r="J49" s="128" t="s">
        <v>153</v>
      </c>
      <c r="K49" s="50"/>
      <c r="L49" s="132">
        <f t="shared" ref="L49:L63" si="12">I49/0.6</f>
        <v>250000</v>
      </c>
      <c r="M49" s="128" t="s">
        <v>153</v>
      </c>
      <c r="N49" s="126">
        <f t="shared" ref="N49:N63" si="13">L49/$H$95</f>
        <v>65.78947368</v>
      </c>
      <c r="O49" s="128" t="s">
        <v>153</v>
      </c>
      <c r="P49" s="50"/>
      <c r="Q49" s="93"/>
      <c r="R49" s="93"/>
      <c r="S49" s="93"/>
      <c r="T49" s="93"/>
      <c r="U49" s="53"/>
      <c r="V49" s="94"/>
      <c r="W49" s="95"/>
      <c r="X49" s="53"/>
      <c r="Y49" s="103"/>
      <c r="Z49" s="104"/>
      <c r="AA49" s="103"/>
      <c r="AB49" s="104"/>
      <c r="AC49" s="99"/>
      <c r="AD49" s="99"/>
      <c r="AE49" s="99"/>
      <c r="AF49" s="4"/>
      <c r="AG49" s="99"/>
      <c r="AH49" s="100"/>
      <c r="AI49" s="100"/>
      <c r="AJ49" s="100"/>
      <c r="AK49" s="4"/>
      <c r="AL49" s="4"/>
      <c r="AM49" s="4"/>
    </row>
    <row r="50">
      <c r="A50" s="4"/>
      <c r="B50" s="114" t="s">
        <v>151</v>
      </c>
      <c r="C50" s="114" t="s">
        <v>61</v>
      </c>
      <c r="D50" s="115"/>
      <c r="E50" s="124" t="s">
        <v>189</v>
      </c>
      <c r="F50" s="160"/>
      <c r="G50" s="160">
        <v>36000.0</v>
      </c>
      <c r="H50" s="161">
        <v>1.0</v>
      </c>
      <c r="I50" s="126">
        <f t="shared" si="11"/>
        <v>36000</v>
      </c>
      <c r="J50" s="128" t="s">
        <v>153</v>
      </c>
      <c r="K50" s="50"/>
      <c r="L50" s="132">
        <f t="shared" si="12"/>
        <v>60000</v>
      </c>
      <c r="M50" s="128" t="s">
        <v>153</v>
      </c>
      <c r="N50" s="126">
        <f t="shared" si="13"/>
        <v>15.78947368</v>
      </c>
      <c r="O50" s="128" t="s">
        <v>153</v>
      </c>
      <c r="P50" s="50"/>
      <c r="Q50" s="93"/>
      <c r="R50" s="93"/>
      <c r="S50" s="93"/>
      <c r="T50" s="93"/>
      <c r="U50" s="53"/>
      <c r="V50" s="94"/>
      <c r="W50" s="95"/>
      <c r="X50" s="53"/>
      <c r="Y50" s="103"/>
      <c r="Z50" s="104"/>
      <c r="AA50" s="103"/>
      <c r="AB50" s="104"/>
      <c r="AC50" s="99"/>
      <c r="AD50" s="99"/>
      <c r="AE50" s="99"/>
      <c r="AF50" s="4"/>
      <c r="AG50" s="99"/>
      <c r="AH50" s="100"/>
      <c r="AI50" s="100"/>
      <c r="AJ50" s="100"/>
      <c r="AK50" s="4"/>
      <c r="AL50" s="4"/>
      <c r="AM50" s="4"/>
    </row>
    <row r="51">
      <c r="A51" s="4"/>
      <c r="B51" s="114" t="s">
        <v>151</v>
      </c>
      <c r="C51" s="114" t="s">
        <v>61</v>
      </c>
      <c r="D51" s="115"/>
      <c r="E51" s="124" t="s">
        <v>190</v>
      </c>
      <c r="F51" s="160"/>
      <c r="G51" s="160">
        <v>39000.0</v>
      </c>
      <c r="H51" s="161">
        <v>1.0</v>
      </c>
      <c r="I51" s="126">
        <f t="shared" si="11"/>
        <v>39000</v>
      </c>
      <c r="J51" s="128" t="s">
        <v>153</v>
      </c>
      <c r="K51" s="50"/>
      <c r="L51" s="132">
        <f t="shared" si="12"/>
        <v>65000</v>
      </c>
      <c r="M51" s="128" t="s">
        <v>153</v>
      </c>
      <c r="N51" s="126">
        <f t="shared" si="13"/>
        <v>17.10526316</v>
      </c>
      <c r="O51" s="128" t="s">
        <v>153</v>
      </c>
      <c r="P51" s="50"/>
      <c r="Q51" s="93"/>
      <c r="R51" s="93"/>
      <c r="S51" s="93"/>
      <c r="T51" s="93"/>
      <c r="U51" s="53"/>
      <c r="V51" s="94"/>
      <c r="W51" s="95"/>
      <c r="X51" s="53"/>
      <c r="Y51" s="103"/>
      <c r="Z51" s="104"/>
      <c r="AA51" s="103"/>
      <c r="AB51" s="104"/>
      <c r="AC51" s="99"/>
      <c r="AD51" s="99"/>
      <c r="AE51" s="99"/>
      <c r="AF51" s="4"/>
      <c r="AG51" s="99"/>
      <c r="AH51" s="100"/>
      <c r="AI51" s="100"/>
      <c r="AJ51" s="100"/>
      <c r="AK51" s="4"/>
      <c r="AL51" s="4"/>
      <c r="AM51" s="4"/>
    </row>
    <row r="52">
      <c r="A52" s="4"/>
      <c r="B52" s="114" t="s">
        <v>151</v>
      </c>
      <c r="C52" s="114" t="s">
        <v>61</v>
      </c>
      <c r="D52" s="115"/>
      <c r="E52" s="124" t="s">
        <v>191</v>
      </c>
      <c r="F52" s="160"/>
      <c r="G52" s="160">
        <v>38000.0</v>
      </c>
      <c r="H52" s="161">
        <v>1.0</v>
      </c>
      <c r="I52" s="126">
        <f t="shared" si="11"/>
        <v>38000</v>
      </c>
      <c r="J52" s="128" t="s">
        <v>153</v>
      </c>
      <c r="K52" s="50"/>
      <c r="L52" s="132">
        <f t="shared" si="12"/>
        <v>63333.33333</v>
      </c>
      <c r="M52" s="128" t="s">
        <v>153</v>
      </c>
      <c r="N52" s="126">
        <f t="shared" si="13"/>
        <v>16.66666667</v>
      </c>
      <c r="O52" s="128" t="s">
        <v>153</v>
      </c>
      <c r="P52" s="50"/>
      <c r="Q52" s="93"/>
      <c r="R52" s="93"/>
      <c r="S52" s="93"/>
      <c r="T52" s="93"/>
      <c r="U52" s="53"/>
      <c r="V52" s="94"/>
      <c r="W52" s="95"/>
      <c r="X52" s="53"/>
      <c r="Y52" s="103"/>
      <c r="Z52" s="104"/>
      <c r="AA52" s="103"/>
      <c r="AB52" s="104"/>
      <c r="AC52" s="99"/>
      <c r="AD52" s="99"/>
      <c r="AE52" s="99"/>
      <c r="AF52" s="4"/>
      <c r="AG52" s="99"/>
      <c r="AH52" s="100"/>
      <c r="AI52" s="100"/>
      <c r="AJ52" s="100"/>
      <c r="AK52" s="4"/>
      <c r="AL52" s="4"/>
      <c r="AM52" s="4"/>
    </row>
    <row r="53">
      <c r="A53" s="4"/>
      <c r="B53" s="114" t="s">
        <v>151</v>
      </c>
      <c r="C53" s="114" t="s">
        <v>61</v>
      </c>
      <c r="D53" s="115"/>
      <c r="E53" s="124" t="s">
        <v>192</v>
      </c>
      <c r="F53" s="160"/>
      <c r="G53" s="160">
        <v>35000.0</v>
      </c>
      <c r="H53" s="161">
        <v>1.0</v>
      </c>
      <c r="I53" s="126">
        <f t="shared" si="11"/>
        <v>35000</v>
      </c>
      <c r="J53" s="128" t="s">
        <v>153</v>
      </c>
      <c r="K53" s="50"/>
      <c r="L53" s="132">
        <f t="shared" si="12"/>
        <v>58333.33333</v>
      </c>
      <c r="M53" s="128" t="s">
        <v>153</v>
      </c>
      <c r="N53" s="126">
        <f t="shared" si="13"/>
        <v>15.35087719</v>
      </c>
      <c r="O53" s="128" t="s">
        <v>153</v>
      </c>
      <c r="P53" s="50"/>
      <c r="Q53" s="93"/>
      <c r="R53" s="93"/>
      <c r="S53" s="93"/>
      <c r="T53" s="93"/>
      <c r="U53" s="53"/>
      <c r="V53" s="94"/>
      <c r="W53" s="95"/>
      <c r="X53" s="53"/>
      <c r="Y53" s="103"/>
      <c r="Z53" s="104"/>
      <c r="AA53" s="103"/>
      <c r="AB53" s="104"/>
      <c r="AC53" s="99"/>
      <c r="AD53" s="99"/>
      <c r="AE53" s="99"/>
      <c r="AF53" s="4"/>
      <c r="AG53" s="99"/>
      <c r="AH53" s="100"/>
      <c r="AI53" s="100"/>
      <c r="AJ53" s="100"/>
      <c r="AK53" s="4"/>
      <c r="AL53" s="4"/>
      <c r="AM53" s="4"/>
    </row>
    <row r="54">
      <c r="A54" s="4"/>
      <c r="B54" s="114" t="s">
        <v>151</v>
      </c>
      <c r="C54" s="114" t="s">
        <v>61</v>
      </c>
      <c r="D54" s="115"/>
      <c r="E54" s="124" t="s">
        <v>193</v>
      </c>
      <c r="F54" s="160"/>
      <c r="G54" s="160">
        <v>42000.0</v>
      </c>
      <c r="H54" s="161">
        <v>1.0</v>
      </c>
      <c r="I54" s="126">
        <f t="shared" si="11"/>
        <v>42000</v>
      </c>
      <c r="J54" s="128" t="s">
        <v>153</v>
      </c>
      <c r="K54" s="50"/>
      <c r="L54" s="132">
        <f t="shared" si="12"/>
        <v>70000</v>
      </c>
      <c r="M54" s="128" t="s">
        <v>153</v>
      </c>
      <c r="N54" s="126">
        <f t="shared" si="13"/>
        <v>18.42105263</v>
      </c>
      <c r="O54" s="128" t="s">
        <v>153</v>
      </c>
      <c r="P54" s="50"/>
      <c r="Q54" s="93"/>
      <c r="R54" s="93"/>
      <c r="S54" s="93"/>
      <c r="T54" s="93"/>
      <c r="U54" s="53"/>
      <c r="V54" s="94"/>
      <c r="W54" s="95"/>
      <c r="X54" s="53"/>
      <c r="Y54" s="103"/>
      <c r="Z54" s="104"/>
      <c r="AA54" s="103"/>
      <c r="AB54" s="104"/>
      <c r="AC54" s="99"/>
      <c r="AD54" s="99"/>
      <c r="AE54" s="99"/>
      <c r="AF54" s="4"/>
      <c r="AG54" s="99"/>
      <c r="AH54" s="100"/>
      <c r="AI54" s="100"/>
      <c r="AJ54" s="100"/>
      <c r="AK54" s="4"/>
      <c r="AL54" s="4"/>
      <c r="AM54" s="4"/>
    </row>
    <row r="55">
      <c r="A55" s="4"/>
      <c r="B55" s="114" t="s">
        <v>151</v>
      </c>
      <c r="C55" s="114" t="s">
        <v>61</v>
      </c>
      <c r="D55" s="115"/>
      <c r="E55" s="124" t="s">
        <v>194</v>
      </c>
      <c r="F55" s="160"/>
      <c r="G55" s="160">
        <v>40000.0</v>
      </c>
      <c r="H55" s="161">
        <v>1.0</v>
      </c>
      <c r="I55" s="126">
        <f t="shared" si="11"/>
        <v>40000</v>
      </c>
      <c r="J55" s="128" t="s">
        <v>153</v>
      </c>
      <c r="K55" s="50"/>
      <c r="L55" s="132">
        <f t="shared" si="12"/>
        <v>66666.66667</v>
      </c>
      <c r="M55" s="128" t="s">
        <v>153</v>
      </c>
      <c r="N55" s="126">
        <f t="shared" si="13"/>
        <v>17.54385965</v>
      </c>
      <c r="O55" s="128" t="s">
        <v>153</v>
      </c>
      <c r="P55" s="50"/>
      <c r="Q55" s="93"/>
      <c r="R55" s="93"/>
      <c r="S55" s="93"/>
      <c r="T55" s="93"/>
      <c r="U55" s="53"/>
      <c r="V55" s="94"/>
      <c r="W55" s="95"/>
      <c r="X55" s="53"/>
      <c r="Y55" s="103"/>
      <c r="Z55" s="104"/>
      <c r="AA55" s="103"/>
      <c r="AB55" s="104"/>
      <c r="AC55" s="99"/>
      <c r="AD55" s="99"/>
      <c r="AE55" s="99"/>
      <c r="AF55" s="4"/>
      <c r="AG55" s="99"/>
      <c r="AH55" s="100"/>
      <c r="AI55" s="100"/>
      <c r="AJ55" s="100"/>
      <c r="AK55" s="4"/>
      <c r="AL55" s="4"/>
      <c r="AM55" s="4"/>
    </row>
    <row r="56">
      <c r="A56" s="4"/>
      <c r="B56" s="114" t="s">
        <v>151</v>
      </c>
      <c r="C56" s="114" t="s">
        <v>61</v>
      </c>
      <c r="D56" s="115"/>
      <c r="E56" s="124" t="s">
        <v>195</v>
      </c>
      <c r="F56" s="160"/>
      <c r="G56" s="160">
        <v>40000.0</v>
      </c>
      <c r="H56" s="161">
        <v>1.0</v>
      </c>
      <c r="I56" s="126">
        <f t="shared" si="11"/>
        <v>40000</v>
      </c>
      <c r="J56" s="128" t="s">
        <v>153</v>
      </c>
      <c r="K56" s="50"/>
      <c r="L56" s="132">
        <f t="shared" si="12"/>
        <v>66666.66667</v>
      </c>
      <c r="M56" s="128" t="s">
        <v>153</v>
      </c>
      <c r="N56" s="132">
        <f t="shared" si="13"/>
        <v>17.54385965</v>
      </c>
      <c r="O56" s="128" t="s">
        <v>153</v>
      </c>
      <c r="P56" s="50"/>
      <c r="Q56" s="93"/>
      <c r="R56" s="93"/>
      <c r="S56" s="93"/>
      <c r="T56" s="93"/>
      <c r="U56" s="53"/>
      <c r="V56" s="94"/>
      <c r="W56" s="95"/>
      <c r="X56" s="53"/>
      <c r="Y56" s="103"/>
      <c r="Z56" s="104"/>
      <c r="AA56" s="103"/>
      <c r="AB56" s="104"/>
      <c r="AC56" s="99"/>
      <c r="AD56" s="99"/>
      <c r="AE56" s="99"/>
      <c r="AF56" s="4"/>
      <c r="AG56" s="99"/>
      <c r="AH56" s="100"/>
      <c r="AI56" s="100"/>
      <c r="AJ56" s="100"/>
      <c r="AK56" s="4"/>
      <c r="AL56" s="4"/>
      <c r="AM56" s="4"/>
    </row>
    <row r="57">
      <c r="A57" s="4"/>
      <c r="B57" s="114" t="s">
        <v>151</v>
      </c>
      <c r="C57" s="114" t="s">
        <v>61</v>
      </c>
      <c r="D57" s="115"/>
      <c r="E57" s="124" t="s">
        <v>196</v>
      </c>
      <c r="F57" s="160"/>
      <c r="G57" s="160">
        <v>70000.0</v>
      </c>
      <c r="H57" s="161">
        <v>1.0</v>
      </c>
      <c r="I57" s="126">
        <f t="shared" si="11"/>
        <v>70000</v>
      </c>
      <c r="J57" s="128" t="s">
        <v>153</v>
      </c>
      <c r="K57" s="50"/>
      <c r="L57" s="132">
        <f t="shared" si="12"/>
        <v>116666.6667</v>
      </c>
      <c r="M57" s="128" t="s">
        <v>153</v>
      </c>
      <c r="N57" s="132">
        <f t="shared" si="13"/>
        <v>30.70175439</v>
      </c>
      <c r="O57" s="128" t="s">
        <v>153</v>
      </c>
      <c r="P57" s="50"/>
      <c r="Q57" s="93"/>
      <c r="R57" s="93"/>
      <c r="S57" s="93"/>
      <c r="T57" s="93"/>
      <c r="U57" s="53"/>
      <c r="V57" s="94"/>
      <c r="W57" s="95"/>
      <c r="X57" s="53"/>
      <c r="Y57" s="103"/>
      <c r="Z57" s="104"/>
      <c r="AA57" s="103"/>
      <c r="AB57" s="104"/>
      <c r="AC57" s="99"/>
      <c r="AD57" s="99"/>
      <c r="AE57" s="99"/>
      <c r="AF57" s="4"/>
      <c r="AG57" s="99"/>
      <c r="AH57" s="100"/>
      <c r="AI57" s="100"/>
      <c r="AJ57" s="100"/>
      <c r="AK57" s="4"/>
      <c r="AL57" s="4"/>
      <c r="AM57" s="4"/>
    </row>
    <row r="58">
      <c r="A58" s="4"/>
      <c r="B58" s="114" t="s">
        <v>151</v>
      </c>
      <c r="C58" s="114" t="s">
        <v>61</v>
      </c>
      <c r="D58" s="115" t="s">
        <v>58</v>
      </c>
      <c r="E58" s="124" t="s">
        <v>197</v>
      </c>
      <c r="F58" s="160"/>
      <c r="G58" s="160">
        <v>42000.0</v>
      </c>
      <c r="H58" s="161">
        <v>1.0</v>
      </c>
      <c r="I58" s="126">
        <f t="shared" si="11"/>
        <v>42000</v>
      </c>
      <c r="J58" s="126">
        <f t="shared" ref="J58:J59" si="14">G58*H58</f>
        <v>42000</v>
      </c>
      <c r="K58" s="50"/>
      <c r="L58" s="132">
        <f t="shared" si="12"/>
        <v>70000</v>
      </c>
      <c r="M58" s="132">
        <f t="shared" ref="M58:M59" si="15">J58/0.6</f>
        <v>70000</v>
      </c>
      <c r="N58" s="132">
        <f t="shared" si="13"/>
        <v>18.42105263</v>
      </c>
      <c r="O58" s="126">
        <f t="shared" ref="O58:O59" si="16">M58/$H$95</f>
        <v>18.42105263</v>
      </c>
      <c r="P58" s="50"/>
      <c r="Q58" s="93"/>
      <c r="R58" s="93"/>
      <c r="S58" s="93"/>
      <c r="T58" s="93"/>
      <c r="U58" s="53"/>
      <c r="V58" s="94"/>
      <c r="W58" s="95"/>
      <c r="X58" s="53"/>
      <c r="Y58" s="103"/>
      <c r="Z58" s="104"/>
      <c r="AA58" s="103"/>
      <c r="AB58" s="104"/>
      <c r="AC58" s="99"/>
      <c r="AD58" s="99"/>
      <c r="AE58" s="99"/>
      <c r="AF58" s="4"/>
      <c r="AG58" s="99"/>
      <c r="AH58" s="100"/>
      <c r="AI58" s="100"/>
      <c r="AJ58" s="100"/>
      <c r="AK58" s="4"/>
      <c r="AL58" s="4"/>
      <c r="AM58" s="4"/>
    </row>
    <row r="59">
      <c r="A59" s="4"/>
      <c r="B59" s="114" t="s">
        <v>151</v>
      </c>
      <c r="C59" s="114" t="s">
        <v>61</v>
      </c>
      <c r="D59" s="115" t="s">
        <v>58</v>
      </c>
      <c r="E59" s="124" t="s">
        <v>198</v>
      </c>
      <c r="F59" s="160"/>
      <c r="G59" s="160">
        <v>60000.0</v>
      </c>
      <c r="H59" s="161">
        <v>1.0</v>
      </c>
      <c r="I59" s="126">
        <f t="shared" si="11"/>
        <v>60000</v>
      </c>
      <c r="J59" s="126">
        <f t="shared" si="14"/>
        <v>60000</v>
      </c>
      <c r="K59" s="50"/>
      <c r="L59" s="132">
        <f t="shared" si="12"/>
        <v>100000</v>
      </c>
      <c r="M59" s="132">
        <f t="shared" si="15"/>
        <v>100000</v>
      </c>
      <c r="N59" s="132">
        <f t="shared" si="13"/>
        <v>26.31578947</v>
      </c>
      <c r="O59" s="126">
        <f t="shared" si="16"/>
        <v>26.31578947</v>
      </c>
      <c r="P59" s="50"/>
      <c r="Q59" s="93"/>
      <c r="R59" s="93"/>
      <c r="S59" s="93"/>
      <c r="T59" s="93"/>
      <c r="U59" s="53"/>
      <c r="V59" s="94"/>
      <c r="W59" s="95"/>
      <c r="X59" s="53"/>
      <c r="Y59" s="103"/>
      <c r="Z59" s="104"/>
      <c r="AA59" s="103"/>
      <c r="AB59" s="104"/>
      <c r="AC59" s="99"/>
      <c r="AD59" s="99"/>
      <c r="AE59" s="99"/>
      <c r="AF59" s="4"/>
      <c r="AG59" s="99"/>
      <c r="AH59" s="100"/>
      <c r="AI59" s="100"/>
      <c r="AJ59" s="100"/>
      <c r="AK59" s="4"/>
      <c r="AL59" s="4"/>
      <c r="AM59" s="4"/>
    </row>
    <row r="60">
      <c r="A60" s="4"/>
      <c r="B60" s="114" t="s">
        <v>151</v>
      </c>
      <c r="C60" s="114" t="s">
        <v>61</v>
      </c>
      <c r="D60" s="162"/>
      <c r="E60" s="124" t="s">
        <v>199</v>
      </c>
      <c r="F60" s="160"/>
      <c r="G60" s="160">
        <v>45000.0</v>
      </c>
      <c r="H60" s="161">
        <v>1.0</v>
      </c>
      <c r="I60" s="126">
        <f t="shared" si="11"/>
        <v>45000</v>
      </c>
      <c r="J60" s="128" t="s">
        <v>153</v>
      </c>
      <c r="K60" s="50"/>
      <c r="L60" s="132">
        <f t="shared" si="12"/>
        <v>75000</v>
      </c>
      <c r="M60" s="128" t="s">
        <v>153</v>
      </c>
      <c r="N60" s="132">
        <f t="shared" si="13"/>
        <v>19.73684211</v>
      </c>
      <c r="O60" s="128" t="s">
        <v>153</v>
      </c>
      <c r="P60" s="50"/>
      <c r="Q60" s="93"/>
      <c r="R60" s="93"/>
      <c r="S60" s="93"/>
      <c r="T60" s="93"/>
      <c r="U60" s="53"/>
      <c r="V60" s="94"/>
      <c r="W60" s="95"/>
      <c r="X60" s="53"/>
      <c r="Y60" s="103"/>
      <c r="Z60" s="104"/>
      <c r="AA60" s="103"/>
      <c r="AB60" s="104"/>
      <c r="AC60" s="99"/>
      <c r="AD60" s="99"/>
      <c r="AE60" s="99"/>
      <c r="AF60" s="4"/>
      <c r="AG60" s="99"/>
      <c r="AH60" s="100"/>
      <c r="AI60" s="100"/>
      <c r="AJ60" s="100"/>
      <c r="AK60" s="4"/>
      <c r="AL60" s="4"/>
      <c r="AM60" s="4"/>
    </row>
    <row r="61">
      <c r="A61" s="4"/>
      <c r="B61" s="114" t="s">
        <v>151</v>
      </c>
      <c r="C61" s="114" t="s">
        <v>61</v>
      </c>
      <c r="D61" s="48"/>
      <c r="E61" s="124" t="s">
        <v>200</v>
      </c>
      <c r="F61" s="160"/>
      <c r="G61" s="160">
        <v>40000.0</v>
      </c>
      <c r="H61" s="161">
        <v>1.0</v>
      </c>
      <c r="I61" s="126">
        <f t="shared" si="11"/>
        <v>40000</v>
      </c>
      <c r="J61" s="128" t="s">
        <v>153</v>
      </c>
      <c r="K61" s="50"/>
      <c r="L61" s="132">
        <f t="shared" si="12"/>
        <v>66666.66667</v>
      </c>
      <c r="M61" s="128" t="s">
        <v>153</v>
      </c>
      <c r="N61" s="132">
        <f t="shared" si="13"/>
        <v>17.54385965</v>
      </c>
      <c r="O61" s="128" t="s">
        <v>153</v>
      </c>
      <c r="P61" s="50"/>
      <c r="Q61" s="93"/>
      <c r="R61" s="93"/>
      <c r="S61" s="93"/>
      <c r="T61" s="93"/>
      <c r="U61" s="53"/>
      <c r="V61" s="94"/>
      <c r="W61" s="95"/>
      <c r="X61" s="53"/>
      <c r="Y61" s="103"/>
      <c r="Z61" s="104"/>
      <c r="AA61" s="103"/>
      <c r="AB61" s="104"/>
      <c r="AC61" s="99"/>
      <c r="AD61" s="99"/>
      <c r="AE61" s="99"/>
      <c r="AF61" s="4"/>
      <c r="AG61" s="99"/>
      <c r="AH61" s="100"/>
      <c r="AI61" s="100"/>
      <c r="AJ61" s="100"/>
      <c r="AK61" s="4"/>
      <c r="AL61" s="4"/>
      <c r="AM61" s="4"/>
    </row>
    <row r="62">
      <c r="A62" s="4"/>
      <c r="B62" s="114" t="s">
        <v>151</v>
      </c>
      <c r="C62" s="114" t="s">
        <v>61</v>
      </c>
      <c r="D62" s="115"/>
      <c r="E62" s="163" t="s">
        <v>201</v>
      </c>
      <c r="F62" s="160"/>
      <c r="G62" s="160">
        <v>60000.0</v>
      </c>
      <c r="H62" s="161">
        <v>1.0</v>
      </c>
      <c r="I62" s="126">
        <f t="shared" si="11"/>
        <v>60000</v>
      </c>
      <c r="J62" s="128" t="s">
        <v>153</v>
      </c>
      <c r="K62" s="50"/>
      <c r="L62" s="132">
        <f t="shared" si="12"/>
        <v>100000</v>
      </c>
      <c r="M62" s="128" t="s">
        <v>153</v>
      </c>
      <c r="N62" s="126">
        <f t="shared" si="13"/>
        <v>26.31578947</v>
      </c>
      <c r="O62" s="128" t="s">
        <v>153</v>
      </c>
      <c r="P62" s="50"/>
      <c r="Q62" s="93"/>
      <c r="R62" s="93"/>
      <c r="S62" s="93"/>
      <c r="T62" s="93"/>
      <c r="U62" s="53"/>
      <c r="V62" s="94"/>
      <c r="W62" s="95"/>
      <c r="X62" s="53"/>
      <c r="Y62" s="103"/>
      <c r="Z62" s="104"/>
      <c r="AA62" s="103"/>
      <c r="AB62" s="104"/>
      <c r="AC62" s="99"/>
      <c r="AD62" s="99"/>
      <c r="AE62" s="99"/>
      <c r="AF62" s="4"/>
      <c r="AG62" s="99"/>
      <c r="AH62" s="100"/>
      <c r="AI62" s="100"/>
      <c r="AJ62" s="100"/>
      <c r="AK62" s="4"/>
      <c r="AL62" s="4"/>
      <c r="AM62" s="4"/>
    </row>
    <row r="63">
      <c r="A63" s="4"/>
      <c r="B63" s="114" t="s">
        <v>151</v>
      </c>
      <c r="C63" s="114" t="s">
        <v>61</v>
      </c>
      <c r="D63" s="115"/>
      <c r="E63" s="124" t="s">
        <v>202</v>
      </c>
      <c r="F63" s="160"/>
      <c r="G63" s="160">
        <v>60000.0</v>
      </c>
      <c r="H63" s="161">
        <v>1.0</v>
      </c>
      <c r="I63" s="126">
        <f t="shared" si="11"/>
        <v>60000</v>
      </c>
      <c r="J63" s="128" t="s">
        <v>153</v>
      </c>
      <c r="K63" s="50"/>
      <c r="L63" s="132">
        <f t="shared" si="12"/>
        <v>100000</v>
      </c>
      <c r="M63" s="128" t="s">
        <v>153</v>
      </c>
      <c r="N63" s="126">
        <f t="shared" si="13"/>
        <v>26.31578947</v>
      </c>
      <c r="O63" s="128" t="s">
        <v>153</v>
      </c>
      <c r="P63" s="50"/>
      <c r="Q63" s="93"/>
      <c r="R63" s="93"/>
      <c r="S63" s="93"/>
      <c r="T63" s="93"/>
      <c r="U63" s="53"/>
      <c r="V63" s="94"/>
      <c r="W63" s="95"/>
      <c r="X63" s="53"/>
      <c r="Y63" s="103"/>
      <c r="Z63" s="104"/>
      <c r="AA63" s="103"/>
      <c r="AB63" s="104"/>
      <c r="AC63" s="99"/>
      <c r="AD63" s="99"/>
      <c r="AE63" s="99"/>
      <c r="AF63" s="4"/>
      <c r="AG63" s="99"/>
      <c r="AH63" s="100"/>
      <c r="AI63" s="100"/>
      <c r="AJ63" s="100"/>
      <c r="AK63" s="4"/>
      <c r="AL63" s="4"/>
      <c r="AM63" s="4"/>
    </row>
    <row r="64">
      <c r="A64" s="4"/>
      <c r="B64" s="114" t="s">
        <v>151</v>
      </c>
      <c r="C64" s="4"/>
      <c r="D64" s="115" t="s">
        <v>58</v>
      </c>
      <c r="E64" s="124" t="s">
        <v>203</v>
      </c>
      <c r="F64" s="160"/>
      <c r="G64" s="160">
        <v>116000.0</v>
      </c>
      <c r="H64" s="161">
        <v>1.0</v>
      </c>
      <c r="I64" s="128" t="s">
        <v>153</v>
      </c>
      <c r="J64" s="126">
        <f t="shared" ref="J64:J65" si="17">G64*H64</f>
        <v>116000</v>
      </c>
      <c r="K64" s="50"/>
      <c r="L64" s="128" t="s">
        <v>153</v>
      </c>
      <c r="M64" s="132">
        <f>J64/0.6</f>
        <v>193333.3333</v>
      </c>
      <c r="N64" s="128" t="s">
        <v>153</v>
      </c>
      <c r="O64" s="126">
        <f>M64/$H$95</f>
        <v>50.87719298</v>
      </c>
      <c r="P64" s="50"/>
      <c r="Q64" s="93"/>
      <c r="R64" s="93"/>
      <c r="S64" s="93"/>
      <c r="T64" s="93"/>
      <c r="U64" s="53"/>
      <c r="V64" s="94"/>
      <c r="W64" s="95"/>
      <c r="X64" s="53"/>
      <c r="Y64" s="103"/>
      <c r="Z64" s="104"/>
      <c r="AA64" s="103"/>
      <c r="AB64" s="104"/>
      <c r="AC64" s="99"/>
      <c r="AD64" s="99"/>
      <c r="AE64" s="99"/>
      <c r="AF64" s="4"/>
      <c r="AG64" s="99"/>
      <c r="AH64" s="100"/>
      <c r="AI64" s="100"/>
      <c r="AJ64" s="100"/>
      <c r="AK64" s="4"/>
      <c r="AL64" s="4"/>
      <c r="AM64" s="4"/>
    </row>
    <row r="65">
      <c r="A65" s="4"/>
      <c r="B65" s="114" t="s">
        <v>151</v>
      </c>
      <c r="C65" s="114" t="s">
        <v>61</v>
      </c>
      <c r="D65" s="115" t="s">
        <v>58</v>
      </c>
      <c r="E65" s="163" t="s">
        <v>204</v>
      </c>
      <c r="F65" s="160"/>
      <c r="G65" s="160">
        <v>108000.0</v>
      </c>
      <c r="H65" s="161">
        <v>1.0</v>
      </c>
      <c r="I65" s="126">
        <f>G65*H65</f>
        <v>108000</v>
      </c>
      <c r="J65" s="126">
        <f t="shared" si="17"/>
        <v>108000</v>
      </c>
      <c r="K65" s="50"/>
      <c r="L65" s="132">
        <f t="shared" ref="L65:M65" si="18">I65/0.6</f>
        <v>180000</v>
      </c>
      <c r="M65" s="132">
        <f t="shared" si="18"/>
        <v>180000</v>
      </c>
      <c r="N65" s="126">
        <f t="shared" ref="N65:O65" si="19">L65/$H$95</f>
        <v>47.36842105</v>
      </c>
      <c r="O65" s="126">
        <f t="shared" si="19"/>
        <v>47.36842105</v>
      </c>
      <c r="P65" s="50"/>
      <c r="Q65" s="93"/>
      <c r="R65" s="93"/>
      <c r="S65" s="93"/>
      <c r="T65" s="93"/>
      <c r="U65" s="53"/>
      <c r="V65" s="94"/>
      <c r="W65" s="95"/>
      <c r="X65" s="53"/>
      <c r="Y65" s="103"/>
      <c r="Z65" s="104"/>
      <c r="AA65" s="103"/>
      <c r="AB65" s="104"/>
      <c r="AC65" s="99"/>
      <c r="AD65" s="99"/>
      <c r="AE65" s="99"/>
      <c r="AF65" s="4"/>
      <c r="AG65" s="99"/>
      <c r="AH65" s="100"/>
      <c r="AI65" s="100"/>
      <c r="AJ65" s="100"/>
      <c r="AK65" s="4"/>
      <c r="AL65" s="4"/>
      <c r="AM65" s="4"/>
    </row>
    <row r="66">
      <c r="A66" s="4"/>
      <c r="B66" s="114" t="s">
        <v>151</v>
      </c>
      <c r="C66" s="4"/>
      <c r="D66" s="115"/>
      <c r="E66" s="137" t="s">
        <v>183</v>
      </c>
      <c r="F66" s="164"/>
      <c r="G66" s="139"/>
      <c r="H66" s="138"/>
      <c r="I66" s="139"/>
      <c r="J66" s="139"/>
      <c r="K66" s="50"/>
      <c r="L66" s="140"/>
      <c r="M66" s="140"/>
      <c r="N66" s="140"/>
      <c r="O66" s="140"/>
      <c r="P66" s="50"/>
      <c r="Q66" s="93"/>
      <c r="R66" s="93"/>
      <c r="S66" s="93"/>
      <c r="T66" s="93"/>
      <c r="U66" s="53"/>
      <c r="V66" s="94"/>
      <c r="W66" s="95"/>
      <c r="X66" s="53"/>
      <c r="Y66" s="103"/>
      <c r="Z66" s="104"/>
      <c r="AA66" s="103"/>
      <c r="AB66" s="104"/>
      <c r="AC66" s="99"/>
      <c r="AD66" s="99"/>
      <c r="AE66" s="99"/>
      <c r="AF66" s="4"/>
      <c r="AG66" s="99"/>
      <c r="AH66" s="100"/>
      <c r="AI66" s="100"/>
      <c r="AJ66" s="100"/>
      <c r="AK66" s="4"/>
      <c r="AL66" s="4"/>
      <c r="AM66" s="4"/>
    </row>
    <row r="67">
      <c r="A67" s="4"/>
      <c r="B67" s="114" t="s">
        <v>151</v>
      </c>
      <c r="C67" s="4"/>
      <c r="D67" s="115" t="s">
        <v>58</v>
      </c>
      <c r="E67" s="142" t="s">
        <v>205</v>
      </c>
      <c r="F67" s="165"/>
      <c r="G67" s="165">
        <v>350000.0</v>
      </c>
      <c r="H67" s="166">
        <v>1.0</v>
      </c>
      <c r="I67" s="128" t="s">
        <v>153</v>
      </c>
      <c r="J67" s="144">
        <f t="shared" ref="J67:J71" si="20">G67*H67</f>
        <v>350000</v>
      </c>
      <c r="K67" s="167"/>
      <c r="L67" s="128" t="s">
        <v>153</v>
      </c>
      <c r="M67" s="168">
        <f>J67/0.7</f>
        <v>500000</v>
      </c>
      <c r="N67" s="128" t="s">
        <v>153</v>
      </c>
      <c r="O67" s="144">
        <f t="shared" ref="O67:O68" si="21">M67/$H$95</f>
        <v>131.5789474</v>
      </c>
      <c r="P67" s="50"/>
      <c r="Q67" s="93"/>
      <c r="R67" s="93"/>
      <c r="S67" s="93"/>
      <c r="T67" s="93"/>
      <c r="U67" s="53"/>
      <c r="V67" s="94"/>
      <c r="W67" s="95"/>
      <c r="X67" s="53"/>
      <c r="Y67" s="103"/>
      <c r="Z67" s="104"/>
      <c r="AA67" s="103"/>
      <c r="AB67" s="104"/>
      <c r="AC67" s="99"/>
      <c r="AD67" s="99"/>
      <c r="AE67" s="99"/>
      <c r="AF67" s="4"/>
      <c r="AG67" s="99"/>
      <c r="AH67" s="100"/>
      <c r="AI67" s="100"/>
      <c r="AJ67" s="100"/>
      <c r="AK67" s="4"/>
      <c r="AL67" s="4"/>
      <c r="AM67" s="4"/>
    </row>
    <row r="68">
      <c r="A68" s="4"/>
      <c r="B68" s="114" t="s">
        <v>151</v>
      </c>
      <c r="C68" s="114"/>
      <c r="D68" s="115" t="s">
        <v>58</v>
      </c>
      <c r="E68" s="147" t="s">
        <v>206</v>
      </c>
      <c r="F68" s="165"/>
      <c r="G68" s="165">
        <v>131000.0</v>
      </c>
      <c r="H68" s="166">
        <v>1.0</v>
      </c>
      <c r="I68" s="128" t="s">
        <v>153</v>
      </c>
      <c r="J68" s="144">
        <f t="shared" si="20"/>
        <v>131000</v>
      </c>
      <c r="K68" s="167"/>
      <c r="L68" s="128" t="s">
        <v>153</v>
      </c>
      <c r="M68" s="168">
        <f>J68/0.9</f>
        <v>145555.5556</v>
      </c>
      <c r="N68" s="128" t="s">
        <v>153</v>
      </c>
      <c r="O68" s="144">
        <f t="shared" si="21"/>
        <v>38.30409357</v>
      </c>
      <c r="P68" s="50"/>
      <c r="Q68" s="93"/>
      <c r="R68" s="93"/>
      <c r="S68" s="93"/>
      <c r="T68" s="93"/>
      <c r="U68" s="53"/>
      <c r="V68" s="94"/>
      <c r="W68" s="95"/>
      <c r="X68" s="53"/>
      <c r="Y68" s="103"/>
      <c r="Z68" s="104"/>
      <c r="AA68" s="103"/>
      <c r="AB68" s="104"/>
      <c r="AC68" s="99"/>
      <c r="AD68" s="99"/>
      <c r="AE68" s="99"/>
      <c r="AF68" s="4"/>
      <c r="AG68" s="99"/>
      <c r="AH68" s="100"/>
      <c r="AI68" s="100"/>
      <c r="AJ68" s="100"/>
      <c r="AK68" s="4"/>
      <c r="AL68" s="4"/>
      <c r="AM68" s="4"/>
    </row>
    <row r="69">
      <c r="A69" s="4"/>
      <c r="B69" s="114" t="s">
        <v>151</v>
      </c>
      <c r="C69" s="114" t="s">
        <v>61</v>
      </c>
      <c r="D69" s="115" t="s">
        <v>58</v>
      </c>
      <c r="E69" s="142" t="s">
        <v>207</v>
      </c>
      <c r="F69" s="165"/>
      <c r="G69" s="165">
        <v>320000.0</v>
      </c>
      <c r="H69" s="166">
        <v>1.0</v>
      </c>
      <c r="I69" s="144">
        <f t="shared" ref="I69:I70" si="24">G69*H69</f>
        <v>320000</v>
      </c>
      <c r="J69" s="144">
        <f t="shared" si="20"/>
        <v>320000</v>
      </c>
      <c r="K69" s="167"/>
      <c r="L69" s="168">
        <f t="shared" ref="L69:M69" si="22">I69/0.7</f>
        <v>457142.8571</v>
      </c>
      <c r="M69" s="168">
        <f t="shared" si="22"/>
        <v>457142.8571</v>
      </c>
      <c r="N69" s="144">
        <f t="shared" ref="N69:O69" si="23">L69/$H$95</f>
        <v>120.3007519</v>
      </c>
      <c r="O69" s="144">
        <f t="shared" si="23"/>
        <v>120.3007519</v>
      </c>
      <c r="P69" s="50"/>
      <c r="Q69" s="93"/>
      <c r="R69" s="93"/>
      <c r="S69" s="93"/>
      <c r="T69" s="93"/>
      <c r="U69" s="53"/>
      <c r="V69" s="94"/>
      <c r="W69" s="95"/>
      <c r="X69" s="53"/>
      <c r="Y69" s="103"/>
      <c r="Z69" s="104"/>
      <c r="AA69" s="103"/>
      <c r="AB69" s="104"/>
      <c r="AC69" s="99"/>
      <c r="AD69" s="99"/>
      <c r="AE69" s="99"/>
      <c r="AF69" s="4"/>
      <c r="AG69" s="99"/>
      <c r="AH69" s="100"/>
      <c r="AI69" s="100"/>
      <c r="AJ69" s="100"/>
      <c r="AK69" s="4"/>
      <c r="AL69" s="4"/>
      <c r="AM69" s="4"/>
    </row>
    <row r="70">
      <c r="A70" s="4"/>
      <c r="B70" s="114" t="s">
        <v>151</v>
      </c>
      <c r="C70" s="114" t="s">
        <v>61</v>
      </c>
      <c r="D70" s="115" t="s">
        <v>58</v>
      </c>
      <c r="E70" s="142" t="s">
        <v>82</v>
      </c>
      <c r="F70" s="165"/>
      <c r="G70" s="165">
        <v>260000.0</v>
      </c>
      <c r="H70" s="166">
        <v>1.0</v>
      </c>
      <c r="I70" s="144">
        <f t="shared" si="24"/>
        <v>260000</v>
      </c>
      <c r="J70" s="144">
        <f t="shared" si="20"/>
        <v>260000</v>
      </c>
      <c r="K70" s="50"/>
      <c r="L70" s="168">
        <f t="shared" ref="L70:M70" si="25">I70/0.7</f>
        <v>371428.5714</v>
      </c>
      <c r="M70" s="168">
        <f t="shared" si="25"/>
        <v>371428.5714</v>
      </c>
      <c r="N70" s="144">
        <f t="shared" ref="N70:O70" si="26">L70/$H$95</f>
        <v>97.7443609</v>
      </c>
      <c r="O70" s="144">
        <f t="shared" si="26"/>
        <v>97.7443609</v>
      </c>
      <c r="P70" s="50"/>
      <c r="Q70" s="93"/>
      <c r="R70" s="93"/>
      <c r="S70" s="93"/>
      <c r="T70" s="93"/>
      <c r="U70" s="53"/>
      <c r="V70" s="94"/>
      <c r="W70" s="95"/>
      <c r="X70" s="53"/>
      <c r="Y70" s="103"/>
      <c r="Z70" s="104"/>
      <c r="AA70" s="103"/>
      <c r="AB70" s="104"/>
      <c r="AC70" s="99"/>
      <c r="AD70" s="99"/>
      <c r="AE70" s="99"/>
      <c r="AF70" s="4"/>
      <c r="AG70" s="99"/>
      <c r="AH70" s="100"/>
      <c r="AI70" s="100"/>
      <c r="AJ70" s="100"/>
      <c r="AK70" s="4"/>
      <c r="AL70" s="4"/>
      <c r="AM70" s="4"/>
    </row>
    <row r="71">
      <c r="A71" s="4"/>
      <c r="B71" s="114" t="s">
        <v>151</v>
      </c>
      <c r="C71" s="4"/>
      <c r="D71" s="115" t="s">
        <v>58</v>
      </c>
      <c r="E71" s="142" t="s">
        <v>60</v>
      </c>
      <c r="F71" s="165"/>
      <c r="G71" s="165">
        <v>280000.0</v>
      </c>
      <c r="H71" s="166">
        <v>1.0</v>
      </c>
      <c r="I71" s="128" t="s">
        <v>153</v>
      </c>
      <c r="J71" s="144">
        <f t="shared" si="20"/>
        <v>280000</v>
      </c>
      <c r="K71" s="50"/>
      <c r="L71" s="128" t="s">
        <v>153</v>
      </c>
      <c r="M71" s="168">
        <f>J71/0.75</f>
        <v>373333.3333</v>
      </c>
      <c r="N71" s="128" t="s">
        <v>153</v>
      </c>
      <c r="O71" s="144">
        <f>M71/$H$95</f>
        <v>98.24561404</v>
      </c>
      <c r="P71" s="50"/>
      <c r="Q71" s="93"/>
      <c r="R71" s="93"/>
      <c r="S71" s="93"/>
      <c r="T71" s="93"/>
      <c r="U71" s="53"/>
      <c r="V71" s="94"/>
      <c r="W71" s="95"/>
      <c r="X71" s="53"/>
      <c r="Y71" s="103"/>
      <c r="Z71" s="104"/>
      <c r="AA71" s="103"/>
      <c r="AB71" s="104"/>
      <c r="AC71" s="99"/>
      <c r="AD71" s="99"/>
      <c r="AE71" s="99"/>
      <c r="AF71" s="4"/>
      <c r="AG71" s="99"/>
      <c r="AH71" s="100"/>
      <c r="AI71" s="100"/>
      <c r="AJ71" s="100"/>
      <c r="AK71" s="4"/>
      <c r="AL71" s="4"/>
      <c r="AM71" s="4"/>
    </row>
    <row r="72">
      <c r="A72" s="4"/>
      <c r="B72" s="114" t="s">
        <v>151</v>
      </c>
      <c r="C72" s="114" t="s">
        <v>61</v>
      </c>
      <c r="D72" s="115"/>
      <c r="E72" s="142" t="s">
        <v>62</v>
      </c>
      <c r="F72" s="165"/>
      <c r="G72" s="165">
        <v>280000.0</v>
      </c>
      <c r="H72" s="169">
        <v>1.0</v>
      </c>
      <c r="I72" s="144">
        <f t="shared" ref="I72:I73" si="27">G72*H72</f>
        <v>280000</v>
      </c>
      <c r="J72" s="128" t="s">
        <v>153</v>
      </c>
      <c r="K72" s="50"/>
      <c r="L72" s="168">
        <f>I72/0.72</f>
        <v>388888.8889</v>
      </c>
      <c r="M72" s="128" t="s">
        <v>153</v>
      </c>
      <c r="N72" s="144">
        <f t="shared" ref="N72:N73" si="28">L72/$H$95</f>
        <v>102.3391813</v>
      </c>
      <c r="O72" s="128" t="s">
        <v>153</v>
      </c>
      <c r="P72" s="50"/>
      <c r="Q72" s="93"/>
      <c r="R72" s="93"/>
      <c r="S72" s="93"/>
      <c r="T72" s="93"/>
      <c r="U72" s="53"/>
      <c r="V72" s="94"/>
      <c r="W72" s="95"/>
      <c r="X72" s="53"/>
      <c r="Y72" s="103"/>
      <c r="Z72" s="104"/>
      <c r="AA72" s="103"/>
      <c r="AB72" s="104"/>
      <c r="AC72" s="99"/>
      <c r="AD72" s="99"/>
      <c r="AE72" s="99"/>
      <c r="AF72" s="4"/>
      <c r="AG72" s="99"/>
      <c r="AH72" s="100"/>
      <c r="AI72" s="100"/>
      <c r="AJ72" s="100"/>
      <c r="AK72" s="4"/>
      <c r="AL72" s="4"/>
      <c r="AM72" s="4"/>
    </row>
    <row r="73">
      <c r="A73" s="4"/>
      <c r="B73" s="114" t="s">
        <v>151</v>
      </c>
      <c r="C73" s="114" t="s">
        <v>61</v>
      </c>
      <c r="D73" s="115"/>
      <c r="E73" s="147" t="s">
        <v>63</v>
      </c>
      <c r="F73" s="165"/>
      <c r="G73" s="165">
        <v>330000.0</v>
      </c>
      <c r="H73" s="169">
        <v>1.0</v>
      </c>
      <c r="I73" s="144">
        <f t="shared" si="27"/>
        <v>330000</v>
      </c>
      <c r="J73" s="128" t="s">
        <v>153</v>
      </c>
      <c r="K73" s="50"/>
      <c r="L73" s="168">
        <f>I73/0.7</f>
        <v>471428.5714</v>
      </c>
      <c r="M73" s="128" t="s">
        <v>153</v>
      </c>
      <c r="N73" s="144">
        <f t="shared" si="28"/>
        <v>124.0601504</v>
      </c>
      <c r="O73" s="128" t="s">
        <v>153</v>
      </c>
      <c r="P73" s="50"/>
      <c r="Q73" s="93"/>
      <c r="R73" s="93"/>
      <c r="S73" s="93"/>
      <c r="T73" s="93"/>
      <c r="U73" s="53"/>
      <c r="V73" s="94"/>
      <c r="W73" s="95"/>
      <c r="X73" s="53"/>
      <c r="Y73" s="103"/>
      <c r="Z73" s="104"/>
      <c r="AA73" s="103"/>
      <c r="AB73" s="104"/>
      <c r="AC73" s="99"/>
      <c r="AD73" s="99"/>
      <c r="AE73" s="99"/>
      <c r="AF73" s="4"/>
      <c r="AG73" s="99"/>
      <c r="AH73" s="100"/>
      <c r="AI73" s="100"/>
      <c r="AJ73" s="100"/>
      <c r="AK73" s="4"/>
      <c r="AL73" s="4"/>
      <c r="AM73" s="4"/>
    </row>
    <row r="74">
      <c r="A74" s="4"/>
      <c r="B74" s="4"/>
      <c r="C74" s="4"/>
      <c r="D74" s="115" t="s">
        <v>58</v>
      </c>
      <c r="E74" s="147" t="s">
        <v>208</v>
      </c>
      <c r="F74" s="165"/>
      <c r="G74" s="165">
        <v>2800000.0</v>
      </c>
      <c r="H74" s="169">
        <v>1.0</v>
      </c>
      <c r="I74" s="128" t="s">
        <v>153</v>
      </c>
      <c r="J74" s="144">
        <f>G74*H74</f>
        <v>2800000</v>
      </c>
      <c r="K74" s="50"/>
      <c r="L74" s="128" t="s">
        <v>153</v>
      </c>
      <c r="M74" s="168">
        <f>J74/0.95</f>
        <v>2947368.421</v>
      </c>
      <c r="N74" s="128" t="s">
        <v>153</v>
      </c>
      <c r="O74" s="144">
        <f t="shared" ref="O74:O75" si="29">M74/$H$95</f>
        <v>775.6232687</v>
      </c>
      <c r="P74" s="50"/>
      <c r="Q74" s="93"/>
      <c r="R74" s="93"/>
      <c r="S74" s="93"/>
      <c r="T74" s="93"/>
      <c r="U74" s="53"/>
      <c r="V74" s="94"/>
      <c r="W74" s="95"/>
      <c r="X74" s="53"/>
      <c r="Y74" s="103"/>
      <c r="Z74" s="104"/>
      <c r="AA74" s="103"/>
      <c r="AB74" s="104"/>
      <c r="AC74" s="99"/>
      <c r="AD74" s="99"/>
      <c r="AE74" s="99"/>
      <c r="AF74" s="4"/>
      <c r="AG74" s="99"/>
      <c r="AH74" s="100"/>
      <c r="AI74" s="100"/>
      <c r="AJ74" s="100"/>
      <c r="AK74" s="4"/>
      <c r="AL74" s="4"/>
      <c r="AM74" s="4"/>
    </row>
    <row r="75">
      <c r="A75" s="4"/>
      <c r="B75" s="114" t="s">
        <v>151</v>
      </c>
      <c r="C75" s="4"/>
      <c r="D75" s="115" t="s">
        <v>58</v>
      </c>
      <c r="E75" s="147" t="s">
        <v>209</v>
      </c>
      <c r="F75" s="165"/>
      <c r="G75" s="165">
        <v>0.0</v>
      </c>
      <c r="H75" s="169">
        <v>1.0</v>
      </c>
      <c r="I75" s="128" t="s">
        <v>153</v>
      </c>
      <c r="J75" s="170">
        <v>0.0</v>
      </c>
      <c r="K75" s="50"/>
      <c r="L75" s="128" t="s">
        <v>153</v>
      </c>
      <c r="M75" s="168">
        <f>J75/0.75</f>
        <v>0</v>
      </c>
      <c r="N75" s="128" t="s">
        <v>153</v>
      </c>
      <c r="O75" s="144">
        <f t="shared" si="29"/>
        <v>0</v>
      </c>
      <c r="P75" s="50"/>
      <c r="Q75" s="93"/>
      <c r="R75" s="93"/>
      <c r="S75" s="93"/>
      <c r="T75" s="93"/>
      <c r="U75" s="53"/>
      <c r="V75" s="94"/>
      <c r="W75" s="95"/>
      <c r="X75" s="53"/>
      <c r="Y75" s="103"/>
      <c r="Z75" s="104"/>
      <c r="AA75" s="103"/>
      <c r="AB75" s="104"/>
      <c r="AC75" s="99"/>
      <c r="AD75" s="99"/>
      <c r="AE75" s="99"/>
      <c r="AF75" s="4"/>
      <c r="AG75" s="99"/>
      <c r="AH75" s="100"/>
      <c r="AI75" s="100"/>
      <c r="AJ75" s="100"/>
      <c r="AK75" s="4"/>
      <c r="AL75" s="4"/>
      <c r="AM75" s="4"/>
    </row>
    <row r="76">
      <c r="A76" s="4"/>
      <c r="B76" s="114" t="s">
        <v>151</v>
      </c>
      <c r="C76" s="114" t="s">
        <v>61</v>
      </c>
      <c r="D76" s="48"/>
      <c r="E76" s="142" t="s">
        <v>210</v>
      </c>
      <c r="F76" s="165"/>
      <c r="G76" s="165">
        <v>120000.0</v>
      </c>
      <c r="H76" s="169">
        <v>1.0</v>
      </c>
      <c r="I76" s="170">
        <v>0.0</v>
      </c>
      <c r="J76" s="128" t="s">
        <v>153</v>
      </c>
      <c r="K76" s="50"/>
      <c r="L76" s="168">
        <f>I76/0.7</f>
        <v>0</v>
      </c>
      <c r="M76" s="128" t="s">
        <v>153</v>
      </c>
      <c r="N76" s="144">
        <f>L76/$H$95</f>
        <v>0</v>
      </c>
      <c r="O76" s="128" t="s">
        <v>153</v>
      </c>
      <c r="P76" s="50"/>
      <c r="Q76" s="93"/>
      <c r="R76" s="93"/>
      <c r="S76" s="93"/>
      <c r="T76" s="93"/>
      <c r="U76" s="53"/>
      <c r="V76" s="94"/>
      <c r="W76" s="95"/>
      <c r="X76" s="53"/>
      <c r="Y76" s="103"/>
      <c r="Z76" s="104"/>
      <c r="AA76" s="103"/>
      <c r="AB76" s="104"/>
      <c r="AC76" s="99"/>
      <c r="AD76" s="99"/>
      <c r="AE76" s="99"/>
      <c r="AF76" s="4"/>
      <c r="AG76" s="99"/>
      <c r="AH76" s="100"/>
      <c r="AI76" s="100"/>
      <c r="AJ76" s="100"/>
      <c r="AK76" s="4"/>
      <c r="AL76" s="4"/>
      <c r="AM76" s="4"/>
    </row>
    <row r="77">
      <c r="A77" s="4"/>
      <c r="B77" s="4"/>
      <c r="C77" s="4"/>
      <c r="D77" s="48"/>
      <c r="E77" s="171" t="s">
        <v>211</v>
      </c>
      <c r="F77" s="172"/>
      <c r="G77" s="172"/>
      <c r="H77" s="173"/>
      <c r="I77" s="174"/>
      <c r="J77" s="175"/>
      <c r="K77" s="50"/>
      <c r="L77" s="175"/>
      <c r="M77" s="175"/>
      <c r="N77" s="175"/>
      <c r="O77" s="175"/>
      <c r="P77" s="50"/>
      <c r="Q77" s="93"/>
      <c r="R77" s="93"/>
      <c r="S77" s="93"/>
      <c r="T77" s="93"/>
      <c r="U77" s="53"/>
      <c r="V77" s="94"/>
      <c r="W77" s="95"/>
      <c r="X77" s="53"/>
      <c r="Y77" s="103"/>
      <c r="Z77" s="104"/>
      <c r="AA77" s="103"/>
      <c r="AB77" s="104"/>
      <c r="AC77" s="99"/>
      <c r="AD77" s="99"/>
      <c r="AE77" s="99"/>
      <c r="AF77" s="4"/>
      <c r="AG77" s="99"/>
      <c r="AH77" s="100"/>
      <c r="AI77" s="100"/>
      <c r="AJ77" s="100"/>
      <c r="AK77" s="4"/>
      <c r="AL77" s="4"/>
      <c r="AM77" s="4"/>
    </row>
    <row r="78">
      <c r="A78" s="4"/>
      <c r="B78" s="114"/>
      <c r="C78" s="4"/>
      <c r="D78" s="115"/>
      <c r="E78" s="176" t="s">
        <v>212</v>
      </c>
      <c r="F78" s="177"/>
      <c r="G78" s="177">
        <v>280000.0</v>
      </c>
      <c r="H78" s="166">
        <v>1.0</v>
      </c>
      <c r="I78" s="178">
        <f>G78*H78</f>
        <v>280000</v>
      </c>
      <c r="J78" s="178">
        <f t="shared" ref="J78:J80" si="32">G78*H78</f>
        <v>280000</v>
      </c>
      <c r="K78" s="50"/>
      <c r="L78" s="178">
        <f t="shared" ref="L78:M78" si="30">I78/0.95</f>
        <v>294736.8421</v>
      </c>
      <c r="M78" s="178">
        <f t="shared" si="30"/>
        <v>294736.8421</v>
      </c>
      <c r="N78" s="178">
        <f t="shared" ref="N78:O78" si="31">L78/$H$95</f>
        <v>77.56232687</v>
      </c>
      <c r="O78" s="178">
        <f t="shared" si="31"/>
        <v>77.56232687</v>
      </c>
      <c r="P78" s="50"/>
      <c r="Q78" s="93"/>
      <c r="R78" s="93"/>
      <c r="S78" s="93"/>
      <c r="T78" s="93"/>
      <c r="U78" s="53"/>
      <c r="V78" s="94"/>
      <c r="W78" s="95"/>
      <c r="X78" s="53"/>
      <c r="Y78" s="103"/>
      <c r="Z78" s="104"/>
      <c r="AA78" s="103"/>
      <c r="AB78" s="104"/>
      <c r="AC78" s="99"/>
      <c r="AD78" s="99"/>
      <c r="AE78" s="99"/>
      <c r="AF78" s="4"/>
      <c r="AG78" s="99"/>
      <c r="AH78" s="100"/>
      <c r="AI78" s="100"/>
      <c r="AJ78" s="100"/>
      <c r="AK78" s="4"/>
      <c r="AL78" s="4"/>
      <c r="AM78" s="4"/>
    </row>
    <row r="79">
      <c r="A79" s="4"/>
      <c r="B79" s="114"/>
      <c r="C79" s="4"/>
      <c r="D79" s="115" t="s">
        <v>58</v>
      </c>
      <c r="E79" s="176" t="s">
        <v>213</v>
      </c>
      <c r="F79" s="177"/>
      <c r="G79" s="177">
        <v>300000.0</v>
      </c>
      <c r="H79" s="166">
        <v>1.0</v>
      </c>
      <c r="I79" s="128" t="s">
        <v>153</v>
      </c>
      <c r="J79" s="178">
        <f t="shared" si="32"/>
        <v>300000</v>
      </c>
      <c r="K79" s="50"/>
      <c r="L79" s="128" t="s">
        <v>153</v>
      </c>
      <c r="M79" s="178">
        <f>J79/0.95</f>
        <v>315789.4737</v>
      </c>
      <c r="N79" s="128" t="s">
        <v>153</v>
      </c>
      <c r="O79" s="178">
        <f>M79/$H$95</f>
        <v>83.10249307</v>
      </c>
      <c r="P79" s="50"/>
      <c r="Q79" s="93"/>
      <c r="R79" s="93"/>
      <c r="S79" s="93"/>
      <c r="T79" s="93"/>
      <c r="U79" s="53"/>
      <c r="V79" s="94"/>
      <c r="W79" s="95"/>
      <c r="X79" s="53"/>
      <c r="Y79" s="103"/>
      <c r="Z79" s="104"/>
      <c r="AA79" s="103"/>
      <c r="AB79" s="104"/>
      <c r="AC79" s="99"/>
      <c r="AD79" s="99"/>
      <c r="AE79" s="99"/>
      <c r="AF79" s="4"/>
      <c r="AG79" s="99"/>
      <c r="AH79" s="100"/>
      <c r="AI79" s="100"/>
      <c r="AJ79" s="100"/>
      <c r="AK79" s="4"/>
      <c r="AL79" s="4"/>
      <c r="AM79" s="4"/>
    </row>
    <row r="80">
      <c r="A80" s="4"/>
      <c r="B80" s="114" t="s">
        <v>151</v>
      </c>
      <c r="C80" s="114" t="s">
        <v>61</v>
      </c>
      <c r="D80" s="115" t="s">
        <v>58</v>
      </c>
      <c r="E80" s="176" t="s">
        <v>214</v>
      </c>
      <c r="F80" s="177"/>
      <c r="G80" s="177">
        <v>280000.0</v>
      </c>
      <c r="H80" s="166">
        <v>1.0</v>
      </c>
      <c r="I80" s="178">
        <f>G80*H80</f>
        <v>280000</v>
      </c>
      <c r="J80" s="178">
        <f t="shared" si="32"/>
        <v>280000</v>
      </c>
      <c r="K80" s="50"/>
      <c r="L80" s="178">
        <f t="shared" ref="L80:M80" si="33">I80/0.95</f>
        <v>294736.8421</v>
      </c>
      <c r="M80" s="178">
        <f t="shared" si="33"/>
        <v>294736.8421</v>
      </c>
      <c r="N80" s="178">
        <f t="shared" ref="N80:O80" si="34">L80/$H$95</f>
        <v>77.56232687</v>
      </c>
      <c r="O80" s="178">
        <f t="shared" si="34"/>
        <v>77.56232687</v>
      </c>
      <c r="P80" s="50"/>
      <c r="Q80" s="93"/>
      <c r="R80" s="93"/>
      <c r="S80" s="93"/>
      <c r="T80" s="93"/>
      <c r="U80" s="53"/>
      <c r="V80" s="94"/>
      <c r="W80" s="95"/>
      <c r="X80" s="53"/>
      <c r="Y80" s="103"/>
      <c r="Z80" s="104"/>
      <c r="AA80" s="103"/>
      <c r="AB80" s="104"/>
      <c r="AC80" s="99"/>
      <c r="AD80" s="99"/>
      <c r="AE80" s="99"/>
      <c r="AF80" s="4"/>
      <c r="AG80" s="99"/>
      <c r="AH80" s="100"/>
      <c r="AI80" s="100"/>
      <c r="AJ80" s="100"/>
      <c r="AK80" s="4"/>
      <c r="AL80" s="4"/>
      <c r="AM80" s="4"/>
    </row>
    <row r="81">
      <c r="A81" s="4"/>
      <c r="B81" s="4"/>
      <c r="C81" s="4"/>
      <c r="D81" s="115" t="s">
        <v>58</v>
      </c>
      <c r="E81" s="176" t="s">
        <v>215</v>
      </c>
      <c r="F81" s="177"/>
      <c r="G81" s="177">
        <v>280000.0</v>
      </c>
      <c r="H81" s="166">
        <v>1.0</v>
      </c>
      <c r="I81" s="128" t="s">
        <v>153</v>
      </c>
      <c r="J81" s="178">
        <v>0.0</v>
      </c>
      <c r="K81" s="50"/>
      <c r="L81" s="128" t="s">
        <v>153</v>
      </c>
      <c r="M81" s="178">
        <f>J81/0.95</f>
        <v>0</v>
      </c>
      <c r="N81" s="128" t="s">
        <v>153</v>
      </c>
      <c r="O81" s="178">
        <f>M81/$H$95</f>
        <v>0</v>
      </c>
      <c r="P81" s="50"/>
      <c r="Q81" s="93"/>
      <c r="R81" s="93"/>
      <c r="S81" s="93"/>
      <c r="T81" s="93"/>
      <c r="U81" s="53"/>
      <c r="V81" s="94"/>
      <c r="W81" s="95"/>
      <c r="X81" s="53"/>
      <c r="Y81" s="103"/>
      <c r="Z81" s="104"/>
      <c r="AA81" s="103"/>
      <c r="AB81" s="104"/>
      <c r="AC81" s="99"/>
      <c r="AD81" s="99"/>
      <c r="AE81" s="99"/>
      <c r="AF81" s="4"/>
      <c r="AG81" s="99"/>
      <c r="AH81" s="100"/>
      <c r="AI81" s="100"/>
      <c r="AJ81" s="100"/>
      <c r="AK81" s="4"/>
      <c r="AL81" s="4"/>
      <c r="AM81" s="4"/>
    </row>
    <row r="82">
      <c r="A82" s="4"/>
      <c r="B82" s="114" t="s">
        <v>151</v>
      </c>
      <c r="C82" s="114" t="s">
        <v>61</v>
      </c>
      <c r="D82" s="115"/>
      <c r="E82" s="176" t="s">
        <v>216</v>
      </c>
      <c r="F82" s="177"/>
      <c r="G82" s="177">
        <v>280000.0</v>
      </c>
      <c r="H82" s="166">
        <v>1.0</v>
      </c>
      <c r="I82" s="178">
        <f t="shared" ref="I82:I83" si="35">G82*H82</f>
        <v>280000</v>
      </c>
      <c r="J82" s="128" t="s">
        <v>153</v>
      </c>
      <c r="K82" s="50"/>
      <c r="L82" s="178">
        <f t="shared" ref="L82:L88" si="36">I82/0.95</f>
        <v>294736.8421</v>
      </c>
      <c r="M82" s="128" t="s">
        <v>153</v>
      </c>
      <c r="N82" s="178">
        <f t="shared" ref="N82:N88" si="37">L82/$H$95</f>
        <v>77.56232687</v>
      </c>
      <c r="O82" s="128" t="s">
        <v>153</v>
      </c>
      <c r="P82" s="50"/>
      <c r="Q82" s="93"/>
      <c r="R82" s="93"/>
      <c r="S82" s="93"/>
      <c r="T82" s="93"/>
      <c r="U82" s="53"/>
      <c r="V82" s="94"/>
      <c r="W82" s="95"/>
      <c r="X82" s="53"/>
      <c r="Y82" s="103"/>
      <c r="Z82" s="104"/>
      <c r="AA82" s="103"/>
      <c r="AB82" s="104"/>
      <c r="AC82" s="99"/>
      <c r="AD82" s="99"/>
      <c r="AE82" s="99"/>
      <c r="AF82" s="4"/>
      <c r="AG82" s="99"/>
      <c r="AH82" s="100"/>
      <c r="AI82" s="100"/>
      <c r="AJ82" s="100"/>
      <c r="AK82" s="4"/>
      <c r="AL82" s="4"/>
      <c r="AM82" s="4"/>
    </row>
    <row r="83">
      <c r="A83" s="4"/>
      <c r="B83" s="4"/>
      <c r="C83" s="114" t="s">
        <v>61</v>
      </c>
      <c r="D83" s="115"/>
      <c r="E83" s="176" t="s">
        <v>217</v>
      </c>
      <c r="F83" s="177"/>
      <c r="G83" s="177">
        <v>300000.0</v>
      </c>
      <c r="H83" s="166">
        <v>1.0</v>
      </c>
      <c r="I83" s="178">
        <f t="shared" si="35"/>
        <v>300000</v>
      </c>
      <c r="J83" s="128" t="s">
        <v>153</v>
      </c>
      <c r="K83" s="50"/>
      <c r="L83" s="178">
        <f t="shared" si="36"/>
        <v>315789.4737</v>
      </c>
      <c r="M83" s="128" t="s">
        <v>153</v>
      </c>
      <c r="N83" s="178">
        <f t="shared" si="37"/>
        <v>83.10249307</v>
      </c>
      <c r="O83" s="128" t="s">
        <v>153</v>
      </c>
      <c r="P83" s="50"/>
      <c r="Q83" s="93"/>
      <c r="R83" s="93"/>
      <c r="S83" s="93"/>
      <c r="T83" s="93"/>
      <c r="U83" s="53"/>
      <c r="V83" s="94"/>
      <c r="W83" s="95"/>
      <c r="X83" s="53"/>
      <c r="Y83" s="103"/>
      <c r="Z83" s="104"/>
      <c r="AA83" s="103"/>
      <c r="AB83" s="104"/>
      <c r="AC83" s="99"/>
      <c r="AD83" s="99"/>
      <c r="AE83" s="99"/>
      <c r="AF83" s="4"/>
      <c r="AG83" s="99"/>
      <c r="AH83" s="100"/>
      <c r="AI83" s="100"/>
      <c r="AJ83" s="100"/>
      <c r="AK83" s="4"/>
      <c r="AL83" s="4"/>
      <c r="AM83" s="4"/>
    </row>
    <row r="84">
      <c r="A84" s="4"/>
      <c r="B84" s="4"/>
      <c r="C84" s="114" t="s">
        <v>61</v>
      </c>
      <c r="D84" s="115"/>
      <c r="E84" s="176" t="s">
        <v>218</v>
      </c>
      <c r="F84" s="177"/>
      <c r="G84" s="177">
        <v>300000.0</v>
      </c>
      <c r="H84" s="166">
        <v>1.0</v>
      </c>
      <c r="I84" s="178">
        <v>0.0</v>
      </c>
      <c r="J84" s="128" t="s">
        <v>153</v>
      </c>
      <c r="K84" s="50"/>
      <c r="L84" s="178">
        <f t="shared" si="36"/>
        <v>0</v>
      </c>
      <c r="M84" s="128" t="s">
        <v>153</v>
      </c>
      <c r="N84" s="178">
        <f t="shared" si="37"/>
        <v>0</v>
      </c>
      <c r="O84" s="128" t="s">
        <v>153</v>
      </c>
      <c r="P84" s="50"/>
      <c r="Q84" s="93"/>
      <c r="R84" s="93"/>
      <c r="S84" s="93"/>
      <c r="T84" s="93"/>
      <c r="U84" s="53"/>
      <c r="V84" s="94"/>
      <c r="W84" s="95"/>
      <c r="X84" s="53"/>
      <c r="Y84" s="103"/>
      <c r="Z84" s="104"/>
      <c r="AA84" s="103"/>
      <c r="AB84" s="104"/>
      <c r="AC84" s="99"/>
      <c r="AD84" s="99"/>
      <c r="AE84" s="99"/>
      <c r="AF84" s="4"/>
      <c r="AG84" s="99"/>
      <c r="AH84" s="100"/>
      <c r="AI84" s="100"/>
      <c r="AJ84" s="100"/>
      <c r="AK84" s="4"/>
      <c r="AL84" s="100"/>
      <c r="AM84" s="4"/>
    </row>
    <row r="85">
      <c r="A85" s="4"/>
      <c r="B85" s="4"/>
      <c r="C85" s="4"/>
      <c r="D85" s="48"/>
      <c r="E85" s="179" t="s">
        <v>219</v>
      </c>
      <c r="F85" s="180"/>
      <c r="G85" s="89">
        <v>45000.0</v>
      </c>
      <c r="H85" s="181">
        <v>2.0</v>
      </c>
      <c r="I85" s="182">
        <f t="shared" ref="I85:I88" si="38">G85*H85/2</f>
        <v>45000</v>
      </c>
      <c r="J85" s="182">
        <f t="shared" ref="J85:J88" si="39">G85*H85/2</f>
        <v>45000</v>
      </c>
      <c r="K85" s="50"/>
      <c r="L85" s="91">
        <f t="shared" si="36"/>
        <v>47368.42105</v>
      </c>
      <c r="M85" s="91">
        <f t="shared" ref="M85:M88" si="40">J85/0.95</f>
        <v>47368.42105</v>
      </c>
      <c r="N85" s="183">
        <f t="shared" si="37"/>
        <v>12.46537396</v>
      </c>
      <c r="O85" s="183">
        <f t="shared" ref="O85:O88" si="41">M85/$H$95</f>
        <v>12.46537396</v>
      </c>
      <c r="P85" s="53"/>
      <c r="Q85" s="93"/>
      <c r="R85" s="93"/>
      <c r="S85" s="93"/>
      <c r="T85" s="93"/>
      <c r="U85" s="53"/>
      <c r="V85" s="94"/>
      <c r="W85" s="95"/>
      <c r="X85" s="53"/>
      <c r="Y85" s="103"/>
      <c r="Z85" s="104"/>
      <c r="AA85" s="99"/>
      <c r="AB85" s="99"/>
      <c r="AC85" s="99"/>
      <c r="AD85" s="99"/>
      <c r="AE85" s="99"/>
      <c r="AF85" s="4"/>
      <c r="AG85" s="99"/>
      <c r="AH85" s="100"/>
      <c r="AI85" s="100"/>
      <c r="AJ85" s="100"/>
      <c r="AK85" s="4"/>
      <c r="AL85" s="4"/>
      <c r="AM85" s="4"/>
    </row>
    <row r="86">
      <c r="A86" s="4"/>
      <c r="B86" s="4"/>
      <c r="C86" s="4"/>
      <c r="D86" s="48"/>
      <c r="E86" s="179" t="s">
        <v>220</v>
      </c>
      <c r="F86" s="180"/>
      <c r="G86" s="89">
        <v>35000.0</v>
      </c>
      <c r="H86" s="181">
        <v>9.0</v>
      </c>
      <c r="I86" s="182">
        <f t="shared" si="38"/>
        <v>157500</v>
      </c>
      <c r="J86" s="182">
        <f t="shared" si="39"/>
        <v>157500</v>
      </c>
      <c r="K86" s="50"/>
      <c r="L86" s="91">
        <f t="shared" si="36"/>
        <v>165789.4737</v>
      </c>
      <c r="M86" s="91">
        <f t="shared" si="40"/>
        <v>165789.4737</v>
      </c>
      <c r="N86" s="183">
        <f t="shared" si="37"/>
        <v>43.62880886</v>
      </c>
      <c r="O86" s="183">
        <f t="shared" si="41"/>
        <v>43.62880886</v>
      </c>
      <c r="P86" s="50"/>
      <c r="Q86" s="93"/>
      <c r="R86" s="93"/>
      <c r="S86" s="93"/>
      <c r="T86" s="93"/>
      <c r="U86" s="53"/>
      <c r="V86" s="94"/>
      <c r="W86" s="95"/>
      <c r="X86" s="53"/>
      <c r="Y86" s="103"/>
      <c r="Z86" s="104"/>
      <c r="AA86" s="103"/>
      <c r="AB86" s="152"/>
      <c r="AC86" s="99"/>
      <c r="AD86" s="99"/>
      <c r="AE86" s="99"/>
      <c r="AF86" s="4"/>
      <c r="AG86" s="99"/>
      <c r="AH86" s="100"/>
      <c r="AI86" s="100"/>
      <c r="AJ86" s="100"/>
      <c r="AK86" s="4"/>
      <c r="AL86" s="4"/>
      <c r="AM86" s="4"/>
    </row>
    <row r="87">
      <c r="A87" s="4"/>
      <c r="B87" s="4"/>
      <c r="C87" s="4"/>
      <c r="D87" s="48"/>
      <c r="E87" s="179" t="s">
        <v>221</v>
      </c>
      <c r="F87" s="180"/>
      <c r="G87" s="89">
        <v>180000.0</v>
      </c>
      <c r="H87" s="181">
        <v>1.0</v>
      </c>
      <c r="I87" s="182">
        <f t="shared" si="38"/>
        <v>90000</v>
      </c>
      <c r="J87" s="182">
        <f t="shared" si="39"/>
        <v>90000</v>
      </c>
      <c r="K87" s="50"/>
      <c r="L87" s="91">
        <f t="shared" si="36"/>
        <v>94736.84211</v>
      </c>
      <c r="M87" s="91">
        <f t="shared" si="40"/>
        <v>94736.84211</v>
      </c>
      <c r="N87" s="183">
        <f t="shared" si="37"/>
        <v>24.93074792</v>
      </c>
      <c r="O87" s="183">
        <f t="shared" si="41"/>
        <v>24.93074792</v>
      </c>
      <c r="P87" s="50"/>
      <c r="Q87" s="93"/>
      <c r="R87" s="93"/>
      <c r="S87" s="93"/>
      <c r="T87" s="93"/>
      <c r="U87" s="53"/>
      <c r="V87" s="94"/>
      <c r="W87" s="95"/>
      <c r="X87" s="53"/>
      <c r="Y87" s="103"/>
      <c r="Z87" s="104"/>
      <c r="AA87" s="103"/>
      <c r="AB87" s="152"/>
      <c r="AC87" s="99"/>
      <c r="AD87" s="99"/>
      <c r="AE87" s="99"/>
      <c r="AF87" s="4"/>
      <c r="AG87" s="99"/>
      <c r="AH87" s="100"/>
      <c r="AI87" s="100"/>
      <c r="AJ87" s="100"/>
      <c r="AK87" s="4"/>
      <c r="AL87" s="4"/>
      <c r="AM87" s="4"/>
    </row>
    <row r="88">
      <c r="A88" s="4"/>
      <c r="B88" s="4"/>
      <c r="C88" s="4"/>
      <c r="D88" s="48"/>
      <c r="E88" s="179" t="s">
        <v>222</v>
      </c>
      <c r="F88" s="180"/>
      <c r="G88" s="89">
        <v>180000.0</v>
      </c>
      <c r="H88" s="181">
        <v>4.2</v>
      </c>
      <c r="I88" s="182">
        <f t="shared" si="38"/>
        <v>378000</v>
      </c>
      <c r="J88" s="182">
        <f t="shared" si="39"/>
        <v>378000</v>
      </c>
      <c r="K88" s="50"/>
      <c r="L88" s="91">
        <f t="shared" si="36"/>
        <v>397894.7368</v>
      </c>
      <c r="M88" s="91">
        <f t="shared" si="40"/>
        <v>397894.7368</v>
      </c>
      <c r="N88" s="183">
        <f t="shared" si="37"/>
        <v>104.7091413</v>
      </c>
      <c r="O88" s="183">
        <f t="shared" si="41"/>
        <v>104.7091413</v>
      </c>
      <c r="P88" s="50"/>
      <c r="Q88" s="93"/>
      <c r="R88" s="93"/>
      <c r="S88" s="93"/>
      <c r="T88" s="93"/>
      <c r="U88" s="53"/>
      <c r="V88" s="94"/>
      <c r="W88" s="95"/>
      <c r="X88" s="53"/>
      <c r="Y88" s="103"/>
      <c r="Z88" s="104"/>
      <c r="AA88" s="103"/>
      <c r="AB88" s="152"/>
      <c r="AC88" s="99"/>
      <c r="AD88" s="99"/>
      <c r="AE88" s="99"/>
      <c r="AF88" s="4"/>
      <c r="AG88" s="99"/>
      <c r="AH88" s="100"/>
      <c r="AI88" s="100"/>
      <c r="AJ88" s="100"/>
      <c r="AK88" s="4"/>
      <c r="AL88" s="4"/>
      <c r="AM88" s="4"/>
    </row>
    <row r="89">
      <c r="A89" s="4"/>
      <c r="B89" s="4"/>
      <c r="C89" s="4"/>
      <c r="D89" s="48"/>
      <c r="E89" s="184" t="s">
        <v>223</v>
      </c>
      <c r="F89" s="180"/>
      <c r="G89" s="91">
        <v>20000.0</v>
      </c>
      <c r="H89" s="185">
        <v>1.0</v>
      </c>
      <c r="I89" s="182">
        <f>+G89*H89</f>
        <v>20000</v>
      </c>
      <c r="J89" s="182">
        <f>G89*H89</f>
        <v>20000</v>
      </c>
      <c r="K89" s="50"/>
      <c r="L89" s="150"/>
      <c r="M89" s="150"/>
      <c r="N89" s="150"/>
      <c r="O89" s="150"/>
      <c r="P89" s="50"/>
      <c r="Q89" s="93"/>
      <c r="R89" s="93"/>
      <c r="S89" s="93"/>
      <c r="T89" s="93"/>
      <c r="U89" s="53"/>
      <c r="V89" s="94"/>
      <c r="W89" s="95"/>
      <c r="X89" s="53"/>
      <c r="Y89" s="103"/>
      <c r="Z89" s="104"/>
      <c r="AA89" s="103"/>
      <c r="AB89" s="152"/>
      <c r="AC89" s="99"/>
      <c r="AD89" s="99"/>
      <c r="AE89" s="99"/>
      <c r="AF89" s="4"/>
      <c r="AG89" s="99"/>
      <c r="AH89" s="100"/>
      <c r="AI89" s="100"/>
      <c r="AJ89" s="100"/>
      <c r="AK89" s="4"/>
      <c r="AL89" s="100"/>
      <c r="AM89" s="4"/>
    </row>
    <row r="90">
      <c r="A90" s="4"/>
      <c r="B90" s="4"/>
      <c r="C90" s="4"/>
      <c r="D90" s="48"/>
      <c r="E90" s="49"/>
      <c r="F90" s="4"/>
      <c r="G90" s="186"/>
      <c r="H90" s="187" t="s">
        <v>224</v>
      </c>
      <c r="I90" s="188">
        <f t="shared" ref="I90:J90" si="42">SUM(I5:I89)</f>
        <v>5583000</v>
      </c>
      <c r="J90" s="188">
        <f t="shared" si="42"/>
        <v>7625000</v>
      </c>
      <c r="K90" s="50"/>
      <c r="L90" s="51"/>
      <c r="M90" s="51"/>
      <c r="N90" s="189"/>
      <c r="O90" s="190"/>
      <c r="P90" s="53"/>
      <c r="Q90" s="53"/>
      <c r="R90" s="53"/>
      <c r="S90" s="53"/>
      <c r="T90" s="52"/>
      <c r="U90" s="53"/>
      <c r="V90" s="53"/>
      <c r="W90" s="52"/>
      <c r="X90" s="53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>
      <c r="A91" s="4"/>
      <c r="B91" s="4"/>
      <c r="C91" s="4"/>
      <c r="D91" s="48"/>
      <c r="E91" s="49"/>
      <c r="F91" s="4"/>
      <c r="G91" s="50"/>
      <c r="H91" s="191">
        <v>0.2</v>
      </c>
      <c r="I91" s="188">
        <f>I90/0.784</f>
        <v>7121173.469</v>
      </c>
      <c r="J91" s="188">
        <f>J90/0.837</f>
        <v>9109916.368</v>
      </c>
      <c r="K91" s="50"/>
      <c r="L91" s="51"/>
      <c r="M91" s="51"/>
      <c r="N91" s="188">
        <f t="shared" ref="N91:O91" si="43">SUM(N5:N90)</f>
        <v>1857.094491</v>
      </c>
      <c r="O91" s="188">
        <f t="shared" si="43"/>
        <v>2342.937387</v>
      </c>
      <c r="P91" s="53"/>
      <c r="Q91" s="50"/>
      <c r="R91" s="50"/>
      <c r="S91" s="53"/>
      <c r="T91" s="52"/>
      <c r="U91" s="53"/>
      <c r="V91" s="53"/>
      <c r="W91" s="52"/>
      <c r="X91" s="53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>
      <c r="A92" s="4"/>
      <c r="B92" s="4"/>
      <c r="C92" s="4"/>
      <c r="D92" s="48"/>
      <c r="E92" s="49"/>
      <c r="F92" s="4"/>
      <c r="G92" s="188" t="s">
        <v>225</v>
      </c>
      <c r="H92" s="187" t="s">
        <v>226</v>
      </c>
      <c r="I92" s="188">
        <f t="shared" ref="I92:J92" si="44">I91*4/1000</f>
        <v>28484.69388</v>
      </c>
      <c r="J92" s="188">
        <f t="shared" si="44"/>
        <v>36439.66547</v>
      </c>
      <c r="K92" s="50"/>
      <c r="L92" s="51"/>
      <c r="M92" s="51"/>
      <c r="N92" s="188">
        <f t="shared" ref="N92:O92" si="45">I92/$H$95</f>
        <v>7.495972073</v>
      </c>
      <c r="O92" s="188">
        <f t="shared" si="45"/>
        <v>9.589385651</v>
      </c>
      <c r="P92" s="4"/>
      <c r="Q92" s="50"/>
      <c r="R92" s="50"/>
      <c r="S92" s="4"/>
      <c r="T92" s="4"/>
      <c r="U92" s="53"/>
      <c r="V92" s="4"/>
      <c r="W92" s="4"/>
      <c r="X92" s="53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>
      <c r="A93" s="4"/>
      <c r="B93" s="4"/>
      <c r="C93" s="4"/>
      <c r="D93" s="48"/>
      <c r="E93" s="49"/>
      <c r="F93" s="4"/>
      <c r="G93" s="188" t="s">
        <v>225</v>
      </c>
      <c r="H93" s="187" t="s">
        <v>227</v>
      </c>
      <c r="I93" s="192">
        <v>6000.0</v>
      </c>
      <c r="J93" s="192">
        <v>6000.0</v>
      </c>
      <c r="K93" s="50"/>
      <c r="L93" s="51"/>
      <c r="M93" s="51"/>
      <c r="N93" s="188">
        <f t="shared" ref="N93:O93" si="46">I93/$H$95</f>
        <v>1.578947368</v>
      </c>
      <c r="O93" s="188">
        <f t="shared" si="46"/>
        <v>1.578947368</v>
      </c>
      <c r="P93" s="53"/>
      <c r="Q93" s="50"/>
      <c r="R93" s="50"/>
      <c r="S93" s="53"/>
      <c r="T93" s="52"/>
      <c r="U93" s="53"/>
      <c r="V93" s="53"/>
      <c r="W93" s="52"/>
      <c r="X93" s="53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>
      <c r="A94" s="4"/>
      <c r="B94" s="4"/>
      <c r="C94" s="4"/>
      <c r="D94" s="48"/>
      <c r="E94" s="49"/>
      <c r="F94" s="4"/>
      <c r="G94" s="188" t="s">
        <v>225</v>
      </c>
      <c r="H94" s="187" t="s">
        <v>228</v>
      </c>
      <c r="I94" s="50"/>
      <c r="J94" s="50"/>
      <c r="K94" s="50"/>
      <c r="L94" s="51"/>
      <c r="M94" s="51"/>
      <c r="N94" s="51"/>
      <c r="O94" s="51"/>
      <c r="P94" s="53"/>
      <c r="Q94" s="50"/>
      <c r="R94" s="50"/>
      <c r="S94" s="53"/>
      <c r="T94" s="52"/>
      <c r="U94" s="53"/>
      <c r="V94" s="53"/>
      <c r="W94" s="52"/>
      <c r="X94" s="53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>
      <c r="A95" s="4"/>
      <c r="B95" s="4"/>
      <c r="C95" s="4"/>
      <c r="D95" s="48"/>
      <c r="E95" s="49"/>
      <c r="F95" s="4"/>
      <c r="G95" s="188" t="s">
        <v>229</v>
      </c>
      <c r="H95" s="193">
        <v>3800.0</v>
      </c>
      <c r="I95" s="194">
        <f t="shared" ref="I95:J95" si="47">SUM(I91:I94)</f>
        <v>7155658.163</v>
      </c>
      <c r="J95" s="194">
        <f t="shared" si="47"/>
        <v>9152356.033</v>
      </c>
      <c r="K95" s="50"/>
      <c r="L95" s="51"/>
      <c r="M95" s="51"/>
      <c r="N95" s="194">
        <f t="shared" ref="N95:O95" si="48">SUM(N91:N94)</f>
        <v>1866.16941</v>
      </c>
      <c r="O95" s="194">
        <f t="shared" si="48"/>
        <v>2354.10572</v>
      </c>
      <c r="P95" s="53"/>
      <c r="Q95" s="50"/>
      <c r="R95" s="50"/>
      <c r="S95" s="53"/>
      <c r="T95" s="52"/>
      <c r="U95" s="53"/>
      <c r="V95" s="53"/>
      <c r="W95" s="52"/>
      <c r="X95" s="53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>
      <c r="A96" s="4"/>
      <c r="B96" s="4"/>
      <c r="C96" s="4"/>
      <c r="D96" s="48"/>
      <c r="E96" s="49"/>
      <c r="F96" s="4"/>
      <c r="G96" s="50"/>
      <c r="H96" s="4"/>
      <c r="I96" s="195">
        <f>I95/H95</f>
        <v>1883.067938</v>
      </c>
      <c r="J96" s="195">
        <f>J95/H95</f>
        <v>2408.514746</v>
      </c>
      <c r="K96" s="50"/>
      <c r="L96" s="51"/>
      <c r="M96" s="51"/>
      <c r="N96" s="189"/>
      <c r="O96" s="190"/>
      <c r="P96" s="53"/>
      <c r="Q96" s="53"/>
      <c r="R96" s="53"/>
      <c r="S96" s="53"/>
      <c r="T96" s="52"/>
      <c r="U96" s="53"/>
      <c r="V96" s="53"/>
      <c r="W96" s="52"/>
      <c r="X96" s="53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>
      <c r="A97" s="4"/>
      <c r="B97" s="4"/>
      <c r="C97" s="4"/>
      <c r="D97" s="48"/>
      <c r="E97" s="49"/>
      <c r="F97" s="4"/>
      <c r="G97" s="50"/>
      <c r="H97" s="4"/>
      <c r="I97" s="50"/>
      <c r="J97" s="50"/>
      <c r="K97" s="50"/>
      <c r="L97" s="51"/>
      <c r="M97" s="51"/>
      <c r="N97" s="189"/>
      <c r="O97" s="190"/>
      <c r="P97" s="53"/>
      <c r="Q97" s="53"/>
      <c r="R97" s="53"/>
      <c r="S97" s="53"/>
      <c r="T97" s="52"/>
      <c r="U97" s="53"/>
      <c r="V97" s="53"/>
      <c r="W97" s="52"/>
      <c r="X97" s="53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>
      <c r="A98" s="4"/>
      <c r="B98" s="4"/>
      <c r="C98" s="4"/>
      <c r="D98" s="48"/>
      <c r="E98" s="49"/>
      <c r="F98" s="4"/>
      <c r="G98" s="50"/>
      <c r="H98" s="4"/>
      <c r="I98" s="50"/>
      <c r="J98" s="50"/>
      <c r="K98" s="50"/>
      <c r="L98" s="51"/>
      <c r="M98" s="51"/>
      <c r="N98" s="189"/>
      <c r="O98" s="190"/>
      <c r="P98" s="53"/>
      <c r="Q98" s="53"/>
      <c r="R98" s="53"/>
      <c r="S98" s="53"/>
      <c r="T98" s="52"/>
      <c r="U98" s="53"/>
      <c r="V98" s="53"/>
      <c r="W98" s="52"/>
      <c r="X98" s="53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</sheetData>
  <mergeCells count="2">
    <mergeCell ref="Y3:AB3"/>
    <mergeCell ref="AG3:AI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15.88"/>
    <col customWidth="1" min="6" max="6" width="36.63"/>
    <col customWidth="1" min="7" max="7" width="11.88"/>
    <col customWidth="1" min="8" max="8" width="11.75"/>
  </cols>
  <sheetData>
    <row r="1">
      <c r="A1" s="46"/>
      <c r="B1" s="46"/>
      <c r="C1" s="10"/>
      <c r="D1" s="10"/>
      <c r="E1" s="46"/>
      <c r="F1" s="46"/>
      <c r="G1" s="46"/>
      <c r="H1" s="10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>
      <c r="A2" s="46"/>
      <c r="B2" s="46"/>
      <c r="C2" s="10"/>
      <c r="D2" s="10"/>
      <c r="E2" s="10"/>
      <c r="F2" s="46"/>
      <c r="G2" s="46"/>
      <c r="H2" s="10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>
      <c r="A3" s="46"/>
      <c r="B3" s="46"/>
      <c r="C3" s="10"/>
      <c r="D3" s="46"/>
      <c r="E3" s="46"/>
      <c r="F3" s="46"/>
      <c r="G3" s="46"/>
      <c r="H3" s="10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>
      <c r="A4" s="46"/>
      <c r="B4" s="196" t="s">
        <v>230</v>
      </c>
      <c r="C4" s="197" t="s">
        <v>2</v>
      </c>
      <c r="D4" s="197" t="s">
        <v>1</v>
      </c>
      <c r="E4" s="46"/>
      <c r="F4" s="46"/>
      <c r="G4" s="198"/>
      <c r="H4" s="198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>
      <c r="A5" s="46"/>
      <c r="B5" s="199" t="str">
        <f>COSTEO!E5</f>
        <v>Póliza de asistencia médica al viajero - producto visitor  por 11 días</v>
      </c>
      <c r="C5" s="200">
        <f>COSTEO!N5</f>
        <v>14.47368421</v>
      </c>
      <c r="D5" s="200">
        <f>COSTEO!O5</f>
        <v>14.47368421</v>
      </c>
      <c r="E5" s="46"/>
      <c r="F5" s="46"/>
      <c r="G5" s="198"/>
      <c r="H5" s="198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>
      <c r="A6" s="46"/>
      <c r="B6" s="201" t="str">
        <f>COSTEO!E6</f>
        <v>Sim card física</v>
      </c>
      <c r="C6" s="200">
        <f>COSTEO!N6</f>
        <v>2.631578947</v>
      </c>
      <c r="D6" s="200">
        <f>COSTEO!O6</f>
        <v>2.631578947</v>
      </c>
      <c r="E6" s="46"/>
      <c r="F6" s="46"/>
      <c r="G6" s="198"/>
      <c r="H6" s="198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>
      <c r="A7" s="46"/>
      <c r="B7" s="201" t="str">
        <f>COSTEO!E7</f>
        <v>Recarga de datos de 10 GB</v>
      </c>
      <c r="C7" s="200">
        <f>COSTEO!N7</f>
        <v>5.263157895</v>
      </c>
      <c r="D7" s="200">
        <f>COSTEO!O7</f>
        <v>5.263157895</v>
      </c>
      <c r="E7" s="46"/>
      <c r="F7" s="46"/>
      <c r="G7" s="198"/>
      <c r="H7" s="198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>
      <c r="A8" s="46"/>
      <c r="B8" s="201" t="str">
        <f>COSTEO!E8</f>
        <v>Traslado aeropuerto - hotel - aeropuerto</v>
      </c>
      <c r="C8" s="200">
        <f>COSTEO!N8</f>
        <v>41.82825485</v>
      </c>
      <c r="D8" s="200">
        <f>COSTEO!O8</f>
        <v>41.82825485</v>
      </c>
      <c r="E8" s="46"/>
      <c r="F8" s="46"/>
      <c r="G8" s="198"/>
      <c r="H8" s="198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>
      <c r="A9" s="46"/>
      <c r="B9" s="156" t="str">
        <f>COSTEO!E9</f>
        <v>PAQUETE DE CHEQUEO MÉDICO </v>
      </c>
      <c r="C9" s="200">
        <f>COSTEO!N9</f>
        <v>450</v>
      </c>
      <c r="D9" s="200">
        <f>COSTEO!O9</f>
        <v>450</v>
      </c>
      <c r="E9" s="46"/>
      <c r="F9" s="46"/>
      <c r="G9" s="198"/>
      <c r="H9" s="198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>
      <c r="A10" s="46"/>
      <c r="B10" s="202" t="str">
        <f>COSTEO!E10</f>
        <v>LABORATORIOS CLÍNICOS</v>
      </c>
      <c r="C10" s="200" t="str">
        <f>COSTEO!N10</f>
        <v/>
      </c>
      <c r="D10" s="200" t="str">
        <f>COSTEO!O10</f>
        <v/>
      </c>
      <c r="E10" s="46"/>
      <c r="F10" s="46"/>
      <c r="G10" s="198"/>
      <c r="H10" s="198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>
      <c r="A11" s="46"/>
      <c r="B11" s="40" t="str">
        <f>COSTEO!E11</f>
        <v>Antígeno de próstata</v>
      </c>
      <c r="C11" s="200" t="str">
        <f>COSTEO!N11</f>
        <v/>
      </c>
      <c r="D11" s="200" t="str">
        <f>COSTEO!O11</f>
        <v/>
      </c>
      <c r="E11" s="46"/>
      <c r="F11" s="46"/>
      <c r="G11" s="198"/>
      <c r="H11" s="198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>
      <c r="A12" s="46"/>
      <c r="B12" s="40" t="str">
        <f>COSTEO!E12</f>
        <v>Coprológico</v>
      </c>
      <c r="C12" s="200" t="str">
        <f>COSTEO!N12</f>
        <v/>
      </c>
      <c r="D12" s="200" t="str">
        <f>COSTEO!O12</f>
        <v/>
      </c>
      <c r="E12" s="46"/>
      <c r="F12" s="46"/>
      <c r="G12" s="198"/>
      <c r="H12" s="198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>
      <c r="A13" s="46"/>
      <c r="B13" s="40" t="str">
        <f>COSTEO!E13</f>
        <v>Citología cervical</v>
      </c>
      <c r="C13" s="200" t="str">
        <f>COSTEO!N13</f>
        <v/>
      </c>
      <c r="D13" s="200" t="str">
        <f>COSTEO!O13</f>
        <v/>
      </c>
      <c r="E13" s="46"/>
      <c r="F13" s="46"/>
      <c r="G13" s="198"/>
      <c r="H13" s="198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>
      <c r="A14" s="46"/>
      <c r="B14" s="40" t="str">
        <f>COSTEO!E14</f>
        <v>Vitamina D25</v>
      </c>
      <c r="C14" s="200" t="str">
        <f>COSTEO!N14</f>
        <v/>
      </c>
      <c r="D14" s="200" t="str">
        <f>COSTEO!O14</f>
        <v/>
      </c>
      <c r="E14" s="46"/>
      <c r="F14" s="46"/>
      <c r="G14" s="198"/>
      <c r="H14" s="198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>
      <c r="A15" s="46"/>
      <c r="B15" s="40" t="str">
        <f>COSTEO!E15</f>
        <v>Vitamina B12</v>
      </c>
      <c r="C15" s="200" t="str">
        <f>COSTEO!N15</f>
        <v/>
      </c>
      <c r="D15" s="200" t="str">
        <f>COSTEO!O15</f>
        <v/>
      </c>
      <c r="E15" s="46"/>
      <c r="F15" s="46"/>
      <c r="G15" s="198"/>
      <c r="H15" s="198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>
      <c r="A16" s="46"/>
      <c r="B16" s="203" t="str">
        <f>COSTEO!E16</f>
        <v>Perfil lipídico</v>
      </c>
      <c r="C16" s="200" t="str">
        <f>COSTEO!N16</f>
        <v/>
      </c>
      <c r="D16" s="200" t="str">
        <f>COSTEO!O16</f>
        <v/>
      </c>
      <c r="E16" s="46"/>
      <c r="F16" s="46"/>
      <c r="G16" s="198"/>
      <c r="H16" s="198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>
      <c r="A17" s="46"/>
      <c r="B17" s="40" t="str">
        <f>COSTEO!E17</f>
        <v>Colesterol HDL</v>
      </c>
      <c r="C17" s="200" t="str">
        <f>COSTEO!N17</f>
        <v/>
      </c>
      <c r="D17" s="200" t="str">
        <f>COSTEO!O17</f>
        <v/>
      </c>
      <c r="E17" s="46"/>
      <c r="F17" s="46"/>
      <c r="G17" s="198"/>
      <c r="H17" s="198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>
      <c r="A18" s="46"/>
      <c r="B18" s="40" t="str">
        <f>COSTEO!E18</f>
        <v>Colesterol LDL</v>
      </c>
      <c r="C18" s="200" t="str">
        <f>COSTEO!N18</f>
        <v/>
      </c>
      <c r="D18" s="200" t="str">
        <f>COSTEO!O18</f>
        <v/>
      </c>
      <c r="E18" s="46"/>
      <c r="F18" s="46"/>
      <c r="G18" s="198"/>
      <c r="H18" s="198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>
      <c r="A19" s="46"/>
      <c r="B19" s="40" t="str">
        <f>COSTEO!E19</f>
        <v>Colesterol total</v>
      </c>
      <c r="C19" s="200" t="str">
        <f>COSTEO!N19</f>
        <v/>
      </c>
      <c r="D19" s="200" t="str">
        <f>COSTEO!O19</f>
        <v/>
      </c>
      <c r="E19" s="46"/>
      <c r="F19" s="46"/>
      <c r="G19" s="198"/>
      <c r="H19" s="198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>
      <c r="A20" s="46"/>
      <c r="B20" s="40" t="str">
        <f>COSTEO!E20</f>
        <v>Triglicéridos</v>
      </c>
      <c r="C20" s="200" t="str">
        <f>COSTEO!N20</f>
        <v/>
      </c>
      <c r="D20" s="200" t="str">
        <f>COSTEO!O20</f>
        <v/>
      </c>
      <c r="E20" s="46"/>
      <c r="F20" s="46"/>
      <c r="G20" s="198"/>
      <c r="H20" s="198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>
      <c r="A21" s="46"/>
      <c r="B21" s="203" t="str">
        <f>COSTEO!E21</f>
        <v>Perfil Hepático</v>
      </c>
      <c r="C21" s="200" t="str">
        <f>COSTEO!N21</f>
        <v/>
      </c>
      <c r="D21" s="200" t="str">
        <f>COSTEO!O21</f>
        <v/>
      </c>
      <c r="E21" s="46"/>
      <c r="F21" s="46"/>
      <c r="G21" s="198"/>
      <c r="H21" s="198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>
      <c r="A22" s="46"/>
      <c r="B22" s="40" t="str">
        <f>COSTEO!E22</f>
        <v>ALT- Alanina transferasa</v>
      </c>
      <c r="C22" s="200" t="str">
        <f>COSTEO!N22</f>
        <v/>
      </c>
      <c r="D22" s="200" t="str">
        <f>COSTEO!O22</f>
        <v/>
      </c>
      <c r="E22" s="46"/>
      <c r="F22" s="46"/>
      <c r="G22" s="198"/>
      <c r="H22" s="198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>
      <c r="A23" s="46"/>
      <c r="B23" s="40" t="str">
        <f>COSTEO!E23</f>
        <v>AST - aspartato transferasa</v>
      </c>
      <c r="C23" s="200" t="str">
        <f>COSTEO!N23</f>
        <v/>
      </c>
      <c r="D23" s="200" t="str">
        <f>COSTEO!O23</f>
        <v/>
      </c>
      <c r="E23" s="46"/>
      <c r="F23" s="46"/>
      <c r="G23" s="198"/>
      <c r="H23" s="198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>
      <c r="A24" s="46"/>
      <c r="B24" s="40" t="str">
        <f>COSTEO!E24</f>
        <v>Bilirrubina total y directa</v>
      </c>
      <c r="C24" s="200" t="str">
        <f>COSTEO!N24</f>
        <v/>
      </c>
      <c r="D24" s="200" t="str">
        <f>COSTEO!O24</f>
        <v/>
      </c>
      <c r="E24" s="46"/>
      <c r="F24" s="46"/>
      <c r="G24" s="198"/>
      <c r="H24" s="198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>
      <c r="A25" s="46"/>
      <c r="B25" s="40" t="str">
        <f>COSTEO!E25</f>
        <v>Gama Glutamil transferasa</v>
      </c>
      <c r="C25" s="200" t="str">
        <f>COSTEO!N25</f>
        <v/>
      </c>
      <c r="D25" s="200" t="str">
        <f>COSTEO!O25</f>
        <v/>
      </c>
      <c r="E25" s="46"/>
      <c r="F25" s="46"/>
      <c r="G25" s="198"/>
      <c r="H25" s="198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>
      <c r="A26" s="46"/>
      <c r="B26" s="203" t="str">
        <f>COSTEO!E26</f>
        <v>Perfil Renal</v>
      </c>
      <c r="C26" s="200" t="str">
        <f>COSTEO!N26</f>
        <v/>
      </c>
      <c r="D26" s="200" t="str">
        <f>COSTEO!O26</f>
        <v/>
      </c>
      <c r="E26" s="46"/>
      <c r="F26" s="46"/>
      <c r="G26" s="198"/>
      <c r="H26" s="198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>
      <c r="A27" s="46"/>
      <c r="B27" s="40" t="str">
        <f>COSTEO!E27</f>
        <v>Creatinina</v>
      </c>
      <c r="C27" s="200" t="str">
        <f>COSTEO!N27</f>
        <v/>
      </c>
      <c r="D27" s="200" t="str">
        <f>COSTEO!O27</f>
        <v/>
      </c>
      <c r="E27" s="46"/>
      <c r="F27" s="46"/>
      <c r="G27" s="198"/>
      <c r="H27" s="198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>
      <c r="A28" s="46"/>
      <c r="B28" s="40" t="str">
        <f>COSTEO!E28</f>
        <v>Uroanálisis</v>
      </c>
      <c r="C28" s="200" t="str">
        <f>COSTEO!N28</f>
        <v/>
      </c>
      <c r="D28" s="200" t="str">
        <f>COSTEO!O28</f>
        <v/>
      </c>
      <c r="E28" s="46"/>
      <c r="F28" s="46"/>
      <c r="G28" s="198"/>
      <c r="H28" s="198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>
      <c r="A29" s="46"/>
      <c r="B29" s="40" t="str">
        <f>COSTEO!E29</f>
        <v>Nitrógeno Ureico en Sangre  (BUN)</v>
      </c>
      <c r="C29" s="200" t="str">
        <f>COSTEO!N29</f>
        <v/>
      </c>
      <c r="D29" s="200" t="str">
        <f>COSTEO!O29</f>
        <v/>
      </c>
      <c r="E29" s="46"/>
      <c r="F29" s="46"/>
      <c r="G29" s="198"/>
      <c r="H29" s="198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>
      <c r="A30" s="46"/>
      <c r="B30" s="203" t="str">
        <f>COSTEO!E30</f>
        <v>Sangre</v>
      </c>
      <c r="C30" s="200" t="str">
        <f>COSTEO!N30</f>
        <v/>
      </c>
      <c r="D30" s="200" t="str">
        <f>COSTEO!O30</f>
        <v/>
      </c>
      <c r="E30" s="46"/>
      <c r="F30" s="46"/>
      <c r="G30" s="198"/>
      <c r="H30" s="198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>
      <c r="A31" s="46"/>
      <c r="B31" s="40" t="str">
        <f>COSTEO!E31</f>
        <v>Hemograma completo</v>
      </c>
      <c r="C31" s="200" t="str">
        <f>COSTEO!N31</f>
        <v/>
      </c>
      <c r="D31" s="200" t="str">
        <f>COSTEO!O31</f>
        <v/>
      </c>
      <c r="E31" s="46"/>
      <c r="F31" s="46"/>
      <c r="G31" s="198"/>
      <c r="H31" s="198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>
      <c r="A32" s="46"/>
      <c r="B32" s="40" t="str">
        <f>COSTEO!E32</f>
        <v>Hemoglobina glicosilada</v>
      </c>
      <c r="C32" s="200" t="str">
        <f>COSTEO!N32</f>
        <v/>
      </c>
      <c r="D32" s="200" t="str">
        <f>COSTEO!O32</f>
        <v/>
      </c>
      <c r="E32" s="46"/>
      <c r="F32" s="46"/>
      <c r="G32" s="198"/>
      <c r="H32" s="198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>
      <c r="A33" s="46"/>
      <c r="B33" s="40" t="str">
        <f>COSTEO!E33</f>
        <v>Ferritina</v>
      </c>
      <c r="C33" s="200" t="str">
        <f>COSTEO!N33</f>
        <v/>
      </c>
      <c r="D33" s="200" t="str">
        <f>COSTEO!O33</f>
        <v/>
      </c>
      <c r="E33" s="46"/>
      <c r="F33" s="46"/>
      <c r="G33" s="198"/>
      <c r="H33" s="198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>
      <c r="A34" s="46"/>
      <c r="B34" s="40" t="str">
        <f>COSTEO!E34</f>
        <v>Glucosa sérica</v>
      </c>
      <c r="C34" s="200" t="str">
        <f>COSTEO!N34</f>
        <v/>
      </c>
      <c r="D34" s="200" t="str">
        <f>COSTEO!O34</f>
        <v/>
      </c>
      <c r="E34" s="46"/>
      <c r="F34" s="46"/>
      <c r="G34" s="198"/>
      <c r="H34" s="198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>
      <c r="A35" s="46"/>
      <c r="B35" s="203" t="str">
        <f>COSTEO!E35</f>
        <v>Perfil Tiroideo</v>
      </c>
      <c r="C35" s="200" t="str">
        <f>COSTEO!N35</f>
        <v/>
      </c>
      <c r="D35" s="200" t="str">
        <f>COSTEO!O35</f>
        <v/>
      </c>
      <c r="E35" s="46"/>
      <c r="F35" s="46"/>
      <c r="G35" s="198"/>
      <c r="H35" s="198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>
      <c r="A36" s="46"/>
      <c r="B36" s="40" t="str">
        <f>COSTEO!E36</f>
        <v>T4 libre</v>
      </c>
      <c r="C36" s="200" t="str">
        <f>COSTEO!N36</f>
        <v/>
      </c>
      <c r="D36" s="200" t="str">
        <f>COSTEO!O36</f>
        <v/>
      </c>
      <c r="E36" s="46"/>
      <c r="F36" s="46"/>
      <c r="G36" s="198"/>
      <c r="H36" s="198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>
      <c r="A37" s="46"/>
      <c r="B37" s="40" t="str">
        <f>COSTEO!E37</f>
        <v>TSH</v>
      </c>
      <c r="C37" s="200" t="str">
        <f>COSTEO!N37</f>
        <v/>
      </c>
      <c r="D37" s="200" t="str">
        <f>COSTEO!O37</f>
        <v/>
      </c>
      <c r="E37" s="46"/>
      <c r="F37" s="46"/>
      <c r="G37" s="198"/>
      <c r="H37" s="198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>
      <c r="A38" s="46"/>
      <c r="B38" s="203" t="str">
        <f>COSTEO!E38</f>
        <v>Enfermedades de transmisión sexual</v>
      </c>
      <c r="C38" s="200" t="str">
        <f>COSTEO!N38</f>
        <v/>
      </c>
      <c r="D38" s="200" t="str">
        <f>COSTEO!O38</f>
        <v/>
      </c>
      <c r="E38" s="46"/>
      <c r="F38" s="46"/>
      <c r="G38" s="198"/>
      <c r="H38" s="198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>
      <c r="A39" s="46"/>
      <c r="B39" s="40" t="str">
        <f>COSTEO!E39</f>
        <v>VDRL</v>
      </c>
      <c r="C39" s="200" t="str">
        <f>COSTEO!N39</f>
        <v/>
      </c>
      <c r="D39" s="200" t="str">
        <f>COSTEO!O39</f>
        <v/>
      </c>
      <c r="E39" s="46"/>
      <c r="F39" s="46"/>
      <c r="G39" s="198"/>
      <c r="H39" s="198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>
      <c r="A40" s="46"/>
      <c r="B40" s="40" t="str">
        <f>COSTEO!E40</f>
        <v>VIH 1 Y 2, Anticuerpos </v>
      </c>
      <c r="C40" s="200" t="str">
        <f>COSTEO!N40</f>
        <v/>
      </c>
      <c r="D40" s="200" t="str">
        <f>COSTEO!O40</f>
        <v/>
      </c>
      <c r="E40" s="46"/>
      <c r="F40" s="46"/>
      <c r="G40" s="198"/>
      <c r="H40" s="198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>
      <c r="A41" s="198"/>
      <c r="B41" s="204" t="str">
        <f>COSTEO!E41</f>
        <v>IMÁGENES DIAGNÓSTICAS</v>
      </c>
      <c r="C41" s="200" t="str">
        <f>COSTEO!N41</f>
        <v/>
      </c>
      <c r="D41" s="200" t="str">
        <f>COSTEO!O41</f>
        <v/>
      </c>
      <c r="E41" s="46"/>
      <c r="F41" s="46"/>
      <c r="G41" s="198"/>
      <c r="H41" s="198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>
      <c r="A42" s="198"/>
      <c r="B42" s="205" t="str">
        <f>COSTEO!E42</f>
        <v>Radiografía de tórax</v>
      </c>
      <c r="C42" s="200" t="str">
        <f>COSTEO!N42</f>
        <v/>
      </c>
      <c r="D42" s="200" t="str">
        <f>COSTEO!O42</f>
        <v/>
      </c>
      <c r="E42" s="46"/>
      <c r="F42" s="46"/>
      <c r="G42" s="198"/>
      <c r="H42" s="198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>
      <c r="A43" s="46"/>
      <c r="B43" s="206" t="str">
        <f>COSTEO!E43</f>
        <v>Ecografía de mamas</v>
      </c>
      <c r="C43" s="200" t="str">
        <f>COSTEO!N43</f>
        <v/>
      </c>
      <c r="D43" s="200" t="str">
        <f>COSTEO!O43</f>
        <v/>
      </c>
      <c r="E43" s="46"/>
      <c r="F43" s="46"/>
      <c r="G43" s="198"/>
      <c r="H43" s="198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>
      <c r="A44" s="46"/>
      <c r="B44" s="205" t="str">
        <f>COSTEO!E44</f>
        <v>Ecografía de abdomen total</v>
      </c>
      <c r="C44" s="200" t="str">
        <f>COSTEO!N44</f>
        <v>No</v>
      </c>
      <c r="D44" s="200" t="str">
        <f>COSTEO!O44</f>
        <v>No</v>
      </c>
      <c r="E44" s="46"/>
      <c r="F44" s="46"/>
      <c r="G44" s="198"/>
      <c r="H44" s="198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>
      <c r="A45" s="46"/>
      <c r="B45" s="205" t="str">
        <f>COSTEO!E45</f>
        <v>Electrocardiograma</v>
      </c>
      <c r="C45" s="200" t="str">
        <f>COSTEO!N45</f>
        <v/>
      </c>
      <c r="D45" s="200" t="str">
        <f>COSTEO!O45</f>
        <v/>
      </c>
      <c r="E45" s="46"/>
      <c r="F45" s="46"/>
      <c r="G45" s="198"/>
      <c r="H45" s="198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>
      <c r="A46" s="46"/>
      <c r="B46" s="205" t="str">
        <f>COSTEO!E46</f>
        <v>Cita con especialista en MEDICINA INTERNA</v>
      </c>
      <c r="C46" s="200" t="str">
        <f>COSTEO!N46</f>
        <v>No</v>
      </c>
      <c r="D46" s="200" t="str">
        <f>COSTEO!O46</f>
        <v>No</v>
      </c>
      <c r="E46" s="46"/>
      <c r="F46" s="46"/>
      <c r="G46" s="198"/>
      <c r="H46" s="198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>
      <c r="A47" s="46"/>
      <c r="B47" s="156" t="str">
        <f>COSTEO!E47</f>
        <v>ORDENES MÉDICAS</v>
      </c>
      <c r="C47" s="156" t="str">
        <f>COSTEO!F47</f>
        <v/>
      </c>
      <c r="D47" s="156" t="str">
        <f>COSTEO!G47</f>
        <v/>
      </c>
      <c r="E47" s="46"/>
      <c r="F47" s="46"/>
      <c r="G47" s="198"/>
      <c r="H47" s="198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>
      <c r="A48" s="46"/>
      <c r="B48" s="202" t="str">
        <f>COSTEO!E48</f>
        <v>LABORATORIOS CLÍNICOS</v>
      </c>
      <c r="C48" s="202" t="str">
        <f>COSTEO!F48</f>
        <v/>
      </c>
      <c r="D48" s="207" t="str">
        <f>COSTEO!G48</f>
        <v/>
      </c>
      <c r="E48" s="46"/>
      <c r="F48" s="46"/>
      <c r="G48" s="198"/>
      <c r="H48" s="198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>
      <c r="A49" s="46"/>
      <c r="B49" s="40" t="str">
        <f>COSTEO!E49</f>
        <v>AMH hormona antimulleriana </v>
      </c>
      <c r="C49" s="200">
        <f>COSTEO!N49</f>
        <v>65.78947368</v>
      </c>
      <c r="D49" s="200" t="str">
        <f>COSTEO!O49</f>
        <v>No</v>
      </c>
      <c r="E49" s="46"/>
      <c r="F49" s="208" t="s">
        <v>231</v>
      </c>
      <c r="G49" s="198"/>
      <c r="H49" s="198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>
      <c r="A50" s="46"/>
      <c r="B50" s="40" t="str">
        <f>COSTEO!E50</f>
        <v>Estradiol total</v>
      </c>
      <c r="C50" s="200">
        <f>COSTEO!N50</f>
        <v>15.78947368</v>
      </c>
      <c r="D50" s="200" t="str">
        <f>COSTEO!O50</f>
        <v>No</v>
      </c>
      <c r="E50" s="46"/>
      <c r="F50" s="46" t="str">
        <f t="shared" ref="F50:G50" si="1">B50</f>
        <v>Estradiol total</v>
      </c>
      <c r="G50" s="209">
        <f t="shared" si="1"/>
        <v>15.78947368</v>
      </c>
      <c r="H50" s="198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1">
      <c r="A51" s="46"/>
      <c r="B51" s="40" t="str">
        <f>COSTEO!E51</f>
        <v>FSH Hormona foliculoestimulante </v>
      </c>
      <c r="C51" s="200">
        <f>COSTEO!N51</f>
        <v>17.10526316</v>
      </c>
      <c r="D51" s="200" t="str">
        <f>COSTEO!O51</f>
        <v>No</v>
      </c>
      <c r="E51" s="46"/>
      <c r="F51" s="46" t="str">
        <f t="shared" ref="F51:G51" si="2">B51</f>
        <v>FSH Hormona foliculoestimulante </v>
      </c>
      <c r="G51" s="209">
        <f t="shared" si="2"/>
        <v>17.10526316</v>
      </c>
      <c r="H51" s="198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>
      <c r="A52" s="46"/>
      <c r="B52" s="40" t="str">
        <f>COSTEO!E52</f>
        <v>LH Hormona Luteinizante</v>
      </c>
      <c r="C52" s="200">
        <f>COSTEO!N52</f>
        <v>16.66666667</v>
      </c>
      <c r="D52" s="200" t="str">
        <f>COSTEO!O52</f>
        <v>No</v>
      </c>
      <c r="E52" s="46"/>
      <c r="F52" s="46" t="str">
        <f t="shared" ref="F52:G52" si="3">B52</f>
        <v>LH Hormona Luteinizante</v>
      </c>
      <c r="G52" s="209">
        <f t="shared" si="3"/>
        <v>16.66666667</v>
      </c>
      <c r="H52" s="198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</row>
    <row r="53">
      <c r="A53" s="46"/>
      <c r="B53" s="40" t="str">
        <f>COSTEO!E53</f>
        <v>Prolactina</v>
      </c>
      <c r="C53" s="200">
        <f>COSTEO!N53</f>
        <v>15.35087719</v>
      </c>
      <c r="D53" s="200" t="str">
        <f>COSTEO!O53</f>
        <v>No</v>
      </c>
      <c r="E53" s="46"/>
      <c r="F53" s="46" t="str">
        <f t="shared" ref="F53:G53" si="4">B53</f>
        <v>Prolactina</v>
      </c>
      <c r="G53" s="209">
        <f t="shared" si="4"/>
        <v>15.35087719</v>
      </c>
      <c r="H53" s="198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>
      <c r="A54" s="46"/>
      <c r="B54" s="40" t="str">
        <f>COSTEO!E54</f>
        <v>Testosterona total</v>
      </c>
      <c r="C54" s="200">
        <f>COSTEO!N54</f>
        <v>18.42105263</v>
      </c>
      <c r="D54" s="200" t="str">
        <f>COSTEO!O54</f>
        <v>No</v>
      </c>
      <c r="E54" s="46"/>
      <c r="F54" s="208" t="s">
        <v>232</v>
      </c>
      <c r="G54" s="209">
        <f>C54</f>
        <v>18.42105263</v>
      </c>
      <c r="H54" s="198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</row>
    <row r="55">
      <c r="A55" s="46"/>
      <c r="B55" s="40" t="str">
        <f>COSTEO!E55</f>
        <v>Androstenediona</v>
      </c>
      <c r="C55" s="200">
        <f>COSTEO!N55</f>
        <v>17.54385965</v>
      </c>
      <c r="D55" s="200" t="str">
        <f>COSTEO!O55</f>
        <v>No</v>
      </c>
      <c r="E55" s="46"/>
      <c r="F55" s="210" t="s">
        <v>233</v>
      </c>
      <c r="G55" s="211">
        <f>SUM(G50:G54)</f>
        <v>83.33333333</v>
      </c>
      <c r="H55" s="198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>
      <c r="A56" s="46"/>
      <c r="B56" s="40" t="str">
        <f>COSTEO!E56</f>
        <v>Hormona Dehidroepiandrosterona-Sulfato (DHEA-S)</v>
      </c>
      <c r="C56" s="200">
        <f>COSTEO!N56</f>
        <v>17.54385965</v>
      </c>
      <c r="D56" s="200" t="str">
        <f>COSTEO!O56</f>
        <v>No</v>
      </c>
      <c r="E56" s="46"/>
      <c r="F56" s="46"/>
      <c r="G56" s="198"/>
      <c r="H56" s="198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</row>
    <row r="57">
      <c r="A57" s="46"/>
      <c r="B57" s="40" t="str">
        <f>COSTEO!E57</f>
        <v>Hidroxiprogesterona  (17 OHP)</v>
      </c>
      <c r="C57" s="200">
        <f>COSTEO!N57</f>
        <v>30.70175439</v>
      </c>
      <c r="D57" s="200" t="str">
        <f>COSTEO!O57</f>
        <v>No</v>
      </c>
      <c r="E57" s="46"/>
      <c r="F57" s="46"/>
      <c r="G57" s="198"/>
      <c r="H57" s="198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>
      <c r="A58" s="46"/>
      <c r="B58" s="40" t="str">
        <f>COSTEO!E58</f>
        <v>G6PD (glucosa-6-fosfato deshidrogenasa) Prueba cualitativa</v>
      </c>
      <c r="C58" s="200">
        <f>COSTEO!N58</f>
        <v>18.42105263</v>
      </c>
      <c r="D58" s="200">
        <f>COSTEO!O58</f>
        <v>18.42105263</v>
      </c>
      <c r="E58" s="46"/>
      <c r="F58" s="46"/>
      <c r="G58" s="198"/>
      <c r="H58" s="198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>
      <c r="A59" s="46"/>
      <c r="B59" s="40" t="str">
        <f>COSTEO!E59</f>
        <v>G6PD (glucosa-6-fosfato deshidrogenasa) Prueba cuantitativa</v>
      </c>
      <c r="C59" s="200">
        <f>COSTEO!N59</f>
        <v>26.31578947</v>
      </c>
      <c r="D59" s="200">
        <f>COSTEO!O59</f>
        <v>26.31578947</v>
      </c>
      <c r="E59" s="46"/>
      <c r="F59" s="46"/>
      <c r="G59" s="198"/>
      <c r="H59" s="198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>
      <c r="A60" s="198"/>
      <c r="B60" s="40" t="str">
        <f>COSTEO!E60</f>
        <v>Frotis de sangre periférica - (extendido de sangre periférica estudio de morfología)</v>
      </c>
      <c r="C60" s="200">
        <f>COSTEO!N60</f>
        <v>19.73684211</v>
      </c>
      <c r="D60" s="200" t="str">
        <f>COSTEO!O60</f>
        <v>No</v>
      </c>
      <c r="E60" s="46"/>
      <c r="F60" s="46"/>
      <c r="G60" s="198"/>
      <c r="H60" s="198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>
      <c r="A61" s="198"/>
      <c r="B61" s="40" t="str">
        <f>COSTEO!E61</f>
        <v>Test de sicklemia: (Células Falciformes-drepanocitosis)</v>
      </c>
      <c r="C61" s="200">
        <f>COSTEO!N61</f>
        <v>17.54385965</v>
      </c>
      <c r="D61" s="200" t="str">
        <f>COSTEO!O61</f>
        <v>No</v>
      </c>
      <c r="E61" s="46"/>
      <c r="F61" s="46"/>
      <c r="G61" s="198"/>
      <c r="H61" s="198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>
      <c r="A62" s="46"/>
      <c r="B62" s="37" t="str">
        <f>COSTEO!E62</f>
        <v>Insulina Pre y post glucosa</v>
      </c>
      <c r="C62" s="200">
        <f>COSTEO!N62</f>
        <v>26.31578947</v>
      </c>
      <c r="D62" s="200" t="str">
        <f>COSTEO!O62</f>
        <v>No</v>
      </c>
      <c r="E62" s="46"/>
      <c r="F62" s="46"/>
      <c r="G62" s="198"/>
      <c r="H62" s="198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</row>
    <row r="63">
      <c r="A63" s="46"/>
      <c r="B63" s="40" t="str">
        <f>COSTEO!E63</f>
        <v>Curva de glucosa.</v>
      </c>
      <c r="C63" s="200">
        <f>COSTEO!N63</f>
        <v>26.31578947</v>
      </c>
      <c r="D63" s="200" t="str">
        <f>COSTEO!O63</f>
        <v>No</v>
      </c>
      <c r="E63" s="46"/>
      <c r="F63" s="46"/>
      <c r="G63" s="198"/>
      <c r="H63" s="198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>
      <c r="A64" s="46"/>
      <c r="B64" s="40" t="str">
        <f>COSTEO!E64</f>
        <v>Paratohormona</v>
      </c>
      <c r="C64" s="200" t="str">
        <f>COSTEO!N64</f>
        <v>No</v>
      </c>
      <c r="D64" s="200">
        <f>COSTEO!O64</f>
        <v>50.87719298</v>
      </c>
      <c r="E64" s="46"/>
      <c r="F64" s="46"/>
      <c r="G64" s="198"/>
      <c r="H64" s="198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</row>
    <row r="65">
      <c r="A65" s="46"/>
      <c r="B65" s="40" t="str">
        <f>COSTEO!E65</f>
        <v>Homocisteína</v>
      </c>
      <c r="C65" s="200">
        <f>COSTEO!N65</f>
        <v>47.36842105</v>
      </c>
      <c r="D65" s="200">
        <f>COSTEO!O65</f>
        <v>47.36842105</v>
      </c>
      <c r="E65" s="46"/>
      <c r="F65" s="46"/>
      <c r="G65" s="198"/>
      <c r="H65" s="198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>
      <c r="A66" s="46"/>
      <c r="B66" s="204" t="str">
        <f>COSTEO!E66</f>
        <v>IMÁGENES DIAGNÓSTICAS</v>
      </c>
      <c r="C66" s="212" t="str">
        <f>COSTEO!F66</f>
        <v/>
      </c>
      <c r="D66" s="213" t="str">
        <f>COSTEO!G66</f>
        <v/>
      </c>
      <c r="E66" s="46"/>
      <c r="F66" s="46"/>
      <c r="G66" s="198"/>
      <c r="H66" s="198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</row>
    <row r="67">
      <c r="A67" s="46"/>
      <c r="B67" s="205" t="str">
        <f>COSTEO!E67</f>
        <v>Esofagoduoendoscopia</v>
      </c>
      <c r="C67" s="200" t="str">
        <f>COSTEO!N67</f>
        <v>No</v>
      </c>
      <c r="D67" s="200">
        <f>COSTEO!O67</f>
        <v>131.5789474</v>
      </c>
      <c r="E67" s="46"/>
      <c r="F67" s="46"/>
      <c r="G67" s="198"/>
      <c r="H67" s="198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>
      <c r="A68" s="46"/>
      <c r="B68" s="206" t="str">
        <f>COSTEO!E68</f>
        <v>Una biopsia para la endoscopia</v>
      </c>
      <c r="C68" s="200" t="str">
        <f>COSTEO!N68</f>
        <v>No</v>
      </c>
      <c r="D68" s="200">
        <f>COSTEO!O68</f>
        <v>38.30409357</v>
      </c>
      <c r="E68" s="46"/>
      <c r="F68" s="46"/>
      <c r="G68" s="198"/>
      <c r="H68" s="198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</row>
    <row r="69">
      <c r="A69" s="46"/>
      <c r="B69" s="205" t="str">
        <f>COSTEO!E69</f>
        <v>Ecocardiografía</v>
      </c>
      <c r="C69" s="200">
        <f>COSTEO!N69</f>
        <v>120.3007519</v>
      </c>
      <c r="D69" s="200">
        <f>COSTEO!O69</f>
        <v>120.3007519</v>
      </c>
      <c r="E69" s="46"/>
      <c r="F69" s="46"/>
      <c r="G69" s="198"/>
      <c r="H69" s="198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>
      <c r="A70" s="46"/>
      <c r="B70" s="205" t="str">
        <f>COSTEO!E70</f>
        <v>Prueba de esfuerzo</v>
      </c>
      <c r="C70" s="200">
        <f>COSTEO!N70</f>
        <v>97.7443609</v>
      </c>
      <c r="D70" s="200">
        <f>COSTEO!O70</f>
        <v>97.7443609</v>
      </c>
      <c r="E70" s="46"/>
      <c r="F70" s="46"/>
      <c r="G70" s="198"/>
      <c r="H70" s="198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</row>
    <row r="71">
      <c r="A71" s="46"/>
      <c r="B71" s="205" t="str">
        <f>COSTEO!E71</f>
        <v>Tomografía de abdomen total</v>
      </c>
      <c r="C71" s="200" t="str">
        <f>COSTEO!N71</f>
        <v>No</v>
      </c>
      <c r="D71" s="200">
        <f>COSTEO!O71</f>
        <v>98.24561404</v>
      </c>
      <c r="E71" s="46"/>
      <c r="F71" s="46"/>
      <c r="G71" s="198"/>
      <c r="H71" s="198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>
      <c r="A72" s="46"/>
      <c r="B72" s="205" t="str">
        <f>COSTEO!E72</f>
        <v>Tomografía de cabeza</v>
      </c>
      <c r="C72" s="200">
        <f>COSTEO!N72</f>
        <v>102.3391813</v>
      </c>
      <c r="D72" s="200" t="str">
        <f>COSTEO!O72</f>
        <v>No</v>
      </c>
      <c r="E72" s="46"/>
      <c r="F72" s="46"/>
      <c r="G72" s="198"/>
      <c r="H72" s="198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</row>
    <row r="73">
      <c r="A73" s="46"/>
      <c r="B73" s="205" t="str">
        <f>COSTEO!E73</f>
        <v>Tomografía de abdomen y pelvis</v>
      </c>
      <c r="C73" s="200">
        <f>COSTEO!N73</f>
        <v>124.0601504</v>
      </c>
      <c r="D73" s="200" t="str">
        <f>COSTEO!O73</f>
        <v>No</v>
      </c>
      <c r="E73" s="46"/>
      <c r="F73" s="46"/>
      <c r="G73" s="198"/>
      <c r="H73" s="198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>
      <c r="A74" s="46"/>
      <c r="B74" s="205" t="str">
        <f>COSTEO!E74</f>
        <v>Somnoscopia o Endoscopia del Sueño - incluye Sala de quirófano + anestesia + honorarios médicos + insumos</v>
      </c>
      <c r="C74" s="200" t="str">
        <f>COSTEO!N74</f>
        <v>No</v>
      </c>
      <c r="D74" s="200">
        <f>COSTEO!O74</f>
        <v>775.6232687</v>
      </c>
      <c r="E74" s="46"/>
      <c r="F74" s="46"/>
      <c r="G74" s="198"/>
      <c r="H74" s="198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</row>
    <row r="75">
      <c r="A75" s="46"/>
      <c r="B75" s="205" t="str">
        <f>COSTEO!E75</f>
        <v>Espirometría</v>
      </c>
      <c r="C75" s="200" t="str">
        <f>COSTEO!N75</f>
        <v>No</v>
      </c>
      <c r="D75" s="200">
        <f>COSTEO!O75</f>
        <v>0</v>
      </c>
      <c r="E75" s="46"/>
      <c r="F75" s="46"/>
      <c r="G75" s="198"/>
      <c r="H75" s="198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>
      <c r="A76" s="46"/>
      <c r="B76" s="205" t="str">
        <f>COSTEO!E76</f>
        <v>Ecografía transvaginal</v>
      </c>
      <c r="C76" s="200">
        <f>COSTEO!N76</f>
        <v>0</v>
      </c>
      <c r="D76" s="200" t="str">
        <f>COSTEO!O76</f>
        <v>No</v>
      </c>
      <c r="E76" s="46"/>
      <c r="F76" s="46"/>
      <c r="G76" s="198"/>
      <c r="H76" s="198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</row>
    <row r="77">
      <c r="A77" s="46"/>
      <c r="B77" s="214" t="str">
        <f>COSTEO!E77</f>
        <v>ESPECIALISTAS</v>
      </c>
      <c r="C77" s="215" t="str">
        <f>COSTEO!F77</f>
        <v/>
      </c>
      <c r="D77" s="215" t="str">
        <f>COSTEO!G77</f>
        <v/>
      </c>
      <c r="E77" s="46"/>
      <c r="F77" s="46"/>
      <c r="G77" s="198"/>
      <c r="H77" s="198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>
      <c r="A78" s="46"/>
      <c r="B78" s="216" t="str">
        <f>COSTEO!E78</f>
        <v>Consulta con CARDIOLOGÍA</v>
      </c>
      <c r="C78" s="200">
        <f>COSTEO!N78</f>
        <v>77.56232687</v>
      </c>
      <c r="D78" s="200">
        <f>COSTEO!O78</f>
        <v>77.56232687</v>
      </c>
      <c r="E78" s="46"/>
      <c r="F78" s="46"/>
      <c r="G78" s="198"/>
      <c r="H78" s="198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</row>
    <row r="79">
      <c r="A79" s="46"/>
      <c r="B79" s="216" t="str">
        <f>COSTEO!E79</f>
        <v>Consulta con OTORRINOLARINGOLOGO</v>
      </c>
      <c r="C79" s="200" t="str">
        <f>COSTEO!N79</f>
        <v>No</v>
      </c>
      <c r="D79" s="200">
        <f>COSTEO!O79</f>
        <v>83.10249307</v>
      </c>
      <c r="E79" s="46"/>
      <c r="F79" s="46"/>
      <c r="G79" s="198"/>
      <c r="H79" s="198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>
      <c r="A80" s="46"/>
      <c r="B80" s="216" t="str">
        <f>COSTEO!E80</f>
        <v>Consulta con OFTALMOLOGÍA</v>
      </c>
      <c r="C80" s="200">
        <f>COSTEO!N80</f>
        <v>77.56232687</v>
      </c>
      <c r="D80" s="200">
        <f>COSTEO!O80</f>
        <v>77.56232687</v>
      </c>
      <c r="E80" s="46"/>
      <c r="F80" s="46"/>
      <c r="G80" s="198"/>
      <c r="H80" s="198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</row>
    <row r="81">
      <c r="A81" s="46"/>
      <c r="B81" s="216" t="str">
        <f>COSTEO!E81</f>
        <v>Consulta con GASTROENTERÓLOGO</v>
      </c>
      <c r="C81" s="200" t="str">
        <f>COSTEO!N81</f>
        <v>No</v>
      </c>
      <c r="D81" s="200">
        <f>COSTEO!O81</f>
        <v>0</v>
      </c>
      <c r="E81" s="46"/>
      <c r="F81" s="46"/>
      <c r="G81" s="198"/>
      <c r="H81" s="198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>
      <c r="A82" s="46"/>
      <c r="B82" s="216" t="str">
        <f>COSTEO!E82</f>
        <v>Consulta con GINECOLOGÍA</v>
      </c>
      <c r="C82" s="200">
        <f>COSTEO!N82</f>
        <v>77.56232687</v>
      </c>
      <c r="D82" s="200" t="str">
        <f>COSTEO!O82</f>
        <v>No</v>
      </c>
      <c r="E82" s="46"/>
      <c r="F82" s="46"/>
      <c r="G82" s="198"/>
      <c r="H82" s="198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</row>
    <row r="83">
      <c r="A83" s="46"/>
      <c r="B83" s="216" t="str">
        <f>COSTEO!E83</f>
        <v>Consulta con ENDOCRINÓLOGO</v>
      </c>
      <c r="C83" s="200">
        <f>COSTEO!N83</f>
        <v>83.10249307</v>
      </c>
      <c r="D83" s="200" t="str">
        <f>COSTEO!O83</f>
        <v>No</v>
      </c>
      <c r="E83" s="46"/>
      <c r="F83" s="46"/>
      <c r="G83" s="198"/>
      <c r="H83" s="198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>
      <c r="A84" s="46"/>
      <c r="B84" s="216" t="str">
        <f>COSTEO!E84</f>
        <v>Consulta con NEUROLOGÍA</v>
      </c>
      <c r="C84" s="200">
        <f>COSTEO!N84</f>
        <v>0</v>
      </c>
      <c r="D84" s="200" t="str">
        <f>COSTEO!O84</f>
        <v>No</v>
      </c>
      <c r="E84" s="46"/>
      <c r="F84" s="46"/>
      <c r="G84" s="198"/>
      <c r="H84" s="198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</row>
    <row r="85">
      <c r="A85" s="46"/>
      <c r="B85" s="217" t="str">
        <f>COSTEO!E85</f>
        <v>02 Traslados hotel - clínica por trayecto largo</v>
      </c>
      <c r="C85" s="200">
        <f>COSTEO!N85</f>
        <v>12.46537396</v>
      </c>
      <c r="D85" s="200">
        <f>COSTEO!O85</f>
        <v>12.46537396</v>
      </c>
      <c r="E85" s="46"/>
      <c r="F85" s="46"/>
      <c r="G85" s="198"/>
      <c r="H85" s="198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>
      <c r="A86" s="46"/>
      <c r="B86" s="217" t="str">
        <f>COSTEO!E86</f>
        <v>09 Traslados hotel - clínica por trayecto Corto</v>
      </c>
      <c r="C86" s="200">
        <f>COSTEO!N86</f>
        <v>43.62880886</v>
      </c>
      <c r="D86" s="200">
        <f>COSTEO!O86</f>
        <v>43.62880886</v>
      </c>
      <c r="E86" s="46"/>
      <c r="F86" s="46"/>
      <c r="G86" s="198"/>
      <c r="H86" s="198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</row>
    <row r="87">
      <c r="A87" s="46"/>
      <c r="B87" s="217" t="str">
        <f>COSTEO!E87</f>
        <v>Servicios Medical Trip Colombia: Acompañamiento Virtual</v>
      </c>
      <c r="C87" s="200">
        <f>COSTEO!N87</f>
        <v>24.93074792</v>
      </c>
      <c r="D87" s="200">
        <f>COSTEO!O87</f>
        <v>24.93074792</v>
      </c>
      <c r="E87" s="46"/>
      <c r="F87" s="46"/>
      <c r="G87" s="198"/>
      <c r="H87" s="198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>
      <c r="A88" s="46"/>
      <c r="B88" s="217" t="str">
        <f>COSTEO!E88</f>
        <v>Servicios Medical Trip Colombia: Acompañamiento presencial</v>
      </c>
      <c r="C88" s="200">
        <f>COSTEO!N88</f>
        <v>104.7091413</v>
      </c>
      <c r="D88" s="200">
        <f>COSTEO!O88</f>
        <v>104.7091413</v>
      </c>
      <c r="E88" s="46"/>
      <c r="F88" s="46"/>
      <c r="G88" s="198"/>
      <c r="H88" s="198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>
      <c r="A89" s="46"/>
      <c r="B89" s="218" t="s">
        <v>234</v>
      </c>
      <c r="C89" s="200">
        <f>COSTEO!N92</f>
        <v>7.495972073</v>
      </c>
      <c r="D89" s="200">
        <f>COSTEO!O92</f>
        <v>9.589385651</v>
      </c>
      <c r="E89" s="46"/>
      <c r="F89" s="46"/>
      <c r="G89" s="198"/>
      <c r="H89" s="198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>
      <c r="A90" s="46"/>
      <c r="B90" s="218" t="s">
        <v>235</v>
      </c>
      <c r="C90" s="200">
        <f>COSTEO!N93</f>
        <v>1.578947368</v>
      </c>
      <c r="D90" s="200">
        <f>COSTEO!O93</f>
        <v>1.578947368</v>
      </c>
      <c r="E90" s="46"/>
      <c r="F90" s="46"/>
      <c r="G90" s="198"/>
      <c r="H90" s="198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>
      <c r="A91" s="46"/>
      <c r="B91" s="219" t="s">
        <v>236</v>
      </c>
      <c r="C91" s="220">
        <f t="shared" ref="C91:D91" si="5">SUM(C5:C90)</f>
        <v>1866.16941</v>
      </c>
      <c r="D91" s="220">
        <f t="shared" si="5"/>
        <v>2354.10572</v>
      </c>
      <c r="E91" s="46"/>
      <c r="F91" s="46"/>
      <c r="G91" s="198"/>
      <c r="H91" s="198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>
      <c r="A92" s="46"/>
      <c r="B92" s="46"/>
      <c r="C92" s="10"/>
      <c r="D92" s="10"/>
      <c r="E92" s="46"/>
      <c r="F92" s="46"/>
      <c r="G92" s="46"/>
      <c r="H92" s="10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>
      <c r="A93" s="46"/>
      <c r="B93" s="46"/>
      <c r="C93" s="10"/>
      <c r="D93" s="10"/>
      <c r="E93" s="46"/>
      <c r="F93" s="46"/>
      <c r="G93" s="46"/>
      <c r="H93" s="10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>
      <c r="A94" s="46"/>
      <c r="B94" s="196" t="s">
        <v>230</v>
      </c>
      <c r="C94" s="197" t="s">
        <v>2</v>
      </c>
      <c r="D94" s="10"/>
      <c r="E94" s="46"/>
      <c r="F94" s="46"/>
      <c r="G94" s="46"/>
      <c r="H94" s="10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</row>
    <row r="95">
      <c r="A95" s="46"/>
      <c r="B95" s="199" t="s">
        <v>145</v>
      </c>
      <c r="C95" s="200">
        <v>14.473684210526315</v>
      </c>
      <c r="D95" s="10"/>
      <c r="E95" s="46"/>
      <c r="F95" s="46"/>
      <c r="G95" s="46"/>
      <c r="H95" s="10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>
      <c r="A96" s="46"/>
      <c r="B96" s="201" t="s">
        <v>146</v>
      </c>
      <c r="C96" s="200">
        <v>2.6315789473684212</v>
      </c>
      <c r="D96" s="10"/>
      <c r="E96" s="46"/>
      <c r="F96" s="46"/>
      <c r="G96" s="46"/>
      <c r="H96" s="10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</row>
    <row r="97">
      <c r="A97" s="46"/>
      <c r="B97" s="201" t="s">
        <v>147</v>
      </c>
      <c r="C97" s="200">
        <v>5.2631578947368425</v>
      </c>
      <c r="D97" s="10"/>
      <c r="E97" s="46"/>
      <c r="F97" s="46"/>
      <c r="G97" s="46"/>
      <c r="H97" s="10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>
      <c r="A98" s="46"/>
      <c r="B98" s="201" t="s">
        <v>237</v>
      </c>
      <c r="C98" s="200">
        <v>41.82825484764543</v>
      </c>
      <c r="D98" s="10"/>
      <c r="E98" s="46"/>
      <c r="F98" s="46"/>
      <c r="G98" s="46"/>
      <c r="H98" s="10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</row>
    <row r="99">
      <c r="A99" s="46"/>
      <c r="B99" s="156" t="s">
        <v>149</v>
      </c>
      <c r="C99" s="200">
        <v>450.0</v>
      </c>
      <c r="D99" s="10"/>
      <c r="E99" s="46"/>
      <c r="F99" s="46"/>
      <c r="G99" s="46"/>
      <c r="H99" s="10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>
      <c r="A100" s="46"/>
      <c r="B100" s="202" t="s">
        <v>150</v>
      </c>
      <c r="C100" s="200"/>
      <c r="D100" s="10"/>
      <c r="E100" s="46"/>
      <c r="F100" s="46"/>
      <c r="G100" s="46"/>
      <c r="H100" s="10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</row>
    <row r="101">
      <c r="A101" s="46"/>
      <c r="B101" s="40" t="s">
        <v>154</v>
      </c>
      <c r="C101" s="200"/>
      <c r="D101" s="10"/>
      <c r="E101" s="46"/>
      <c r="F101" s="46"/>
      <c r="G101" s="46"/>
      <c r="H101" s="10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>
      <c r="A102" s="46"/>
      <c r="B102" s="40" t="s">
        <v>78</v>
      </c>
      <c r="C102" s="200"/>
      <c r="D102" s="10"/>
      <c r="E102" s="46"/>
      <c r="F102" s="46"/>
      <c r="G102" s="46"/>
      <c r="H102" s="10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</row>
    <row r="103">
      <c r="A103" s="46"/>
      <c r="B103" s="40" t="s">
        <v>156</v>
      </c>
      <c r="C103" s="200"/>
      <c r="D103" s="10"/>
      <c r="E103" s="46"/>
      <c r="F103" s="46"/>
      <c r="G103" s="46"/>
      <c r="H103" s="10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>
      <c r="A104" s="46"/>
      <c r="B104" s="40" t="s">
        <v>157</v>
      </c>
      <c r="C104" s="200"/>
      <c r="D104" s="10"/>
      <c r="E104" s="46"/>
      <c r="F104" s="46"/>
      <c r="G104" s="46"/>
      <c r="H104" s="10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</row>
    <row r="105">
      <c r="A105" s="46"/>
      <c r="B105" s="203" t="s">
        <v>158</v>
      </c>
      <c r="C105" s="200"/>
      <c r="D105" s="10"/>
      <c r="E105" s="46"/>
      <c r="F105" s="46"/>
      <c r="G105" s="46"/>
      <c r="H105" s="10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>
      <c r="A106" s="46"/>
      <c r="B106" s="40" t="s">
        <v>159</v>
      </c>
      <c r="C106" s="200"/>
      <c r="D106" s="10"/>
      <c r="E106" s="46"/>
      <c r="F106" s="46"/>
      <c r="G106" s="46"/>
      <c r="H106" s="10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</row>
    <row r="107">
      <c r="A107" s="46"/>
      <c r="B107" s="40" t="s">
        <v>160</v>
      </c>
      <c r="C107" s="200"/>
      <c r="D107" s="10"/>
      <c r="E107" s="46"/>
      <c r="F107" s="46"/>
      <c r="G107" s="46"/>
      <c r="H107" s="10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>
      <c r="A108" s="46"/>
      <c r="B108" s="40" t="s">
        <v>161</v>
      </c>
      <c r="C108" s="200"/>
      <c r="D108" s="10"/>
      <c r="E108" s="46"/>
      <c r="F108" s="46"/>
      <c r="G108" s="46"/>
      <c r="H108" s="10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</row>
    <row r="109">
      <c r="A109" s="46"/>
      <c r="B109" s="40" t="s">
        <v>162</v>
      </c>
      <c r="C109" s="200"/>
      <c r="D109" s="10"/>
      <c r="E109" s="46"/>
      <c r="F109" s="46"/>
      <c r="G109" s="46"/>
      <c r="H109" s="10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>
      <c r="A110" s="46"/>
      <c r="B110" s="203" t="s">
        <v>163</v>
      </c>
      <c r="C110" s="200"/>
      <c r="D110" s="10"/>
      <c r="E110" s="46"/>
      <c r="F110" s="46"/>
      <c r="G110" s="46"/>
      <c r="H110" s="10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>
      <c r="A111" s="46"/>
      <c r="B111" s="40" t="s">
        <v>164</v>
      </c>
      <c r="C111" s="200"/>
      <c r="D111" s="10"/>
      <c r="E111" s="46"/>
      <c r="F111" s="46"/>
      <c r="G111" s="46"/>
      <c r="H111" s="10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>
      <c r="A112" s="46"/>
      <c r="B112" s="40" t="s">
        <v>165</v>
      </c>
      <c r="C112" s="200"/>
      <c r="D112" s="10"/>
      <c r="E112" s="46"/>
      <c r="F112" s="46"/>
      <c r="G112" s="46"/>
      <c r="H112" s="10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>
      <c r="A113" s="46"/>
      <c r="B113" s="40" t="s">
        <v>166</v>
      </c>
      <c r="C113" s="200"/>
      <c r="D113" s="10"/>
      <c r="E113" s="46"/>
      <c r="F113" s="46"/>
      <c r="G113" s="46"/>
      <c r="H113" s="10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>
      <c r="A114" s="46"/>
      <c r="B114" s="40" t="s">
        <v>167</v>
      </c>
      <c r="C114" s="200"/>
      <c r="D114" s="10"/>
      <c r="E114" s="46"/>
      <c r="F114" s="46"/>
      <c r="G114" s="46"/>
      <c r="H114" s="10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>
      <c r="A115" s="46"/>
      <c r="B115" s="203" t="s">
        <v>168</v>
      </c>
      <c r="C115" s="200"/>
      <c r="D115" s="10"/>
      <c r="E115" s="46"/>
      <c r="F115" s="46"/>
      <c r="G115" s="46"/>
      <c r="H115" s="10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>
      <c r="A116" s="46"/>
      <c r="B116" s="40" t="s">
        <v>169</v>
      </c>
      <c r="C116" s="200"/>
      <c r="D116" s="10"/>
      <c r="E116" s="46"/>
      <c r="F116" s="46"/>
      <c r="G116" s="46"/>
      <c r="H116" s="10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</row>
    <row r="117">
      <c r="A117" s="46"/>
      <c r="B117" s="40" t="s">
        <v>170</v>
      </c>
      <c r="C117" s="200"/>
      <c r="D117" s="10"/>
      <c r="E117" s="46"/>
      <c r="F117" s="46"/>
      <c r="G117" s="46"/>
      <c r="H117" s="10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>
      <c r="A118" s="46"/>
      <c r="B118" s="40" t="s">
        <v>171</v>
      </c>
      <c r="C118" s="200"/>
      <c r="D118" s="10"/>
      <c r="E118" s="46"/>
      <c r="F118" s="46"/>
      <c r="G118" s="46"/>
      <c r="H118" s="10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</row>
    <row r="119">
      <c r="A119" s="46"/>
      <c r="B119" s="203" t="s">
        <v>172</v>
      </c>
      <c r="C119" s="200"/>
      <c r="D119" s="10"/>
      <c r="E119" s="46"/>
      <c r="F119" s="46"/>
      <c r="G119" s="46"/>
      <c r="H119" s="10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>
      <c r="A120" s="46"/>
      <c r="B120" s="40" t="s">
        <v>173</v>
      </c>
      <c r="C120" s="200"/>
      <c r="D120" s="10"/>
      <c r="E120" s="46"/>
      <c r="F120" s="46"/>
      <c r="G120" s="46"/>
      <c r="H120" s="10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</row>
    <row r="121">
      <c r="A121" s="46"/>
      <c r="B121" s="40" t="s">
        <v>174</v>
      </c>
      <c r="C121" s="200"/>
      <c r="D121" s="10"/>
      <c r="E121" s="46"/>
      <c r="F121" s="46"/>
      <c r="G121" s="46"/>
      <c r="H121" s="10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>
      <c r="A122" s="46"/>
      <c r="B122" s="40" t="s">
        <v>175</v>
      </c>
      <c r="C122" s="200"/>
      <c r="D122" s="10"/>
      <c r="E122" s="46"/>
      <c r="F122" s="46"/>
      <c r="G122" s="46"/>
      <c r="H122" s="10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</row>
    <row r="123">
      <c r="A123" s="46"/>
      <c r="B123" s="40" t="s">
        <v>176</v>
      </c>
      <c r="C123" s="200"/>
      <c r="D123" s="10"/>
      <c r="E123" s="46"/>
      <c r="F123" s="46"/>
      <c r="G123" s="46"/>
      <c r="H123" s="10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>
      <c r="A124" s="46"/>
      <c r="B124" s="203" t="s">
        <v>177</v>
      </c>
      <c r="C124" s="200"/>
      <c r="D124" s="10"/>
      <c r="E124" s="46"/>
      <c r="F124" s="46"/>
      <c r="G124" s="46"/>
      <c r="H124" s="10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</row>
    <row r="125">
      <c r="A125" s="46"/>
      <c r="B125" s="40" t="s">
        <v>178</v>
      </c>
      <c r="C125" s="200"/>
      <c r="D125" s="10"/>
      <c r="E125" s="46"/>
      <c r="F125" s="46"/>
      <c r="G125" s="46"/>
      <c r="H125" s="10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>
      <c r="A126" s="46"/>
      <c r="B126" s="40" t="s">
        <v>179</v>
      </c>
      <c r="C126" s="200"/>
      <c r="D126" s="10"/>
      <c r="E126" s="46"/>
      <c r="F126" s="46"/>
      <c r="G126" s="46"/>
      <c r="H126" s="10"/>
      <c r="I126" s="46"/>
      <c r="J126" s="46"/>
      <c r="K126" s="46"/>
      <c r="L126" s="46"/>
      <c r="M126" s="200"/>
      <c r="N126" s="46"/>
      <c r="O126" s="46"/>
      <c r="P126" s="46"/>
      <c r="Q126" s="46"/>
      <c r="R126" s="46"/>
      <c r="S126" s="46"/>
      <c r="T126" s="46"/>
      <c r="U126" s="46"/>
      <c r="V126" s="46"/>
      <c r="W126" s="46"/>
    </row>
    <row r="127">
      <c r="A127" s="46"/>
      <c r="B127" s="203" t="s">
        <v>180</v>
      </c>
      <c r="C127" s="200"/>
      <c r="D127" s="10"/>
      <c r="E127" s="46"/>
      <c r="F127" s="46"/>
      <c r="G127" s="46"/>
      <c r="H127" s="10"/>
      <c r="I127" s="46"/>
      <c r="J127" s="46"/>
      <c r="K127" s="46"/>
      <c r="L127" s="46"/>
      <c r="M127" s="200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>
      <c r="A128" s="46"/>
      <c r="B128" s="40" t="s">
        <v>181</v>
      </c>
      <c r="C128" s="200"/>
      <c r="D128" s="10"/>
      <c r="E128" s="46"/>
      <c r="F128" s="46"/>
      <c r="G128" s="46"/>
      <c r="H128" s="10"/>
      <c r="I128" s="46"/>
      <c r="J128" s="46"/>
      <c r="K128" s="46"/>
      <c r="L128" s="46"/>
      <c r="M128" s="220"/>
      <c r="N128" s="46"/>
      <c r="O128" s="46"/>
      <c r="P128" s="46"/>
      <c r="Q128" s="46"/>
      <c r="R128" s="46"/>
      <c r="S128" s="46"/>
      <c r="T128" s="46"/>
      <c r="U128" s="46"/>
      <c r="V128" s="46"/>
      <c r="W128" s="46"/>
    </row>
    <row r="129">
      <c r="A129" s="46"/>
      <c r="B129" s="40" t="s">
        <v>182</v>
      </c>
      <c r="C129" s="200"/>
      <c r="D129" s="10"/>
      <c r="E129" s="46"/>
      <c r="F129" s="46"/>
      <c r="G129" s="46"/>
      <c r="H129" s="10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>
      <c r="A130" s="46"/>
      <c r="B130" s="204" t="s">
        <v>183</v>
      </c>
      <c r="C130" s="200"/>
      <c r="D130" s="10"/>
      <c r="E130" s="46"/>
      <c r="F130" s="46"/>
      <c r="G130" s="46"/>
      <c r="H130" s="10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</row>
    <row r="131">
      <c r="A131" s="46"/>
      <c r="B131" s="205" t="s">
        <v>64</v>
      </c>
      <c r="C131" s="200"/>
      <c r="D131" s="10"/>
      <c r="E131" s="46"/>
      <c r="F131" s="46"/>
      <c r="G131" s="46"/>
      <c r="H131" s="10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>
      <c r="A132" s="46"/>
      <c r="B132" s="206" t="s">
        <v>184</v>
      </c>
      <c r="C132" s="200"/>
      <c r="D132" s="10"/>
      <c r="E132" s="46"/>
      <c r="F132" s="46"/>
      <c r="G132" s="46"/>
      <c r="H132" s="10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</row>
    <row r="133">
      <c r="A133" s="46"/>
      <c r="B133" s="205" t="s">
        <v>185</v>
      </c>
      <c r="C133" s="200" t="s">
        <v>153</v>
      </c>
      <c r="D133" s="10"/>
      <c r="E133" s="46"/>
      <c r="F133" s="46"/>
      <c r="G133" s="46"/>
      <c r="H133" s="10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>
      <c r="A134" s="46"/>
      <c r="B134" s="205" t="s">
        <v>80</v>
      </c>
      <c r="C134" s="200"/>
      <c r="D134" s="10"/>
      <c r="E134" s="46"/>
      <c r="F134" s="46"/>
      <c r="G134" s="46"/>
      <c r="H134" s="10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</row>
    <row r="135">
      <c r="A135" s="46"/>
      <c r="B135" s="205" t="s">
        <v>186</v>
      </c>
      <c r="C135" s="200" t="s">
        <v>153</v>
      </c>
      <c r="D135" s="10"/>
      <c r="E135" s="46"/>
      <c r="F135" s="46"/>
      <c r="G135" s="46"/>
      <c r="H135" s="10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>
      <c r="A136" s="46"/>
      <c r="B136" s="156" t="s">
        <v>187</v>
      </c>
      <c r="C136" s="156"/>
      <c r="D136" s="10"/>
      <c r="E136" s="46"/>
      <c r="F136" s="46"/>
      <c r="G136" s="46"/>
      <c r="H136" s="10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</row>
    <row r="137">
      <c r="A137" s="46"/>
      <c r="B137" s="202" t="s">
        <v>150</v>
      </c>
      <c r="C137" s="202"/>
      <c r="D137" s="10"/>
      <c r="E137" s="46"/>
      <c r="F137" s="46"/>
      <c r="G137" s="46"/>
      <c r="H137" s="10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>
      <c r="A138" s="46"/>
      <c r="B138" s="40" t="s">
        <v>188</v>
      </c>
      <c r="C138" s="200">
        <v>65.78947368421052</v>
      </c>
      <c r="D138" s="10"/>
      <c r="E138" s="46"/>
      <c r="F138" s="46"/>
      <c r="G138" s="46"/>
      <c r="H138" s="10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</row>
    <row r="139">
      <c r="A139" s="46"/>
      <c r="B139" s="40" t="s">
        <v>189</v>
      </c>
      <c r="C139" s="200">
        <v>15.789473684210526</v>
      </c>
      <c r="D139" s="10"/>
      <c r="E139" s="46"/>
      <c r="F139" s="46"/>
      <c r="G139" s="46"/>
      <c r="H139" s="10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>
      <c r="A140" s="46"/>
      <c r="B140" s="40" t="s">
        <v>190</v>
      </c>
      <c r="C140" s="200">
        <v>17.105263157894736</v>
      </c>
      <c r="D140" s="10"/>
      <c r="E140" s="46"/>
      <c r="F140" s="46"/>
      <c r="G140" s="46"/>
      <c r="H140" s="10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</row>
    <row r="141">
      <c r="A141" s="46"/>
      <c r="B141" s="40" t="s">
        <v>191</v>
      </c>
      <c r="C141" s="200">
        <v>16.666666666666668</v>
      </c>
      <c r="D141" s="10"/>
      <c r="E141" s="46"/>
      <c r="F141" s="46"/>
      <c r="G141" s="46"/>
      <c r="H141" s="10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>
      <c r="A142" s="46"/>
      <c r="B142" s="40" t="s">
        <v>192</v>
      </c>
      <c r="C142" s="200">
        <v>15.350877192982457</v>
      </c>
      <c r="D142" s="10"/>
      <c r="E142" s="46"/>
      <c r="F142" s="46"/>
      <c r="G142" s="46"/>
      <c r="H142" s="10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</row>
    <row r="143">
      <c r="A143" s="46"/>
      <c r="B143" s="40" t="s">
        <v>193</v>
      </c>
      <c r="C143" s="200">
        <v>18.42105263157895</v>
      </c>
      <c r="D143" s="10"/>
      <c r="E143" s="46"/>
      <c r="F143" s="46"/>
      <c r="G143" s="46"/>
      <c r="H143" s="10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>
      <c r="A144" s="46"/>
      <c r="B144" s="40" t="s">
        <v>194</v>
      </c>
      <c r="C144" s="200">
        <v>17.54385964912281</v>
      </c>
      <c r="D144" s="10"/>
      <c r="E144" s="46"/>
      <c r="F144" s="46"/>
      <c r="G144" s="46"/>
      <c r="H144" s="10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</row>
    <row r="145">
      <c r="A145" s="46"/>
      <c r="B145" s="40" t="s">
        <v>195</v>
      </c>
      <c r="C145" s="200">
        <v>17.54385964912281</v>
      </c>
      <c r="D145" s="10"/>
      <c r="E145" s="46"/>
      <c r="F145" s="46"/>
      <c r="G145" s="46"/>
      <c r="H145" s="10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>
      <c r="A146" s="46"/>
      <c r="B146" s="40" t="s">
        <v>196</v>
      </c>
      <c r="C146" s="200">
        <v>30.701754385964914</v>
      </c>
      <c r="D146" s="10"/>
      <c r="E146" s="46"/>
      <c r="F146" s="46"/>
      <c r="G146" s="46"/>
      <c r="H146" s="10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</row>
    <row r="147">
      <c r="A147" s="46"/>
      <c r="B147" s="40" t="s">
        <v>197</v>
      </c>
      <c r="C147" s="200">
        <v>18.42105263157895</v>
      </c>
      <c r="D147" s="10"/>
      <c r="E147" s="46"/>
      <c r="F147" s="46"/>
      <c r="G147" s="46"/>
      <c r="H147" s="10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>
      <c r="A148" s="46"/>
      <c r="B148" s="40" t="s">
        <v>198</v>
      </c>
      <c r="C148" s="200">
        <v>26.31578947368421</v>
      </c>
      <c r="D148" s="10"/>
      <c r="E148" s="46"/>
      <c r="F148" s="46"/>
      <c r="G148" s="46"/>
      <c r="H148" s="10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</row>
    <row r="149">
      <c r="A149" s="46"/>
      <c r="B149" s="40" t="s">
        <v>199</v>
      </c>
      <c r="C149" s="200">
        <v>19.736842105263158</v>
      </c>
      <c r="D149" s="10"/>
      <c r="E149" s="46"/>
      <c r="F149" s="46"/>
      <c r="G149" s="46"/>
      <c r="H149" s="10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>
      <c r="A150" s="46"/>
      <c r="B150" s="40" t="s">
        <v>200</v>
      </c>
      <c r="C150" s="200">
        <v>17.54385964912281</v>
      </c>
      <c r="D150" s="10"/>
      <c r="E150" s="46"/>
      <c r="F150" s="46"/>
      <c r="G150" s="46"/>
      <c r="H150" s="10"/>
      <c r="I150" s="46"/>
      <c r="J150" s="46"/>
      <c r="K150" s="46"/>
      <c r="L150" s="46"/>
      <c r="M150" s="200"/>
      <c r="N150" s="46"/>
      <c r="O150" s="46"/>
      <c r="P150" s="46"/>
      <c r="Q150" s="46"/>
      <c r="R150" s="46"/>
      <c r="S150" s="46"/>
      <c r="T150" s="46"/>
      <c r="U150" s="46"/>
      <c r="V150" s="46"/>
      <c r="W150" s="46"/>
    </row>
    <row r="151">
      <c r="A151" s="46"/>
      <c r="B151" s="37" t="s">
        <v>201</v>
      </c>
      <c r="C151" s="200">
        <v>26.31578947368421</v>
      </c>
      <c r="D151" s="10"/>
      <c r="E151" s="46"/>
      <c r="F151" s="46"/>
      <c r="G151" s="46"/>
      <c r="H151" s="10"/>
      <c r="I151" s="46"/>
      <c r="J151" s="46"/>
      <c r="K151" s="46"/>
      <c r="L151" s="46"/>
      <c r="M151" s="200"/>
      <c r="N151" s="46"/>
      <c r="O151" s="46"/>
      <c r="P151" s="46"/>
      <c r="Q151" s="46"/>
      <c r="R151" s="46"/>
      <c r="S151" s="46"/>
      <c r="T151" s="46"/>
      <c r="U151" s="46"/>
      <c r="V151" s="46"/>
      <c r="W151" s="46"/>
    </row>
    <row r="152">
      <c r="A152" s="46"/>
      <c r="B152" s="40" t="s">
        <v>202</v>
      </c>
      <c r="C152" s="200">
        <v>26.31578947368421</v>
      </c>
      <c r="D152" s="10"/>
      <c r="E152" s="46"/>
      <c r="F152" s="46"/>
      <c r="G152" s="46"/>
      <c r="H152" s="10"/>
      <c r="I152" s="46"/>
      <c r="J152" s="46"/>
      <c r="K152" s="46"/>
      <c r="L152" s="46"/>
      <c r="M152" s="220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>
      <c r="A153" s="46"/>
      <c r="B153" s="37" t="s">
        <v>204</v>
      </c>
      <c r="C153" s="200">
        <v>47.36842105263158</v>
      </c>
      <c r="D153" s="10"/>
      <c r="E153" s="46"/>
      <c r="F153" s="46"/>
      <c r="G153" s="46"/>
      <c r="H153" s="10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</row>
    <row r="154">
      <c r="A154" s="46"/>
      <c r="B154" s="204" t="s">
        <v>183</v>
      </c>
      <c r="C154" s="212"/>
      <c r="D154" s="10"/>
      <c r="E154" s="46"/>
      <c r="F154" s="46"/>
      <c r="G154" s="46"/>
      <c r="H154" s="10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>
      <c r="A155" s="46"/>
      <c r="B155" s="205" t="s">
        <v>207</v>
      </c>
      <c r="C155" s="200">
        <v>120.30075187969925</v>
      </c>
      <c r="D155" s="10"/>
      <c r="E155" s="46"/>
      <c r="F155" s="46"/>
      <c r="G155" s="46"/>
      <c r="H155" s="10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</row>
    <row r="156">
      <c r="A156" s="46"/>
      <c r="B156" s="205" t="s">
        <v>82</v>
      </c>
      <c r="C156" s="200">
        <v>97.74436090225565</v>
      </c>
      <c r="D156" s="10"/>
      <c r="E156" s="46"/>
      <c r="F156" s="46"/>
      <c r="G156" s="46"/>
      <c r="H156" s="10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>
      <c r="A157" s="46"/>
      <c r="B157" s="205" t="s">
        <v>62</v>
      </c>
      <c r="C157" s="200">
        <v>102.3391812865497</v>
      </c>
      <c r="D157" s="10"/>
      <c r="E157" s="46"/>
      <c r="F157" s="46"/>
      <c r="G157" s="46"/>
      <c r="H157" s="10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</row>
    <row r="158">
      <c r="A158" s="46"/>
      <c r="B158" s="206" t="s">
        <v>63</v>
      </c>
      <c r="C158" s="200">
        <v>124.06015037593987</v>
      </c>
      <c r="D158" s="10"/>
      <c r="E158" s="46"/>
      <c r="F158" s="46"/>
      <c r="G158" s="46"/>
      <c r="H158" s="10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>
      <c r="A159" s="46"/>
      <c r="B159" s="205" t="s">
        <v>210</v>
      </c>
      <c r="C159" s="221">
        <v>0.0</v>
      </c>
      <c r="D159" s="10"/>
      <c r="E159" s="46"/>
      <c r="F159" s="46"/>
      <c r="G159" s="46"/>
      <c r="H159" s="10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</row>
    <row r="160">
      <c r="A160" s="46"/>
      <c r="B160" s="214" t="s">
        <v>211</v>
      </c>
      <c r="C160" s="215"/>
      <c r="D160" s="10"/>
      <c r="E160" s="46"/>
      <c r="F160" s="46"/>
      <c r="G160" s="46"/>
      <c r="H160" s="10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>
      <c r="A161" s="46"/>
      <c r="B161" s="216" t="s">
        <v>212</v>
      </c>
      <c r="C161" s="200">
        <v>77.56232686980609</v>
      </c>
      <c r="D161" s="10"/>
      <c r="E161" s="46"/>
      <c r="F161" s="46"/>
      <c r="G161" s="46"/>
      <c r="H161" s="10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</row>
    <row r="162">
      <c r="A162" s="46"/>
      <c r="B162" s="216" t="s">
        <v>214</v>
      </c>
      <c r="C162" s="200">
        <v>77.56232686980609</v>
      </c>
      <c r="D162" s="10"/>
      <c r="E162" s="46"/>
      <c r="F162" s="46"/>
      <c r="G162" s="46"/>
      <c r="H162" s="10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>
      <c r="A163" s="46"/>
      <c r="B163" s="216" t="s">
        <v>216</v>
      </c>
      <c r="C163" s="200">
        <v>77.56232686980609</v>
      </c>
      <c r="D163" s="10"/>
      <c r="E163" s="46"/>
      <c r="F163" s="46"/>
      <c r="G163" s="46"/>
      <c r="H163" s="10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</row>
    <row r="164">
      <c r="A164" s="46"/>
      <c r="B164" s="216" t="s">
        <v>217</v>
      </c>
      <c r="C164" s="200">
        <v>83.10249307479225</v>
      </c>
      <c r="D164" s="10"/>
      <c r="E164" s="46"/>
      <c r="F164" s="46"/>
      <c r="G164" s="46"/>
      <c r="H164" s="10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>
      <c r="A165" s="46"/>
      <c r="B165" s="216" t="s">
        <v>218</v>
      </c>
      <c r="C165" s="222">
        <v>0.0</v>
      </c>
      <c r="D165" s="10"/>
      <c r="E165" s="46"/>
      <c r="F165" s="46"/>
      <c r="G165" s="46"/>
      <c r="H165" s="10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</row>
    <row r="166">
      <c r="A166" s="46"/>
      <c r="B166" s="217" t="s">
        <v>219</v>
      </c>
      <c r="C166" s="200">
        <v>12.465373961218837</v>
      </c>
      <c r="D166" s="10"/>
      <c r="E166" s="46"/>
      <c r="F166" s="46"/>
      <c r="G166" s="46"/>
      <c r="H166" s="10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>
      <c r="A167" s="46"/>
      <c r="B167" s="217" t="s">
        <v>220</v>
      </c>
      <c r="C167" s="200">
        <v>43.62880886426593</v>
      </c>
      <c r="D167" s="10"/>
      <c r="E167" s="46"/>
      <c r="F167" s="46"/>
      <c r="G167" s="46"/>
      <c r="H167" s="10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</row>
    <row r="168">
      <c r="A168" s="46"/>
      <c r="B168" s="217" t="s">
        <v>221</v>
      </c>
      <c r="C168" s="200">
        <v>24.930747922437675</v>
      </c>
      <c r="D168" s="10"/>
      <c r="E168" s="46"/>
      <c r="F168" s="46"/>
      <c r="G168" s="46"/>
      <c r="H168" s="10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>
      <c r="A169" s="46"/>
      <c r="B169" s="217" t="s">
        <v>222</v>
      </c>
      <c r="C169" s="200">
        <v>104.70914127423823</v>
      </c>
      <c r="D169" s="10"/>
      <c r="E169" s="46"/>
      <c r="F169" s="46"/>
      <c r="G169" s="46"/>
      <c r="H169" s="10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</row>
    <row r="170">
      <c r="A170" s="46"/>
      <c r="B170" s="218" t="s">
        <v>234</v>
      </c>
      <c r="C170" s="200">
        <v>7.495972073039742</v>
      </c>
      <c r="D170" s="10"/>
      <c r="E170" s="46"/>
      <c r="F170" s="46"/>
      <c r="G170" s="46"/>
      <c r="H170" s="10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>
      <c r="A171" s="46"/>
      <c r="B171" s="218" t="s">
        <v>235</v>
      </c>
      <c r="C171" s="200">
        <v>1.5789473684210527</v>
      </c>
      <c r="D171" s="10"/>
      <c r="E171" s="46"/>
      <c r="F171" s="46"/>
      <c r="G171" s="46"/>
      <c r="H171" s="10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</row>
    <row r="172">
      <c r="A172" s="46"/>
      <c r="B172" s="219" t="s">
        <v>236</v>
      </c>
      <c r="C172" s="220">
        <v>1866.1694100539569</v>
      </c>
      <c r="D172" s="10"/>
      <c r="E172" s="46"/>
      <c r="F172" s="46"/>
      <c r="G172" s="46"/>
      <c r="H172" s="10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>
      <c r="A173" s="46"/>
      <c r="B173" s="46"/>
      <c r="C173" s="10"/>
      <c r="D173" s="10"/>
      <c r="E173" s="46"/>
      <c r="F173" s="46"/>
      <c r="G173" s="46"/>
      <c r="H173" s="10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</row>
    <row r="174">
      <c r="A174" s="46"/>
      <c r="B174" s="46"/>
      <c r="C174" s="10"/>
      <c r="D174" s="198"/>
      <c r="E174" s="46"/>
      <c r="F174" s="46"/>
      <c r="G174" s="46"/>
      <c r="H174" s="10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>
      <c r="A175" s="46"/>
      <c r="B175" s="196" t="s">
        <v>230</v>
      </c>
      <c r="C175" s="197" t="s">
        <v>1</v>
      </c>
      <c r="D175" s="198"/>
      <c r="E175" s="46"/>
      <c r="F175" s="46"/>
      <c r="G175" s="46"/>
      <c r="H175" s="10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</row>
    <row r="176">
      <c r="A176" s="46"/>
      <c r="B176" s="199" t="s">
        <v>145</v>
      </c>
      <c r="C176" s="200">
        <v>14.473684210526315</v>
      </c>
      <c r="D176" s="198"/>
      <c r="E176" s="46"/>
      <c r="F176" s="46"/>
      <c r="G176" s="46"/>
      <c r="H176" s="10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>
      <c r="A177" s="46"/>
      <c r="B177" s="201" t="s">
        <v>146</v>
      </c>
      <c r="C177" s="200">
        <v>2.6315789473684212</v>
      </c>
      <c r="D177" s="198"/>
      <c r="E177" s="46"/>
      <c r="F177" s="46"/>
      <c r="G177" s="46"/>
      <c r="H177" s="10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</row>
    <row r="178">
      <c r="A178" s="46"/>
      <c r="B178" s="201" t="s">
        <v>147</v>
      </c>
      <c r="C178" s="200">
        <v>5.2631578947368425</v>
      </c>
      <c r="D178" s="198"/>
      <c r="E178" s="46"/>
      <c r="F178" s="46"/>
      <c r="G178" s="46"/>
      <c r="H178" s="10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>
      <c r="A179" s="46"/>
      <c r="B179" s="201" t="s">
        <v>148</v>
      </c>
      <c r="C179" s="200">
        <v>41.82825484764543</v>
      </c>
      <c r="D179" s="198"/>
      <c r="E179" s="46"/>
      <c r="F179" s="46"/>
      <c r="G179" s="46"/>
      <c r="H179" s="10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</row>
    <row r="180">
      <c r="A180" s="46"/>
      <c r="B180" s="156" t="s">
        <v>149</v>
      </c>
      <c r="C180" s="200">
        <v>450.0</v>
      </c>
      <c r="D180" s="198"/>
      <c r="E180" s="46"/>
      <c r="F180" s="46"/>
      <c r="G180" s="46"/>
      <c r="H180" s="10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>
      <c r="A181" s="46"/>
      <c r="B181" s="202" t="s">
        <v>150</v>
      </c>
      <c r="C181" s="200"/>
      <c r="D181" s="198"/>
      <c r="E181" s="46"/>
      <c r="F181" s="46"/>
      <c r="G181" s="46"/>
      <c r="H181" s="10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</row>
    <row r="182">
      <c r="A182" s="46"/>
      <c r="B182" s="40" t="s">
        <v>152</v>
      </c>
      <c r="C182" s="200"/>
      <c r="D182" s="198"/>
      <c r="E182" s="46"/>
      <c r="F182" s="46"/>
      <c r="G182" s="46"/>
      <c r="H182" s="10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>
      <c r="A183" s="46"/>
      <c r="B183" s="40" t="s">
        <v>154</v>
      </c>
      <c r="C183" s="200"/>
      <c r="D183" s="198"/>
      <c r="E183" s="46"/>
      <c r="F183" s="46"/>
      <c r="G183" s="46"/>
      <c r="H183" s="10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</row>
    <row r="184">
      <c r="A184" s="46"/>
      <c r="B184" s="40" t="s">
        <v>157</v>
      </c>
      <c r="C184" s="200"/>
      <c r="D184" s="198"/>
      <c r="E184" s="46"/>
      <c r="F184" s="46"/>
      <c r="G184" s="46"/>
      <c r="H184" s="10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>
      <c r="A185" s="46"/>
      <c r="B185" s="203" t="s">
        <v>158</v>
      </c>
      <c r="C185" s="200"/>
      <c r="D185" s="198"/>
      <c r="E185" s="46"/>
      <c r="F185" s="46"/>
      <c r="G185" s="46"/>
      <c r="H185" s="10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</row>
    <row r="186">
      <c r="A186" s="46"/>
      <c r="B186" s="40" t="s">
        <v>159</v>
      </c>
      <c r="C186" s="200"/>
      <c r="D186" s="198"/>
      <c r="E186" s="46"/>
      <c r="F186" s="46"/>
      <c r="G186" s="46"/>
      <c r="H186" s="10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>
      <c r="A187" s="46"/>
      <c r="B187" s="40" t="s">
        <v>160</v>
      </c>
      <c r="C187" s="200"/>
      <c r="D187" s="198"/>
      <c r="E187" s="46"/>
      <c r="F187" s="46"/>
      <c r="G187" s="46"/>
      <c r="H187" s="10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</row>
    <row r="188">
      <c r="A188" s="46"/>
      <c r="B188" s="40" t="s">
        <v>161</v>
      </c>
      <c r="C188" s="200"/>
      <c r="D188" s="198"/>
      <c r="E188" s="46"/>
      <c r="F188" s="46"/>
      <c r="G188" s="46"/>
      <c r="H188" s="10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>
      <c r="A189" s="46"/>
      <c r="B189" s="40" t="s">
        <v>162</v>
      </c>
      <c r="C189" s="200"/>
      <c r="D189" s="198"/>
      <c r="E189" s="46"/>
      <c r="F189" s="46"/>
      <c r="G189" s="46"/>
      <c r="H189" s="10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</row>
    <row r="190">
      <c r="A190" s="46"/>
      <c r="B190" s="203" t="s">
        <v>163</v>
      </c>
      <c r="C190" s="200"/>
      <c r="D190" s="198"/>
      <c r="E190" s="46"/>
      <c r="F190" s="46"/>
      <c r="G190" s="46"/>
      <c r="H190" s="10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>
      <c r="A191" s="46"/>
      <c r="B191" s="40" t="s">
        <v>164</v>
      </c>
      <c r="C191" s="200"/>
      <c r="D191" s="198"/>
      <c r="E191" s="46"/>
      <c r="F191" s="46"/>
      <c r="G191" s="46"/>
      <c r="H191" s="10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</row>
    <row r="192">
      <c r="A192" s="46"/>
      <c r="B192" s="40" t="s">
        <v>165</v>
      </c>
      <c r="C192" s="200"/>
      <c r="D192" s="198"/>
      <c r="E192" s="46"/>
      <c r="F192" s="46"/>
      <c r="G192" s="46"/>
      <c r="H192" s="10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>
      <c r="A193" s="46"/>
      <c r="B193" s="40" t="s">
        <v>166</v>
      </c>
      <c r="C193" s="200"/>
      <c r="D193" s="198"/>
      <c r="E193" s="46"/>
      <c r="F193" s="46"/>
      <c r="G193" s="46"/>
      <c r="H193" s="10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</row>
    <row r="194">
      <c r="A194" s="46"/>
      <c r="B194" s="40" t="s">
        <v>167</v>
      </c>
      <c r="C194" s="200"/>
      <c r="D194" s="198"/>
      <c r="E194" s="46"/>
      <c r="F194" s="46"/>
      <c r="G194" s="46"/>
      <c r="H194" s="10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>
      <c r="A195" s="46"/>
      <c r="B195" s="203" t="s">
        <v>168</v>
      </c>
      <c r="C195" s="200"/>
      <c r="D195" s="198"/>
      <c r="E195" s="46"/>
      <c r="F195" s="46"/>
      <c r="G195" s="46"/>
      <c r="H195" s="10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</row>
    <row r="196">
      <c r="A196" s="46"/>
      <c r="B196" s="40" t="s">
        <v>169</v>
      </c>
      <c r="C196" s="200"/>
      <c r="D196" s="198"/>
      <c r="E196" s="46"/>
      <c r="F196" s="46"/>
      <c r="G196" s="46"/>
      <c r="H196" s="10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>
      <c r="A197" s="46"/>
      <c r="B197" s="40" t="s">
        <v>170</v>
      </c>
      <c r="C197" s="200"/>
      <c r="D197" s="198"/>
      <c r="E197" s="46"/>
      <c r="F197" s="46"/>
      <c r="G197" s="46"/>
      <c r="H197" s="10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</row>
    <row r="198">
      <c r="A198" s="46"/>
      <c r="B198" s="40" t="s">
        <v>171</v>
      </c>
      <c r="C198" s="200"/>
      <c r="D198" s="198"/>
      <c r="E198" s="46"/>
      <c r="F198" s="46"/>
      <c r="G198" s="46"/>
      <c r="H198" s="10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>
      <c r="A199" s="46"/>
      <c r="B199" s="203" t="s">
        <v>172</v>
      </c>
      <c r="C199" s="200"/>
      <c r="D199" s="198"/>
      <c r="E199" s="46"/>
      <c r="F199" s="46"/>
      <c r="G199" s="46"/>
      <c r="H199" s="10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</row>
    <row r="200">
      <c r="A200" s="46"/>
      <c r="B200" s="40" t="s">
        <v>173</v>
      </c>
      <c r="C200" s="200"/>
      <c r="D200" s="198"/>
      <c r="E200" s="46"/>
      <c r="F200" s="46"/>
      <c r="G200" s="46"/>
      <c r="H200" s="10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>
      <c r="A201" s="46"/>
      <c r="B201" s="40" t="s">
        <v>174</v>
      </c>
      <c r="C201" s="200"/>
      <c r="D201" s="198"/>
      <c r="E201" s="46"/>
      <c r="F201" s="46"/>
      <c r="G201" s="46"/>
      <c r="H201" s="10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</row>
    <row r="202">
      <c r="A202" s="46"/>
      <c r="B202" s="40" t="s">
        <v>175</v>
      </c>
      <c r="C202" s="200"/>
      <c r="D202" s="198"/>
      <c r="E202" s="46"/>
      <c r="F202" s="46"/>
      <c r="G202" s="46"/>
      <c r="H202" s="10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>
      <c r="A203" s="46"/>
      <c r="B203" s="40" t="s">
        <v>176</v>
      </c>
      <c r="C203" s="200"/>
      <c r="D203" s="198"/>
      <c r="E203" s="46"/>
      <c r="F203" s="46"/>
      <c r="G203" s="46"/>
      <c r="H203" s="10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</row>
    <row r="204">
      <c r="A204" s="46"/>
      <c r="B204" s="203" t="s">
        <v>177</v>
      </c>
      <c r="C204" s="200"/>
      <c r="D204" s="198"/>
      <c r="E204" s="46"/>
      <c r="F204" s="46"/>
      <c r="G204" s="46"/>
      <c r="H204" s="10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>
      <c r="A205" s="46"/>
      <c r="B205" s="40" t="s">
        <v>178</v>
      </c>
      <c r="C205" s="200"/>
      <c r="D205" s="198"/>
      <c r="E205" s="46"/>
      <c r="F205" s="46"/>
      <c r="G205" s="46"/>
      <c r="H205" s="10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</row>
    <row r="206">
      <c r="A206" s="46"/>
      <c r="B206" s="40" t="s">
        <v>179</v>
      </c>
      <c r="C206" s="200"/>
      <c r="D206" s="198"/>
      <c r="E206" s="46"/>
      <c r="F206" s="46"/>
      <c r="G206" s="46"/>
      <c r="H206" s="10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>
      <c r="A207" s="46"/>
      <c r="B207" s="203" t="s">
        <v>180</v>
      </c>
      <c r="C207" s="200"/>
      <c r="D207" s="198"/>
      <c r="E207" s="46"/>
      <c r="F207" s="46"/>
      <c r="G207" s="46"/>
      <c r="H207" s="10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</row>
    <row r="208">
      <c r="A208" s="46"/>
      <c r="B208" s="40" t="s">
        <v>181</v>
      </c>
      <c r="C208" s="200"/>
      <c r="D208" s="198"/>
      <c r="E208" s="46"/>
      <c r="F208" s="46"/>
      <c r="G208" s="46"/>
      <c r="H208" s="10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>
      <c r="A209" s="46"/>
      <c r="B209" s="40" t="s">
        <v>182</v>
      </c>
      <c r="C209" s="200"/>
      <c r="D209" s="198"/>
      <c r="E209" s="46"/>
      <c r="F209" s="46"/>
      <c r="G209" s="46"/>
      <c r="H209" s="10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</row>
    <row r="210">
      <c r="A210" s="46"/>
      <c r="B210" s="204" t="s">
        <v>183</v>
      </c>
      <c r="C210" s="200"/>
      <c r="D210" s="198"/>
      <c r="E210" s="46"/>
      <c r="F210" s="46"/>
      <c r="G210" s="46"/>
      <c r="H210" s="10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>
      <c r="A211" s="46"/>
      <c r="B211" s="205" t="s">
        <v>64</v>
      </c>
      <c r="C211" s="200"/>
      <c r="D211" s="198"/>
      <c r="E211" s="46"/>
      <c r="F211" s="46"/>
      <c r="G211" s="46"/>
      <c r="H211" s="10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</row>
    <row r="212">
      <c r="A212" s="46"/>
      <c r="B212" s="205" t="s">
        <v>185</v>
      </c>
      <c r="C212" s="200" t="s">
        <v>153</v>
      </c>
      <c r="D212" s="198"/>
      <c r="E212" s="46"/>
      <c r="F212" s="46"/>
      <c r="G212" s="46"/>
      <c r="H212" s="10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>
      <c r="A213" s="46"/>
      <c r="B213" s="205" t="s">
        <v>80</v>
      </c>
      <c r="C213" s="200"/>
      <c r="D213" s="198"/>
      <c r="E213" s="46"/>
      <c r="F213" s="46"/>
      <c r="G213" s="46"/>
      <c r="H213" s="10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</row>
    <row r="214">
      <c r="A214" s="46"/>
      <c r="B214" s="205" t="s">
        <v>186</v>
      </c>
      <c r="C214" s="200" t="s">
        <v>153</v>
      </c>
      <c r="D214" s="198"/>
      <c r="E214" s="46"/>
      <c r="F214" s="46"/>
      <c r="G214" s="46"/>
      <c r="H214" s="10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>
      <c r="A215" s="46"/>
      <c r="B215" s="156" t="s">
        <v>187</v>
      </c>
      <c r="C215" s="156"/>
      <c r="D215" s="198"/>
      <c r="E215" s="46"/>
      <c r="F215" s="46"/>
      <c r="G215" s="46"/>
      <c r="H215" s="10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</row>
    <row r="216">
      <c r="A216" s="46"/>
      <c r="B216" s="202" t="s">
        <v>150</v>
      </c>
      <c r="C216" s="207"/>
      <c r="D216" s="198"/>
      <c r="E216" s="46"/>
      <c r="F216" s="46"/>
      <c r="G216" s="46"/>
      <c r="H216" s="10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>
      <c r="A217" s="46"/>
      <c r="B217" s="40" t="s">
        <v>197</v>
      </c>
      <c r="C217" s="200">
        <v>18.42105263157895</v>
      </c>
      <c r="D217" s="198"/>
      <c r="E217" s="46"/>
      <c r="F217" s="46"/>
      <c r="G217" s="46"/>
      <c r="H217" s="10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</row>
    <row r="218">
      <c r="A218" s="46"/>
      <c r="B218" s="40" t="s">
        <v>198</v>
      </c>
      <c r="C218" s="200">
        <v>26.31578947368421</v>
      </c>
      <c r="D218" s="198"/>
      <c r="E218" s="46"/>
      <c r="F218" s="46"/>
      <c r="G218" s="46"/>
      <c r="H218" s="10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>
      <c r="A219" s="46"/>
      <c r="B219" s="40" t="s">
        <v>203</v>
      </c>
      <c r="C219" s="200">
        <v>50.877192982456144</v>
      </c>
      <c r="D219" s="198"/>
      <c r="E219" s="46"/>
      <c r="F219" s="46"/>
      <c r="G219" s="46"/>
      <c r="H219" s="10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</row>
    <row r="220">
      <c r="A220" s="46"/>
      <c r="B220" s="40" t="s">
        <v>204</v>
      </c>
      <c r="C220" s="200">
        <v>47.36842105263158</v>
      </c>
      <c r="D220" s="198"/>
      <c r="E220" s="46"/>
      <c r="F220" s="46"/>
      <c r="G220" s="46"/>
      <c r="H220" s="10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>
      <c r="A221" s="46"/>
      <c r="B221" s="204" t="s">
        <v>183</v>
      </c>
      <c r="C221" s="213"/>
      <c r="D221" s="198"/>
      <c r="E221" s="46"/>
      <c r="F221" s="46"/>
      <c r="G221" s="46"/>
      <c r="H221" s="10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</row>
    <row r="222">
      <c r="A222" s="46"/>
      <c r="B222" s="205" t="s">
        <v>205</v>
      </c>
      <c r="C222" s="200">
        <v>131.57894736842107</v>
      </c>
      <c r="D222" s="198"/>
      <c r="E222" s="46"/>
      <c r="F222" s="46"/>
      <c r="G222" s="46"/>
      <c r="H222" s="10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>
      <c r="A223" s="46"/>
      <c r="B223" s="206" t="s">
        <v>206</v>
      </c>
      <c r="C223" s="200">
        <v>38.30409356725146</v>
      </c>
      <c r="D223" s="198"/>
      <c r="E223" s="46"/>
      <c r="F223" s="46"/>
      <c r="G223" s="46"/>
      <c r="H223" s="10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</row>
    <row r="224">
      <c r="A224" s="46"/>
      <c r="B224" s="205" t="s">
        <v>207</v>
      </c>
      <c r="C224" s="200">
        <v>120.30075187969925</v>
      </c>
      <c r="D224" s="198"/>
      <c r="E224" s="46"/>
      <c r="F224" s="46"/>
      <c r="G224" s="46"/>
      <c r="H224" s="10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>
      <c r="A225" s="46"/>
      <c r="B225" s="205" t="s">
        <v>82</v>
      </c>
      <c r="C225" s="200">
        <v>97.74436090225565</v>
      </c>
      <c r="D225" s="198"/>
      <c r="E225" s="46"/>
      <c r="F225" s="46"/>
      <c r="G225" s="46"/>
      <c r="H225" s="10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</row>
    <row r="226">
      <c r="A226" s="46"/>
      <c r="B226" s="205" t="s">
        <v>60</v>
      </c>
      <c r="C226" s="200">
        <v>98.24561403508771</v>
      </c>
      <c r="D226" s="198"/>
      <c r="E226" s="46"/>
      <c r="F226" s="46"/>
      <c r="G226" s="46"/>
      <c r="H226" s="10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>
      <c r="A227" s="46"/>
      <c r="B227" s="205" t="s">
        <v>238</v>
      </c>
      <c r="C227" s="200">
        <v>775.623268698061</v>
      </c>
      <c r="D227" s="198"/>
      <c r="E227" s="46"/>
      <c r="F227" s="46"/>
      <c r="G227" s="46"/>
      <c r="H227" s="10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</row>
    <row r="228">
      <c r="A228" s="46"/>
      <c r="B228" s="205" t="s">
        <v>209</v>
      </c>
      <c r="C228" s="221">
        <v>0.0</v>
      </c>
      <c r="D228" s="198"/>
      <c r="E228" s="46"/>
      <c r="F228" s="46"/>
      <c r="G228" s="46"/>
      <c r="H228" s="10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>
      <c r="A229" s="46"/>
      <c r="B229" s="214" t="s">
        <v>211</v>
      </c>
      <c r="C229" s="215"/>
      <c r="D229" s="198"/>
      <c r="E229" s="46"/>
      <c r="F229" s="46"/>
      <c r="G229" s="46"/>
      <c r="H229" s="10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</row>
    <row r="230">
      <c r="A230" s="46"/>
      <c r="B230" s="216" t="s">
        <v>212</v>
      </c>
      <c r="C230" s="200">
        <v>77.56232686980609</v>
      </c>
      <c r="D230" s="198"/>
      <c r="E230" s="46"/>
      <c r="F230" s="46"/>
      <c r="G230" s="46"/>
      <c r="H230" s="10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>
      <c r="A231" s="46"/>
      <c r="B231" s="216" t="s">
        <v>213</v>
      </c>
      <c r="C231" s="200">
        <v>83.10249307479225</v>
      </c>
      <c r="D231" s="198"/>
      <c r="E231" s="46"/>
      <c r="F231" s="46"/>
      <c r="G231" s="46"/>
      <c r="H231" s="10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</row>
    <row r="232">
      <c r="A232" s="46"/>
      <c r="B232" s="216" t="s">
        <v>214</v>
      </c>
      <c r="C232" s="200">
        <v>77.56232686980609</v>
      </c>
      <c r="D232" s="198"/>
      <c r="E232" s="46"/>
      <c r="F232" s="46"/>
      <c r="G232" s="46"/>
      <c r="H232" s="10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>
      <c r="A233" s="46"/>
      <c r="B233" s="216" t="s">
        <v>215</v>
      </c>
      <c r="C233" s="222">
        <v>0.0</v>
      </c>
      <c r="D233" s="198"/>
      <c r="E233" s="46"/>
      <c r="F233" s="46"/>
      <c r="G233" s="46"/>
      <c r="H233" s="10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</row>
    <row r="234">
      <c r="A234" s="46"/>
      <c r="B234" s="217" t="s">
        <v>219</v>
      </c>
      <c r="C234" s="200">
        <v>12.465373961218837</v>
      </c>
      <c r="D234" s="198"/>
      <c r="E234" s="46"/>
      <c r="F234" s="46"/>
      <c r="G234" s="46"/>
      <c r="H234" s="10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>
      <c r="A235" s="46"/>
      <c r="B235" s="217" t="s">
        <v>220</v>
      </c>
      <c r="C235" s="200">
        <v>43.62880886426593</v>
      </c>
      <c r="D235" s="198"/>
      <c r="E235" s="46"/>
      <c r="F235" s="46"/>
      <c r="G235" s="46"/>
      <c r="H235" s="10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</row>
    <row r="236">
      <c r="A236" s="46"/>
      <c r="B236" s="217" t="s">
        <v>221</v>
      </c>
      <c r="C236" s="200">
        <v>24.930747922437675</v>
      </c>
      <c r="D236" s="198"/>
      <c r="E236" s="46"/>
      <c r="F236" s="46"/>
      <c r="G236" s="46"/>
      <c r="H236" s="10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>
      <c r="A237" s="46"/>
      <c r="B237" s="217" t="s">
        <v>222</v>
      </c>
      <c r="C237" s="200">
        <v>104.70914127423823</v>
      </c>
      <c r="D237" s="198"/>
      <c r="E237" s="46"/>
      <c r="F237" s="46"/>
      <c r="G237" s="46"/>
      <c r="H237" s="10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</row>
    <row r="238">
      <c r="A238" s="46"/>
      <c r="B238" s="218" t="s">
        <v>234</v>
      </c>
      <c r="C238" s="223">
        <v>9.59</v>
      </c>
      <c r="D238" s="198"/>
      <c r="E238" s="46"/>
      <c r="F238" s="46"/>
      <c r="G238" s="46"/>
      <c r="H238" s="10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>
      <c r="A239" s="46"/>
      <c r="B239" s="218" t="s">
        <v>235</v>
      </c>
      <c r="C239" s="223">
        <v>1.58</v>
      </c>
      <c r="D239" s="198"/>
      <c r="E239" s="46"/>
      <c r="F239" s="46"/>
      <c r="G239" s="46"/>
      <c r="H239" s="10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</row>
    <row r="240">
      <c r="A240" s="46"/>
      <c r="B240" s="219" t="s">
        <v>236</v>
      </c>
      <c r="C240" s="224">
        <v>2354.11</v>
      </c>
      <c r="D240" s="198"/>
      <c r="E240" s="46"/>
      <c r="F240" s="46"/>
      <c r="G240" s="46"/>
      <c r="H240" s="10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>
      <c r="A241" s="46"/>
      <c r="B241" s="46"/>
      <c r="C241" s="10"/>
      <c r="D241" s="198"/>
      <c r="E241" s="46"/>
      <c r="F241" s="46"/>
      <c r="G241" s="46"/>
      <c r="H241" s="10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</row>
    <row r="242">
      <c r="A242" s="46"/>
      <c r="B242" s="46"/>
      <c r="C242" s="10"/>
      <c r="D242" s="198"/>
      <c r="E242" s="46"/>
      <c r="F242" s="46"/>
      <c r="G242" s="46"/>
      <c r="H242" s="10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>
      <c r="A243" s="46"/>
      <c r="B243" s="46"/>
      <c r="C243" s="10"/>
      <c r="D243" s="198"/>
      <c r="E243" s="46"/>
      <c r="F243" s="46"/>
      <c r="G243" s="46"/>
      <c r="H243" s="10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</row>
    <row r="244">
      <c r="A244" s="46"/>
      <c r="B244" s="46"/>
      <c r="C244" s="10"/>
      <c r="D244" s="198"/>
      <c r="E244" s="46"/>
      <c r="F244" s="46"/>
      <c r="G244" s="46"/>
      <c r="H244" s="10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>
      <c r="A245" s="46"/>
      <c r="B245" s="46"/>
      <c r="C245" s="10"/>
      <c r="D245" s="198"/>
      <c r="E245" s="46"/>
      <c r="F245" s="46"/>
      <c r="G245" s="46"/>
      <c r="H245" s="10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</row>
    <row r="246">
      <c r="A246" s="46"/>
      <c r="B246" s="46"/>
      <c r="C246" s="10"/>
      <c r="D246" s="198"/>
      <c r="E246" s="46"/>
      <c r="F246" s="46"/>
      <c r="G246" s="46"/>
      <c r="H246" s="10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>
      <c r="A247" s="46"/>
      <c r="B247" s="46"/>
      <c r="C247" s="10"/>
      <c r="D247" s="198"/>
      <c r="E247" s="46"/>
      <c r="F247" s="46"/>
      <c r="G247" s="46"/>
      <c r="H247" s="10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</row>
    <row r="248">
      <c r="A248" s="46"/>
      <c r="B248" s="46"/>
      <c r="C248" s="10"/>
      <c r="D248" s="198"/>
      <c r="E248" s="46"/>
      <c r="F248" s="46"/>
      <c r="G248" s="46"/>
      <c r="H248" s="10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>
      <c r="A249" s="46"/>
      <c r="B249" s="46"/>
      <c r="C249" s="10"/>
      <c r="D249" s="198"/>
      <c r="E249" s="46"/>
      <c r="F249" s="46"/>
      <c r="G249" s="46"/>
      <c r="H249" s="10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</row>
    <row r="250">
      <c r="A250" s="46"/>
      <c r="B250" s="46"/>
      <c r="C250" s="10"/>
      <c r="D250" s="198"/>
      <c r="E250" s="46"/>
      <c r="F250" s="46"/>
      <c r="G250" s="46"/>
      <c r="H250" s="10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>
      <c r="A251" s="46"/>
      <c r="B251" s="46"/>
      <c r="C251" s="10"/>
      <c r="D251" s="198"/>
      <c r="E251" s="46"/>
      <c r="F251" s="46"/>
      <c r="G251" s="46"/>
      <c r="H251" s="10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</row>
    <row r="252">
      <c r="A252" s="46"/>
      <c r="B252" s="46"/>
      <c r="C252" s="10"/>
      <c r="D252" s="198"/>
      <c r="E252" s="46"/>
      <c r="F252" s="46"/>
      <c r="G252" s="46"/>
      <c r="H252" s="10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>
      <c r="A253" s="46"/>
      <c r="B253" s="46"/>
      <c r="C253" s="10"/>
      <c r="D253" s="198"/>
      <c r="E253" s="46"/>
      <c r="F253" s="46"/>
      <c r="G253" s="46"/>
      <c r="H253" s="10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</row>
    <row r="254">
      <c r="A254" s="46"/>
      <c r="B254" s="46"/>
      <c r="C254" s="10"/>
      <c r="D254" s="10"/>
      <c r="E254" s="46"/>
      <c r="F254" s="46"/>
      <c r="G254" s="46"/>
      <c r="H254" s="10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>
      <c r="A255" s="46"/>
      <c r="B255" s="46"/>
      <c r="C255" s="10"/>
      <c r="D255" s="10"/>
      <c r="E255" s="46"/>
      <c r="F255" s="46"/>
      <c r="G255" s="46"/>
      <c r="H255" s="10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</row>
    <row r="256">
      <c r="A256" s="46"/>
      <c r="B256" s="46"/>
      <c r="C256" s="10"/>
      <c r="D256" s="10"/>
      <c r="E256" s="46"/>
      <c r="F256" s="46"/>
      <c r="G256" s="46"/>
      <c r="H256" s="10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>
      <c r="A257" s="46"/>
      <c r="B257" s="46"/>
      <c r="C257" s="10"/>
      <c r="D257" s="10"/>
      <c r="E257" s="46"/>
      <c r="F257" s="46"/>
      <c r="G257" s="46"/>
      <c r="H257" s="10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</row>
    <row r="258">
      <c r="A258" s="46"/>
      <c r="B258" s="46"/>
      <c r="C258" s="10"/>
      <c r="D258" s="10"/>
      <c r="E258" s="46"/>
      <c r="F258" s="46"/>
      <c r="G258" s="46"/>
      <c r="H258" s="10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>
      <c r="A259" s="46"/>
      <c r="B259" s="46"/>
      <c r="C259" s="10"/>
      <c r="D259" s="10"/>
      <c r="E259" s="46"/>
      <c r="F259" s="46"/>
      <c r="G259" s="46"/>
      <c r="H259" s="10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</row>
    <row r="260">
      <c r="A260" s="46"/>
      <c r="B260" s="46"/>
      <c r="C260" s="10"/>
      <c r="D260" s="10"/>
      <c r="E260" s="46"/>
      <c r="F260" s="46"/>
      <c r="G260" s="46"/>
      <c r="H260" s="10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>
      <c r="A261" s="46"/>
      <c r="B261" s="46"/>
      <c r="C261" s="10"/>
      <c r="D261" s="10"/>
      <c r="E261" s="46"/>
      <c r="F261" s="46"/>
      <c r="G261" s="46"/>
      <c r="H261" s="10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</row>
    <row r="262">
      <c r="A262" s="46"/>
      <c r="B262" s="46"/>
      <c r="C262" s="10"/>
      <c r="D262" s="10"/>
      <c r="E262" s="46"/>
      <c r="F262" s="46"/>
      <c r="G262" s="46"/>
      <c r="H262" s="10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>
      <c r="A263" s="46"/>
      <c r="B263" s="46"/>
      <c r="C263" s="10"/>
      <c r="D263" s="10"/>
      <c r="E263" s="46"/>
      <c r="F263" s="46"/>
      <c r="G263" s="46"/>
      <c r="H263" s="10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</row>
    <row r="264">
      <c r="A264" s="46"/>
      <c r="B264" s="46"/>
      <c r="C264" s="10"/>
      <c r="D264" s="10"/>
      <c r="E264" s="46"/>
      <c r="F264" s="46"/>
      <c r="G264" s="46"/>
      <c r="H264" s="10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>
      <c r="A265" s="46"/>
      <c r="B265" s="46"/>
      <c r="C265" s="10"/>
      <c r="D265" s="10"/>
      <c r="E265" s="46"/>
      <c r="F265" s="46"/>
      <c r="G265" s="46"/>
      <c r="H265" s="10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</row>
    <row r="266">
      <c r="A266" s="46"/>
      <c r="B266" s="46"/>
      <c r="C266" s="10"/>
      <c r="D266" s="10"/>
      <c r="E266" s="46"/>
      <c r="F266" s="46"/>
      <c r="G266" s="46"/>
      <c r="H266" s="10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>
      <c r="A267" s="46"/>
      <c r="B267" s="46"/>
      <c r="C267" s="10"/>
      <c r="D267" s="10"/>
      <c r="E267" s="46"/>
      <c r="F267" s="46"/>
      <c r="G267" s="46"/>
      <c r="H267" s="10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</row>
    <row r="268">
      <c r="A268" s="46"/>
      <c r="B268" s="46"/>
      <c r="C268" s="10"/>
      <c r="D268" s="10"/>
      <c r="E268" s="46"/>
      <c r="F268" s="46"/>
      <c r="G268" s="46"/>
      <c r="H268" s="10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>
      <c r="A269" s="46"/>
      <c r="B269" s="46"/>
      <c r="C269" s="10"/>
      <c r="D269" s="10"/>
      <c r="E269" s="46"/>
      <c r="F269" s="46"/>
      <c r="G269" s="46"/>
      <c r="H269" s="10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</row>
    <row r="270">
      <c r="A270" s="46"/>
      <c r="B270" s="46"/>
      <c r="C270" s="10"/>
      <c r="D270" s="10"/>
      <c r="E270" s="46"/>
      <c r="F270" s="46"/>
      <c r="G270" s="46"/>
      <c r="H270" s="10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</row>
    <row r="271">
      <c r="A271" s="46"/>
      <c r="B271" s="46"/>
      <c r="C271" s="10"/>
      <c r="D271" s="10"/>
      <c r="E271" s="46"/>
      <c r="F271" s="46"/>
      <c r="G271" s="46"/>
      <c r="H271" s="10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</row>
    <row r="272">
      <c r="A272" s="46"/>
      <c r="B272" s="46"/>
      <c r="C272" s="10"/>
      <c r="D272" s="10"/>
      <c r="E272" s="46"/>
      <c r="F272" s="46"/>
      <c r="G272" s="46"/>
      <c r="H272" s="10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>
      <c r="A273" s="46"/>
      <c r="B273" s="46"/>
      <c r="C273" s="10"/>
      <c r="D273" s="10"/>
      <c r="E273" s="46"/>
      <c r="F273" s="46"/>
      <c r="G273" s="46"/>
      <c r="H273" s="10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</row>
    <row r="274">
      <c r="A274" s="46"/>
      <c r="B274" s="46"/>
      <c r="C274" s="10"/>
      <c r="D274" s="10"/>
      <c r="E274" s="46"/>
      <c r="F274" s="46"/>
      <c r="G274" s="46"/>
      <c r="H274" s="10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>
      <c r="A275" s="46"/>
      <c r="B275" s="46"/>
      <c r="C275" s="10"/>
      <c r="D275" s="10"/>
      <c r="E275" s="46"/>
      <c r="F275" s="46"/>
      <c r="G275" s="46"/>
      <c r="H275" s="10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</row>
    <row r="276">
      <c r="A276" s="46"/>
      <c r="B276" s="46"/>
      <c r="C276" s="10"/>
      <c r="D276" s="10"/>
      <c r="E276" s="46"/>
      <c r="F276" s="46"/>
      <c r="G276" s="46"/>
      <c r="H276" s="10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>
      <c r="A277" s="46"/>
      <c r="B277" s="46"/>
      <c r="C277" s="10"/>
      <c r="D277" s="10"/>
      <c r="E277" s="46"/>
      <c r="F277" s="46"/>
      <c r="G277" s="46"/>
      <c r="H277" s="10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</row>
    <row r="278">
      <c r="A278" s="46"/>
      <c r="B278" s="46"/>
      <c r="C278" s="10"/>
      <c r="D278" s="10"/>
      <c r="E278" s="46"/>
      <c r="F278" s="46"/>
      <c r="G278" s="46"/>
      <c r="H278" s="10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>
      <c r="A279" s="46"/>
      <c r="B279" s="46"/>
      <c r="C279" s="10"/>
      <c r="D279" s="10"/>
      <c r="E279" s="46"/>
      <c r="F279" s="46"/>
      <c r="G279" s="46"/>
      <c r="H279" s="10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</row>
    <row r="280">
      <c r="A280" s="46"/>
      <c r="B280" s="46"/>
      <c r="C280" s="10"/>
      <c r="D280" s="10"/>
      <c r="E280" s="46"/>
      <c r="F280" s="46"/>
      <c r="G280" s="46"/>
      <c r="H280" s="10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>
      <c r="A281" s="46"/>
      <c r="B281" s="46"/>
      <c r="C281" s="10"/>
      <c r="D281" s="10"/>
      <c r="E281" s="46"/>
      <c r="F281" s="46"/>
      <c r="G281" s="46"/>
      <c r="H281" s="10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</row>
    <row r="282">
      <c r="A282" s="46"/>
      <c r="B282" s="46"/>
      <c r="C282" s="10"/>
      <c r="D282" s="10"/>
      <c r="E282" s="46"/>
      <c r="F282" s="46"/>
      <c r="G282" s="46"/>
      <c r="H282" s="10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>
      <c r="A283" s="46"/>
      <c r="B283" s="46"/>
      <c r="C283" s="10"/>
      <c r="D283" s="10"/>
      <c r="E283" s="46"/>
      <c r="F283" s="46"/>
      <c r="G283" s="46"/>
      <c r="H283" s="10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</row>
    <row r="284">
      <c r="A284" s="46"/>
      <c r="B284" s="46"/>
      <c r="C284" s="10"/>
      <c r="D284" s="10"/>
      <c r="E284" s="46"/>
      <c r="F284" s="46"/>
      <c r="G284" s="46"/>
      <c r="H284" s="10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>
      <c r="A285" s="46"/>
      <c r="B285" s="46"/>
      <c r="C285" s="10"/>
      <c r="D285" s="10"/>
      <c r="E285" s="46"/>
      <c r="F285" s="46"/>
      <c r="G285" s="46"/>
      <c r="H285" s="10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</row>
    <row r="286">
      <c r="A286" s="46"/>
      <c r="B286" s="46"/>
      <c r="C286" s="10"/>
      <c r="D286" s="10"/>
      <c r="E286" s="46"/>
      <c r="F286" s="46"/>
      <c r="G286" s="46"/>
      <c r="H286" s="10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>
      <c r="A287" s="46"/>
      <c r="B287" s="46"/>
      <c r="C287" s="10"/>
      <c r="D287" s="10"/>
      <c r="E287" s="46"/>
      <c r="F287" s="46"/>
      <c r="G287" s="46"/>
      <c r="H287" s="10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</row>
    <row r="288">
      <c r="A288" s="46"/>
      <c r="B288" s="46"/>
      <c r="C288" s="10"/>
      <c r="D288" s="10"/>
      <c r="E288" s="46"/>
      <c r="F288" s="46"/>
      <c r="G288" s="46"/>
      <c r="H288" s="10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>
      <c r="A289" s="46"/>
      <c r="B289" s="46"/>
      <c r="C289" s="10"/>
      <c r="D289" s="10"/>
      <c r="E289" s="46"/>
      <c r="F289" s="46"/>
      <c r="G289" s="46"/>
      <c r="H289" s="10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</row>
    <row r="290">
      <c r="A290" s="46"/>
      <c r="B290" s="46"/>
      <c r="C290" s="10"/>
      <c r="D290" s="10"/>
      <c r="E290" s="46"/>
      <c r="F290" s="46"/>
      <c r="G290" s="46"/>
      <c r="H290" s="10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>
      <c r="A291" s="46"/>
      <c r="B291" s="46"/>
      <c r="C291" s="10"/>
      <c r="D291" s="10"/>
      <c r="E291" s="46"/>
      <c r="F291" s="46"/>
      <c r="G291" s="46"/>
      <c r="H291" s="10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</row>
    <row r="292">
      <c r="A292" s="46"/>
      <c r="B292" s="46"/>
      <c r="C292" s="10"/>
      <c r="D292" s="10"/>
      <c r="E292" s="46"/>
      <c r="F292" s="46"/>
      <c r="G292" s="46"/>
      <c r="H292" s="10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>
      <c r="A293" s="46"/>
      <c r="B293" s="46"/>
      <c r="C293" s="10"/>
      <c r="D293" s="10"/>
      <c r="E293" s="46"/>
      <c r="F293" s="46"/>
      <c r="G293" s="46"/>
      <c r="H293" s="10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</row>
    <row r="294">
      <c r="A294" s="46"/>
      <c r="B294" s="46"/>
      <c r="C294" s="10"/>
      <c r="D294" s="10"/>
      <c r="E294" s="46"/>
      <c r="F294" s="46"/>
      <c r="G294" s="46"/>
      <c r="H294" s="10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>
      <c r="A295" s="46"/>
      <c r="B295" s="46"/>
      <c r="C295" s="10"/>
      <c r="D295" s="10"/>
      <c r="E295" s="46"/>
      <c r="F295" s="46"/>
      <c r="G295" s="46"/>
      <c r="H295" s="10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</row>
    <row r="296">
      <c r="A296" s="46"/>
      <c r="B296" s="46"/>
      <c r="C296" s="10"/>
      <c r="D296" s="10"/>
      <c r="E296" s="46"/>
      <c r="F296" s="46"/>
      <c r="G296" s="46"/>
      <c r="H296" s="10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>
      <c r="A297" s="46"/>
      <c r="B297" s="46"/>
      <c r="C297" s="10"/>
      <c r="D297" s="10"/>
      <c r="E297" s="46"/>
      <c r="F297" s="46"/>
      <c r="G297" s="46"/>
      <c r="H297" s="10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</row>
    <row r="298">
      <c r="A298" s="46"/>
      <c r="B298" s="46"/>
      <c r="C298" s="10"/>
      <c r="D298" s="10"/>
      <c r="E298" s="46"/>
      <c r="F298" s="46"/>
      <c r="G298" s="46"/>
      <c r="H298" s="10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>
      <c r="A299" s="46"/>
      <c r="B299" s="46"/>
      <c r="C299" s="10"/>
      <c r="D299" s="10"/>
      <c r="E299" s="46"/>
      <c r="F299" s="46"/>
      <c r="G299" s="46"/>
      <c r="H299" s="10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</row>
    <row r="300">
      <c r="A300" s="46"/>
      <c r="B300" s="46"/>
      <c r="C300" s="10"/>
      <c r="D300" s="10"/>
      <c r="E300" s="46"/>
      <c r="F300" s="46"/>
      <c r="G300" s="46"/>
      <c r="H300" s="10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>
      <c r="A301" s="46"/>
      <c r="B301" s="46"/>
      <c r="C301" s="10"/>
      <c r="D301" s="10"/>
      <c r="E301" s="46"/>
      <c r="F301" s="46"/>
      <c r="G301" s="46"/>
      <c r="H301" s="10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</row>
    <row r="302">
      <c r="A302" s="46"/>
      <c r="B302" s="46"/>
      <c r="C302" s="10"/>
      <c r="D302" s="10"/>
      <c r="E302" s="46"/>
      <c r="F302" s="46"/>
      <c r="G302" s="46"/>
      <c r="H302" s="10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>
      <c r="A303" s="46"/>
      <c r="B303" s="46"/>
      <c r="C303" s="10"/>
      <c r="D303" s="10"/>
      <c r="E303" s="46"/>
      <c r="F303" s="46"/>
      <c r="G303" s="46"/>
      <c r="H303" s="10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</row>
    <row r="304">
      <c r="A304" s="46"/>
      <c r="B304" s="46"/>
      <c r="C304" s="10"/>
      <c r="D304" s="10"/>
      <c r="E304" s="46"/>
      <c r="F304" s="46"/>
      <c r="G304" s="46"/>
      <c r="H304" s="10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>
      <c r="A305" s="46"/>
      <c r="B305" s="46"/>
      <c r="C305" s="10"/>
      <c r="D305" s="10"/>
      <c r="E305" s="46"/>
      <c r="F305" s="46"/>
      <c r="G305" s="46"/>
      <c r="H305" s="10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</row>
    <row r="306">
      <c r="A306" s="46"/>
      <c r="B306" s="46"/>
      <c r="C306" s="10"/>
      <c r="D306" s="10"/>
      <c r="E306" s="46"/>
      <c r="F306" s="46"/>
      <c r="G306" s="46"/>
      <c r="H306" s="10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>
      <c r="A307" s="46"/>
      <c r="B307" s="46"/>
      <c r="C307" s="10"/>
      <c r="D307" s="10"/>
      <c r="E307" s="46"/>
      <c r="F307" s="46"/>
      <c r="G307" s="46"/>
      <c r="H307" s="10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</row>
    <row r="308">
      <c r="A308" s="46"/>
      <c r="B308" s="46"/>
      <c r="C308" s="10"/>
      <c r="D308" s="10"/>
      <c r="E308" s="46"/>
      <c r="F308" s="46"/>
      <c r="G308" s="46"/>
      <c r="H308" s="10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>
      <c r="A309" s="46"/>
      <c r="B309" s="46"/>
      <c r="C309" s="10"/>
      <c r="D309" s="10"/>
      <c r="E309" s="46"/>
      <c r="F309" s="46"/>
      <c r="G309" s="46"/>
      <c r="H309" s="10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</row>
    <row r="310">
      <c r="A310" s="46"/>
      <c r="B310" s="46"/>
      <c r="C310" s="10"/>
      <c r="D310" s="10"/>
      <c r="E310" s="46"/>
      <c r="F310" s="46"/>
      <c r="G310" s="46"/>
      <c r="H310" s="10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>
      <c r="A311" s="46"/>
      <c r="B311" s="46"/>
      <c r="C311" s="10"/>
      <c r="D311" s="10"/>
      <c r="E311" s="46"/>
      <c r="F311" s="46"/>
      <c r="G311" s="46"/>
      <c r="H311" s="10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</row>
    <row r="312">
      <c r="A312" s="46"/>
      <c r="B312" s="46"/>
      <c r="C312" s="10"/>
      <c r="D312" s="10"/>
      <c r="E312" s="46"/>
      <c r="F312" s="46"/>
      <c r="G312" s="46"/>
      <c r="H312" s="10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>
      <c r="A313" s="46"/>
      <c r="B313" s="46"/>
      <c r="C313" s="10"/>
      <c r="D313" s="10"/>
      <c r="E313" s="46"/>
      <c r="F313" s="46"/>
      <c r="G313" s="46"/>
      <c r="H313" s="10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</row>
    <row r="314">
      <c r="A314" s="46"/>
      <c r="B314" s="46"/>
      <c r="C314" s="10"/>
      <c r="D314" s="10"/>
      <c r="E314" s="46"/>
      <c r="F314" s="46"/>
      <c r="G314" s="46"/>
      <c r="H314" s="10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>
      <c r="A315" s="46"/>
      <c r="B315" s="46"/>
      <c r="C315" s="10"/>
      <c r="D315" s="10"/>
      <c r="E315" s="46"/>
      <c r="F315" s="46"/>
      <c r="G315" s="46"/>
      <c r="H315" s="10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</row>
    <row r="316">
      <c r="A316" s="46"/>
      <c r="B316" s="46"/>
      <c r="C316" s="10"/>
      <c r="D316" s="10"/>
      <c r="E316" s="46"/>
      <c r="F316" s="46"/>
      <c r="G316" s="46"/>
      <c r="H316" s="10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>
      <c r="A317" s="46"/>
      <c r="B317" s="46"/>
      <c r="C317" s="10"/>
      <c r="D317" s="10"/>
      <c r="E317" s="46"/>
      <c r="F317" s="46"/>
      <c r="G317" s="46"/>
      <c r="H317" s="10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</row>
    <row r="318">
      <c r="A318" s="46"/>
      <c r="B318" s="46"/>
      <c r="C318" s="10"/>
      <c r="D318" s="10"/>
      <c r="E318" s="46"/>
      <c r="F318" s="46"/>
      <c r="G318" s="46"/>
      <c r="H318" s="10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>
      <c r="A319" s="46"/>
      <c r="B319" s="46"/>
      <c r="C319" s="10"/>
      <c r="D319" s="10"/>
      <c r="E319" s="46"/>
      <c r="F319" s="46"/>
      <c r="G319" s="46"/>
      <c r="H319" s="10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</row>
    <row r="320">
      <c r="A320" s="46"/>
      <c r="B320" s="46"/>
      <c r="C320" s="10"/>
      <c r="D320" s="10"/>
      <c r="E320" s="46"/>
      <c r="F320" s="46"/>
      <c r="G320" s="46"/>
      <c r="H320" s="10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>
      <c r="A321" s="46"/>
      <c r="B321" s="46"/>
      <c r="C321" s="10"/>
      <c r="D321" s="10"/>
      <c r="E321" s="46"/>
      <c r="F321" s="46"/>
      <c r="G321" s="46"/>
      <c r="H321" s="10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</row>
    <row r="322">
      <c r="A322" s="46"/>
      <c r="B322" s="46"/>
      <c r="C322" s="10"/>
      <c r="D322" s="10"/>
      <c r="E322" s="46"/>
      <c r="F322" s="46"/>
      <c r="G322" s="46"/>
      <c r="H322" s="10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>
      <c r="A323" s="46"/>
      <c r="B323" s="46"/>
      <c r="C323" s="10"/>
      <c r="D323" s="10"/>
      <c r="E323" s="46"/>
      <c r="F323" s="46"/>
      <c r="G323" s="46"/>
      <c r="H323" s="10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</row>
    <row r="324">
      <c r="A324" s="46"/>
      <c r="B324" s="46"/>
      <c r="C324" s="10"/>
      <c r="D324" s="10"/>
      <c r="E324" s="46"/>
      <c r="F324" s="46"/>
      <c r="G324" s="46"/>
      <c r="H324" s="10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>
      <c r="A325" s="46"/>
      <c r="B325" s="46"/>
      <c r="C325" s="10"/>
      <c r="D325" s="10"/>
      <c r="E325" s="46"/>
      <c r="F325" s="46"/>
      <c r="G325" s="46"/>
      <c r="H325" s="10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</row>
    <row r="326">
      <c r="A326" s="46"/>
      <c r="B326" s="46"/>
      <c r="C326" s="10"/>
      <c r="D326" s="10"/>
      <c r="E326" s="46"/>
      <c r="F326" s="46"/>
      <c r="G326" s="46"/>
      <c r="H326" s="10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>
      <c r="A327" s="46"/>
      <c r="B327" s="46"/>
      <c r="C327" s="10"/>
      <c r="D327" s="10"/>
      <c r="E327" s="46"/>
      <c r="F327" s="46"/>
      <c r="G327" s="46"/>
      <c r="H327" s="10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</row>
    <row r="328">
      <c r="A328" s="46"/>
      <c r="B328" s="46"/>
      <c r="C328" s="10"/>
      <c r="D328" s="10"/>
      <c r="E328" s="46"/>
      <c r="F328" s="46"/>
      <c r="G328" s="46"/>
      <c r="H328" s="10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>
      <c r="A329" s="46"/>
      <c r="B329" s="46"/>
      <c r="C329" s="10"/>
      <c r="D329" s="10"/>
      <c r="E329" s="46"/>
      <c r="F329" s="46"/>
      <c r="G329" s="46"/>
      <c r="H329" s="10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</row>
    <row r="330">
      <c r="A330" s="46"/>
      <c r="B330" s="46"/>
      <c r="C330" s="10"/>
      <c r="D330" s="10"/>
      <c r="E330" s="46"/>
      <c r="F330" s="46"/>
      <c r="G330" s="46"/>
      <c r="H330" s="10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>
      <c r="A331" s="46"/>
      <c r="B331" s="46"/>
      <c r="C331" s="10"/>
      <c r="D331" s="10"/>
      <c r="E331" s="46"/>
      <c r="F331" s="46"/>
      <c r="G331" s="46"/>
      <c r="H331" s="10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</row>
    <row r="332">
      <c r="A332" s="46"/>
      <c r="B332" s="46"/>
      <c r="C332" s="10"/>
      <c r="D332" s="10"/>
      <c r="E332" s="46"/>
      <c r="F332" s="46"/>
      <c r="G332" s="46"/>
      <c r="H332" s="10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>
      <c r="A333" s="46"/>
      <c r="B333" s="46"/>
      <c r="C333" s="10"/>
      <c r="D333" s="10"/>
      <c r="E333" s="46"/>
      <c r="F333" s="46"/>
      <c r="G333" s="46"/>
      <c r="H333" s="10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</row>
    <row r="334">
      <c r="A334" s="46"/>
      <c r="B334" s="46"/>
      <c r="C334" s="10"/>
      <c r="D334" s="10"/>
      <c r="E334" s="46"/>
      <c r="F334" s="46"/>
      <c r="G334" s="46"/>
      <c r="H334" s="10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>
      <c r="A335" s="46"/>
      <c r="B335" s="46"/>
      <c r="C335" s="10"/>
      <c r="D335" s="10"/>
      <c r="E335" s="46"/>
      <c r="F335" s="46"/>
      <c r="G335" s="46"/>
      <c r="H335" s="10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</row>
    <row r="336">
      <c r="A336" s="46"/>
      <c r="B336" s="46"/>
      <c r="C336" s="10"/>
      <c r="D336" s="10"/>
      <c r="E336" s="46"/>
      <c r="F336" s="46"/>
      <c r="G336" s="46"/>
      <c r="H336" s="10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>
      <c r="A337" s="46"/>
      <c r="B337" s="46"/>
      <c r="C337" s="10"/>
      <c r="D337" s="10"/>
      <c r="E337" s="46"/>
      <c r="F337" s="46"/>
      <c r="G337" s="46"/>
      <c r="H337" s="10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</row>
    <row r="338">
      <c r="A338" s="46"/>
      <c r="B338" s="46"/>
      <c r="C338" s="10"/>
      <c r="D338" s="10"/>
      <c r="E338" s="46"/>
      <c r="F338" s="46"/>
      <c r="G338" s="46"/>
      <c r="H338" s="10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>
      <c r="A339" s="46"/>
      <c r="B339" s="46"/>
      <c r="C339" s="10"/>
      <c r="D339" s="10"/>
      <c r="E339" s="46"/>
      <c r="F339" s="46"/>
      <c r="G339" s="46"/>
      <c r="H339" s="10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</row>
    <row r="340">
      <c r="A340" s="46"/>
      <c r="B340" s="46"/>
      <c r="C340" s="10"/>
      <c r="D340" s="10"/>
      <c r="E340" s="46"/>
      <c r="F340" s="46"/>
      <c r="G340" s="46"/>
      <c r="H340" s="10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>
      <c r="A341" s="46"/>
      <c r="B341" s="46"/>
      <c r="C341" s="10"/>
      <c r="D341" s="10"/>
      <c r="E341" s="46"/>
      <c r="F341" s="46"/>
      <c r="G341" s="46"/>
      <c r="H341" s="10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</row>
    <row r="342">
      <c r="A342" s="46"/>
      <c r="B342" s="46"/>
      <c r="C342" s="10"/>
      <c r="D342" s="10"/>
      <c r="E342" s="46"/>
      <c r="F342" s="46"/>
      <c r="G342" s="46"/>
      <c r="H342" s="10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>
      <c r="A343" s="46"/>
      <c r="B343" s="46"/>
      <c r="C343" s="10"/>
      <c r="D343" s="10"/>
      <c r="E343" s="46"/>
      <c r="F343" s="46"/>
      <c r="G343" s="46"/>
      <c r="H343" s="10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</row>
    <row r="344">
      <c r="A344" s="46"/>
      <c r="B344" s="46"/>
      <c r="C344" s="10"/>
      <c r="D344" s="10"/>
      <c r="E344" s="46"/>
      <c r="F344" s="46"/>
      <c r="G344" s="46"/>
      <c r="H344" s="10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>
      <c r="A345" s="46"/>
      <c r="B345" s="46"/>
      <c r="C345" s="10"/>
      <c r="D345" s="10"/>
      <c r="E345" s="46"/>
      <c r="F345" s="46"/>
      <c r="G345" s="46"/>
      <c r="H345" s="10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</row>
    <row r="346">
      <c r="A346" s="46"/>
      <c r="B346" s="46"/>
      <c r="C346" s="10"/>
      <c r="D346" s="10"/>
      <c r="E346" s="46"/>
      <c r="F346" s="46"/>
      <c r="G346" s="46"/>
      <c r="H346" s="10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>
      <c r="A347" s="46"/>
      <c r="B347" s="46"/>
      <c r="C347" s="10"/>
      <c r="D347" s="10"/>
      <c r="E347" s="46"/>
      <c r="F347" s="46"/>
      <c r="G347" s="46"/>
      <c r="H347" s="10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</row>
    <row r="348">
      <c r="A348" s="46"/>
      <c r="B348" s="46"/>
      <c r="C348" s="10"/>
      <c r="D348" s="10"/>
      <c r="E348" s="46"/>
      <c r="F348" s="46"/>
      <c r="G348" s="46"/>
      <c r="H348" s="10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>
      <c r="A349" s="46"/>
      <c r="B349" s="46"/>
      <c r="C349" s="10"/>
      <c r="D349" s="10"/>
      <c r="E349" s="46"/>
      <c r="F349" s="46"/>
      <c r="G349" s="46"/>
      <c r="H349" s="10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</row>
    <row r="350">
      <c r="A350" s="46"/>
      <c r="B350" s="46"/>
      <c r="C350" s="10"/>
      <c r="D350" s="10"/>
      <c r="E350" s="46"/>
      <c r="F350" s="46"/>
      <c r="G350" s="46"/>
      <c r="H350" s="10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>
      <c r="A351" s="46"/>
      <c r="B351" s="46"/>
      <c r="C351" s="10"/>
      <c r="D351" s="10"/>
      <c r="E351" s="46"/>
      <c r="F351" s="46"/>
      <c r="G351" s="46"/>
      <c r="H351" s="10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</row>
    <row r="352">
      <c r="A352" s="46"/>
      <c r="B352" s="46"/>
      <c r="C352" s="10"/>
      <c r="D352" s="10"/>
      <c r="E352" s="46"/>
      <c r="F352" s="46"/>
      <c r="G352" s="46"/>
      <c r="H352" s="10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>
      <c r="A353" s="46"/>
      <c r="B353" s="46"/>
      <c r="C353" s="10"/>
      <c r="D353" s="10"/>
      <c r="E353" s="46"/>
      <c r="F353" s="46"/>
      <c r="G353" s="46"/>
      <c r="H353" s="10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</row>
    <row r="354">
      <c r="A354" s="46"/>
      <c r="B354" s="46"/>
      <c r="C354" s="10"/>
      <c r="D354" s="10"/>
      <c r="E354" s="46"/>
      <c r="F354" s="46"/>
      <c r="G354" s="46"/>
      <c r="H354" s="10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>
      <c r="A355" s="46"/>
      <c r="B355" s="46"/>
      <c r="C355" s="10"/>
      <c r="D355" s="10"/>
      <c r="E355" s="46"/>
      <c r="F355" s="46"/>
      <c r="G355" s="46"/>
      <c r="H355" s="10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</row>
    <row r="356">
      <c r="A356" s="46"/>
      <c r="B356" s="46"/>
      <c r="C356" s="10"/>
      <c r="D356" s="10"/>
      <c r="E356" s="46"/>
      <c r="F356" s="46"/>
      <c r="G356" s="46"/>
      <c r="H356" s="10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>
      <c r="A357" s="46"/>
      <c r="B357" s="46"/>
      <c r="C357" s="10"/>
      <c r="D357" s="10"/>
      <c r="E357" s="46"/>
      <c r="F357" s="46"/>
      <c r="G357" s="46"/>
      <c r="H357" s="10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</row>
    <row r="358">
      <c r="A358" s="46"/>
      <c r="B358" s="46"/>
      <c r="C358" s="10"/>
      <c r="D358" s="10"/>
      <c r="E358" s="46"/>
      <c r="F358" s="46"/>
      <c r="G358" s="46"/>
      <c r="H358" s="10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>
      <c r="A359" s="46"/>
      <c r="B359" s="46"/>
      <c r="C359" s="10"/>
      <c r="D359" s="10"/>
      <c r="E359" s="46"/>
      <c r="F359" s="46"/>
      <c r="G359" s="46"/>
      <c r="H359" s="10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</row>
    <row r="360">
      <c r="A360" s="46"/>
      <c r="B360" s="46"/>
      <c r="C360" s="10"/>
      <c r="D360" s="10"/>
      <c r="E360" s="46"/>
      <c r="F360" s="46"/>
      <c r="G360" s="46"/>
      <c r="H360" s="10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>
      <c r="A361" s="46"/>
      <c r="B361" s="46"/>
      <c r="C361" s="10"/>
      <c r="D361" s="10"/>
      <c r="E361" s="46"/>
      <c r="F361" s="46"/>
      <c r="G361" s="46"/>
      <c r="H361" s="10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</row>
    <row r="362">
      <c r="A362" s="46"/>
      <c r="B362" s="46"/>
      <c r="C362" s="10"/>
      <c r="D362" s="10"/>
      <c r="E362" s="46"/>
      <c r="F362" s="46"/>
      <c r="G362" s="46"/>
      <c r="H362" s="10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>
      <c r="A363" s="46"/>
      <c r="B363" s="46"/>
      <c r="C363" s="10"/>
      <c r="D363" s="10"/>
      <c r="E363" s="46"/>
      <c r="F363" s="46"/>
      <c r="G363" s="46"/>
      <c r="H363" s="10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</row>
    <row r="364">
      <c r="A364" s="46"/>
      <c r="B364" s="46"/>
      <c r="C364" s="10"/>
      <c r="D364" s="10"/>
      <c r="E364" s="46"/>
      <c r="F364" s="46"/>
      <c r="G364" s="46"/>
      <c r="H364" s="10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>
      <c r="A365" s="46"/>
      <c r="B365" s="46"/>
      <c r="C365" s="10"/>
      <c r="D365" s="10"/>
      <c r="E365" s="46"/>
      <c r="F365" s="46"/>
      <c r="G365" s="46"/>
      <c r="H365" s="10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</row>
    <row r="366">
      <c r="A366" s="46"/>
      <c r="B366" s="46"/>
      <c r="C366" s="10"/>
      <c r="D366" s="10"/>
      <c r="E366" s="46"/>
      <c r="F366" s="46"/>
      <c r="G366" s="46"/>
      <c r="H366" s="10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>
      <c r="A367" s="46"/>
      <c r="B367" s="46"/>
      <c r="C367" s="10"/>
      <c r="D367" s="10"/>
      <c r="E367" s="46"/>
      <c r="F367" s="46"/>
      <c r="G367" s="46"/>
      <c r="H367" s="10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</row>
    <row r="368">
      <c r="A368" s="46"/>
      <c r="B368" s="46"/>
      <c r="C368" s="10"/>
      <c r="D368" s="10"/>
      <c r="E368" s="46"/>
      <c r="F368" s="46"/>
      <c r="G368" s="46"/>
      <c r="H368" s="10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>
      <c r="A369" s="46"/>
      <c r="B369" s="46"/>
      <c r="C369" s="10"/>
      <c r="D369" s="10"/>
      <c r="E369" s="46"/>
      <c r="F369" s="46"/>
      <c r="G369" s="46"/>
      <c r="H369" s="10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</row>
    <row r="370">
      <c r="A370" s="46"/>
      <c r="B370" s="46"/>
      <c r="C370" s="10"/>
      <c r="D370" s="10"/>
      <c r="E370" s="46"/>
      <c r="F370" s="46"/>
      <c r="G370" s="46"/>
      <c r="H370" s="10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>
      <c r="A371" s="46"/>
      <c r="B371" s="46"/>
      <c r="C371" s="10"/>
      <c r="D371" s="10"/>
      <c r="E371" s="46"/>
      <c r="F371" s="46"/>
      <c r="G371" s="46"/>
      <c r="H371" s="10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</row>
    <row r="372">
      <c r="A372" s="46"/>
      <c r="B372" s="46"/>
      <c r="C372" s="10"/>
      <c r="D372" s="10"/>
      <c r="E372" s="46"/>
      <c r="F372" s="46"/>
      <c r="G372" s="46"/>
      <c r="H372" s="10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>
      <c r="A373" s="46"/>
      <c r="B373" s="46"/>
      <c r="C373" s="10"/>
      <c r="D373" s="10"/>
      <c r="E373" s="46"/>
      <c r="F373" s="46"/>
      <c r="G373" s="46"/>
      <c r="H373" s="10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</row>
    <row r="374">
      <c r="A374" s="46"/>
      <c r="B374" s="46"/>
      <c r="C374" s="10"/>
      <c r="D374" s="10"/>
      <c r="E374" s="46"/>
      <c r="F374" s="46"/>
      <c r="G374" s="46"/>
      <c r="H374" s="10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>
      <c r="A375" s="46"/>
      <c r="B375" s="46"/>
      <c r="C375" s="10"/>
      <c r="D375" s="10"/>
      <c r="E375" s="46"/>
      <c r="F375" s="46"/>
      <c r="G375" s="46"/>
      <c r="H375" s="10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</row>
    <row r="376">
      <c r="A376" s="46"/>
      <c r="B376" s="46"/>
      <c r="C376" s="10"/>
      <c r="D376" s="10"/>
      <c r="E376" s="46"/>
      <c r="F376" s="46"/>
      <c r="G376" s="46"/>
      <c r="H376" s="10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>
      <c r="A377" s="46"/>
      <c r="B377" s="46"/>
      <c r="C377" s="10"/>
      <c r="D377" s="10"/>
      <c r="E377" s="46"/>
      <c r="F377" s="46"/>
      <c r="G377" s="46"/>
      <c r="H377" s="10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</row>
    <row r="378">
      <c r="A378" s="46"/>
      <c r="B378" s="46"/>
      <c r="C378" s="10"/>
      <c r="D378" s="10"/>
      <c r="E378" s="46"/>
      <c r="F378" s="46"/>
      <c r="G378" s="46"/>
      <c r="H378" s="10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>
      <c r="A379" s="46"/>
      <c r="B379" s="46"/>
      <c r="C379" s="10"/>
      <c r="D379" s="10"/>
      <c r="E379" s="46"/>
      <c r="F379" s="46"/>
      <c r="G379" s="46"/>
      <c r="H379" s="10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</row>
    <row r="380">
      <c r="A380" s="46"/>
      <c r="B380" s="46"/>
      <c r="C380" s="10"/>
      <c r="D380" s="10"/>
      <c r="E380" s="46"/>
      <c r="F380" s="46"/>
      <c r="G380" s="46"/>
      <c r="H380" s="10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>
      <c r="A381" s="46"/>
      <c r="B381" s="46"/>
      <c r="C381" s="10"/>
      <c r="D381" s="10"/>
      <c r="E381" s="46"/>
      <c r="F381" s="46"/>
      <c r="G381" s="46"/>
      <c r="H381" s="10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</row>
    <row r="382">
      <c r="A382" s="46"/>
      <c r="B382" s="46"/>
      <c r="C382" s="10"/>
      <c r="D382" s="10"/>
      <c r="E382" s="46"/>
      <c r="F382" s="46"/>
      <c r="G382" s="46"/>
      <c r="H382" s="10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>
      <c r="A383" s="46"/>
      <c r="B383" s="46"/>
      <c r="C383" s="10"/>
      <c r="D383" s="10"/>
      <c r="E383" s="46"/>
      <c r="F383" s="46"/>
      <c r="G383" s="46"/>
      <c r="H383" s="10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</row>
    <row r="384">
      <c r="A384" s="46"/>
      <c r="B384" s="46"/>
      <c r="C384" s="10"/>
      <c r="D384" s="10"/>
      <c r="E384" s="46"/>
      <c r="F384" s="46"/>
      <c r="G384" s="46"/>
      <c r="H384" s="10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>
      <c r="A385" s="46"/>
      <c r="B385" s="46"/>
      <c r="C385" s="10"/>
      <c r="D385" s="10"/>
      <c r="E385" s="46"/>
      <c r="F385" s="46"/>
      <c r="G385" s="46"/>
      <c r="H385" s="10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</row>
    <row r="386">
      <c r="A386" s="46"/>
      <c r="B386" s="46"/>
      <c r="C386" s="10"/>
      <c r="D386" s="10"/>
      <c r="E386" s="46"/>
      <c r="F386" s="46"/>
      <c r="G386" s="46"/>
      <c r="H386" s="10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>
      <c r="A387" s="46"/>
      <c r="B387" s="46"/>
      <c r="C387" s="10"/>
      <c r="D387" s="10"/>
      <c r="E387" s="46"/>
      <c r="F387" s="46"/>
      <c r="G387" s="46"/>
      <c r="H387" s="10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</row>
    <row r="388">
      <c r="A388" s="46"/>
      <c r="B388" s="46"/>
      <c r="C388" s="10"/>
      <c r="D388" s="10"/>
      <c r="E388" s="46"/>
      <c r="F388" s="46"/>
      <c r="G388" s="46"/>
      <c r="H388" s="10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>
      <c r="A389" s="46"/>
      <c r="B389" s="46"/>
      <c r="C389" s="10"/>
      <c r="D389" s="10"/>
      <c r="E389" s="46"/>
      <c r="F389" s="46"/>
      <c r="G389" s="46"/>
      <c r="H389" s="10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</row>
    <row r="390">
      <c r="A390" s="46"/>
      <c r="B390" s="46"/>
      <c r="C390" s="10"/>
      <c r="D390" s="10"/>
      <c r="E390" s="46"/>
      <c r="F390" s="46"/>
      <c r="G390" s="46"/>
      <c r="H390" s="10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>
      <c r="A391" s="46"/>
      <c r="B391" s="46"/>
      <c r="C391" s="10"/>
      <c r="D391" s="10"/>
      <c r="E391" s="46"/>
      <c r="F391" s="46"/>
      <c r="G391" s="46"/>
      <c r="H391" s="10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</row>
    <row r="392">
      <c r="A392" s="46"/>
      <c r="B392" s="46"/>
      <c r="C392" s="10"/>
      <c r="D392" s="10"/>
      <c r="E392" s="46"/>
      <c r="F392" s="46"/>
      <c r="G392" s="46"/>
      <c r="H392" s="10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>
      <c r="A393" s="46"/>
      <c r="B393" s="46"/>
      <c r="C393" s="10"/>
      <c r="D393" s="10"/>
      <c r="E393" s="46"/>
      <c r="F393" s="46"/>
      <c r="G393" s="46"/>
      <c r="H393" s="10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</row>
    <row r="394">
      <c r="A394" s="46"/>
      <c r="B394" s="46"/>
      <c r="C394" s="10"/>
      <c r="D394" s="10"/>
      <c r="E394" s="46"/>
      <c r="F394" s="46"/>
      <c r="G394" s="46"/>
      <c r="H394" s="10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>
      <c r="A395" s="46"/>
      <c r="B395" s="46"/>
      <c r="C395" s="10"/>
      <c r="D395" s="10"/>
      <c r="E395" s="46"/>
      <c r="F395" s="46"/>
      <c r="G395" s="46"/>
      <c r="H395" s="10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</row>
    <row r="396">
      <c r="A396" s="46"/>
      <c r="B396" s="46"/>
      <c r="C396" s="10"/>
      <c r="D396" s="10"/>
      <c r="E396" s="46"/>
      <c r="F396" s="46"/>
      <c r="G396" s="46"/>
      <c r="H396" s="10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>
      <c r="A397" s="46"/>
      <c r="B397" s="46"/>
      <c r="C397" s="10"/>
      <c r="D397" s="10"/>
      <c r="E397" s="46"/>
      <c r="F397" s="46"/>
      <c r="G397" s="46"/>
      <c r="H397" s="10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</row>
    <row r="398">
      <c r="A398" s="46"/>
      <c r="B398" s="46"/>
      <c r="C398" s="10"/>
      <c r="D398" s="10"/>
      <c r="E398" s="46"/>
      <c r="F398" s="46"/>
      <c r="G398" s="46"/>
      <c r="H398" s="10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>
      <c r="A399" s="46"/>
      <c r="B399" s="46"/>
      <c r="C399" s="10"/>
      <c r="D399" s="10"/>
      <c r="E399" s="46"/>
      <c r="F399" s="46"/>
      <c r="G399" s="46"/>
      <c r="H399" s="10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</row>
    <row r="400">
      <c r="A400" s="46"/>
      <c r="B400" s="46"/>
      <c r="C400" s="10"/>
      <c r="D400" s="10"/>
      <c r="E400" s="46"/>
      <c r="F400" s="46"/>
      <c r="G400" s="46"/>
      <c r="H400" s="10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>
      <c r="A401" s="46"/>
      <c r="B401" s="46"/>
      <c r="C401" s="10"/>
      <c r="D401" s="10"/>
      <c r="E401" s="46"/>
      <c r="F401" s="46"/>
      <c r="G401" s="46"/>
      <c r="H401" s="10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</row>
    <row r="402">
      <c r="A402" s="46"/>
      <c r="B402" s="46"/>
      <c r="C402" s="10"/>
      <c r="D402" s="10"/>
      <c r="E402" s="46"/>
      <c r="F402" s="46"/>
      <c r="G402" s="46"/>
      <c r="H402" s="10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>
      <c r="A403" s="46"/>
      <c r="B403" s="46"/>
      <c r="C403" s="10"/>
      <c r="D403" s="10"/>
      <c r="E403" s="46"/>
      <c r="F403" s="46"/>
      <c r="G403" s="46"/>
      <c r="H403" s="10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</row>
    <row r="404">
      <c r="A404" s="46"/>
      <c r="B404" s="46"/>
      <c r="C404" s="10"/>
      <c r="D404" s="10"/>
      <c r="E404" s="46"/>
      <c r="F404" s="46"/>
      <c r="G404" s="46"/>
      <c r="H404" s="10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>
      <c r="A405" s="46"/>
      <c r="B405" s="46"/>
      <c r="C405" s="10"/>
      <c r="D405" s="10"/>
      <c r="E405" s="46"/>
      <c r="F405" s="46"/>
      <c r="G405" s="46"/>
      <c r="H405" s="10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</row>
    <row r="406">
      <c r="A406" s="46"/>
      <c r="B406" s="46"/>
      <c r="C406" s="10"/>
      <c r="D406" s="10"/>
      <c r="E406" s="46"/>
      <c r="F406" s="46"/>
      <c r="G406" s="46"/>
      <c r="H406" s="10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>
      <c r="A407" s="46"/>
      <c r="B407" s="46"/>
      <c r="C407" s="10"/>
      <c r="D407" s="10"/>
      <c r="E407" s="46"/>
      <c r="F407" s="46"/>
      <c r="G407" s="46"/>
      <c r="H407" s="10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</row>
    <row r="408">
      <c r="A408" s="46"/>
      <c r="B408" s="46"/>
      <c r="C408" s="10"/>
      <c r="D408" s="10"/>
      <c r="E408" s="46"/>
      <c r="F408" s="46"/>
      <c r="G408" s="46"/>
      <c r="H408" s="10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>
      <c r="A409" s="46"/>
      <c r="B409" s="46"/>
      <c r="C409" s="10"/>
      <c r="D409" s="10"/>
      <c r="E409" s="46"/>
      <c r="F409" s="46"/>
      <c r="G409" s="46"/>
      <c r="H409" s="10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</row>
    <row r="410">
      <c r="A410" s="46"/>
      <c r="B410" s="46"/>
      <c r="C410" s="10"/>
      <c r="D410" s="10"/>
      <c r="E410" s="46"/>
      <c r="F410" s="46"/>
      <c r="G410" s="46"/>
      <c r="H410" s="10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>
      <c r="A411" s="46"/>
      <c r="B411" s="46"/>
      <c r="C411" s="10"/>
      <c r="D411" s="10"/>
      <c r="E411" s="46"/>
      <c r="F411" s="46"/>
      <c r="G411" s="46"/>
      <c r="H411" s="10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</row>
    <row r="412">
      <c r="A412" s="46"/>
      <c r="B412" s="46"/>
      <c r="C412" s="10"/>
      <c r="D412" s="10"/>
      <c r="E412" s="46"/>
      <c r="F412" s="46"/>
      <c r="G412" s="46"/>
      <c r="H412" s="10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>
      <c r="A413" s="46"/>
      <c r="B413" s="46"/>
      <c r="C413" s="10"/>
      <c r="D413" s="10"/>
      <c r="E413" s="46"/>
      <c r="F413" s="46"/>
      <c r="G413" s="46"/>
      <c r="H413" s="10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</row>
    <row r="414">
      <c r="A414" s="46"/>
      <c r="B414" s="46"/>
      <c r="C414" s="10"/>
      <c r="D414" s="10"/>
      <c r="E414" s="46"/>
      <c r="F414" s="46"/>
      <c r="G414" s="46"/>
      <c r="H414" s="10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>
      <c r="A415" s="46"/>
      <c r="B415" s="46"/>
      <c r="C415" s="10"/>
      <c r="D415" s="10"/>
      <c r="E415" s="46"/>
      <c r="F415" s="46"/>
      <c r="G415" s="46"/>
      <c r="H415" s="10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</row>
    <row r="416">
      <c r="A416" s="46"/>
      <c r="B416" s="46"/>
      <c r="C416" s="10"/>
      <c r="D416" s="10"/>
      <c r="E416" s="46"/>
      <c r="F416" s="46"/>
      <c r="G416" s="46"/>
      <c r="H416" s="10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>
      <c r="A417" s="46"/>
      <c r="B417" s="46"/>
      <c r="C417" s="10"/>
      <c r="D417" s="10"/>
      <c r="E417" s="46"/>
      <c r="F417" s="46"/>
      <c r="G417" s="46"/>
      <c r="H417" s="10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</row>
    <row r="418">
      <c r="A418" s="46"/>
      <c r="B418" s="46"/>
      <c r="C418" s="10"/>
      <c r="D418" s="10"/>
      <c r="E418" s="46"/>
      <c r="F418" s="46"/>
      <c r="G418" s="46"/>
      <c r="H418" s="10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>
      <c r="A419" s="46"/>
      <c r="B419" s="46"/>
      <c r="C419" s="10"/>
      <c r="D419" s="10"/>
      <c r="E419" s="46"/>
      <c r="F419" s="46"/>
      <c r="G419" s="46"/>
      <c r="H419" s="10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</row>
    <row r="420">
      <c r="A420" s="46"/>
      <c r="B420" s="46"/>
      <c r="C420" s="10"/>
      <c r="D420" s="10"/>
      <c r="E420" s="46"/>
      <c r="F420" s="46"/>
      <c r="G420" s="46"/>
      <c r="H420" s="10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>
      <c r="A421" s="46"/>
      <c r="B421" s="46"/>
      <c r="C421" s="10"/>
      <c r="D421" s="10"/>
      <c r="E421" s="46"/>
      <c r="F421" s="46"/>
      <c r="G421" s="46"/>
      <c r="H421" s="10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</row>
    <row r="422">
      <c r="A422" s="46"/>
      <c r="B422" s="46"/>
      <c r="C422" s="10"/>
      <c r="D422" s="10"/>
      <c r="E422" s="46"/>
      <c r="F422" s="46"/>
      <c r="G422" s="46"/>
      <c r="H422" s="10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>
      <c r="A423" s="46"/>
      <c r="B423" s="46"/>
      <c r="C423" s="10"/>
      <c r="D423" s="10"/>
      <c r="E423" s="46"/>
      <c r="F423" s="46"/>
      <c r="G423" s="46"/>
      <c r="H423" s="10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</row>
    <row r="424">
      <c r="A424" s="46"/>
      <c r="B424" s="46"/>
      <c r="C424" s="10"/>
      <c r="D424" s="10"/>
      <c r="E424" s="46"/>
      <c r="F424" s="46"/>
      <c r="G424" s="46"/>
      <c r="H424" s="10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>
      <c r="A425" s="46"/>
      <c r="B425" s="46"/>
      <c r="C425" s="10"/>
      <c r="D425" s="10"/>
      <c r="E425" s="46"/>
      <c r="F425" s="46"/>
      <c r="G425" s="46"/>
      <c r="H425" s="10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</row>
    <row r="426">
      <c r="A426" s="46"/>
      <c r="B426" s="46"/>
      <c r="C426" s="10"/>
      <c r="D426" s="10"/>
      <c r="E426" s="46"/>
      <c r="F426" s="46"/>
      <c r="G426" s="46"/>
      <c r="H426" s="10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>
      <c r="A427" s="46"/>
      <c r="B427" s="46"/>
      <c r="C427" s="10"/>
      <c r="D427" s="10"/>
      <c r="E427" s="46"/>
      <c r="F427" s="46"/>
      <c r="G427" s="46"/>
      <c r="H427" s="10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</row>
    <row r="428">
      <c r="A428" s="46"/>
      <c r="B428" s="46"/>
      <c r="C428" s="10"/>
      <c r="D428" s="10"/>
      <c r="E428" s="46"/>
      <c r="F428" s="46"/>
      <c r="G428" s="46"/>
      <c r="H428" s="10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>
      <c r="A429" s="46"/>
      <c r="B429" s="46"/>
      <c r="C429" s="10"/>
      <c r="D429" s="10"/>
      <c r="E429" s="46"/>
      <c r="F429" s="46"/>
      <c r="G429" s="46"/>
      <c r="H429" s="10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</row>
    <row r="430">
      <c r="A430" s="46"/>
      <c r="B430" s="46"/>
      <c r="C430" s="10"/>
      <c r="D430" s="10"/>
      <c r="E430" s="46"/>
      <c r="F430" s="46"/>
      <c r="G430" s="46"/>
      <c r="H430" s="10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>
      <c r="A431" s="46"/>
      <c r="B431" s="46"/>
      <c r="C431" s="10"/>
      <c r="D431" s="10"/>
      <c r="E431" s="46"/>
      <c r="F431" s="46"/>
      <c r="G431" s="46"/>
      <c r="H431" s="10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</row>
    <row r="432">
      <c r="A432" s="46"/>
      <c r="B432" s="46"/>
      <c r="C432" s="10"/>
      <c r="D432" s="10"/>
      <c r="E432" s="46"/>
      <c r="F432" s="46"/>
      <c r="G432" s="46"/>
      <c r="H432" s="10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>
      <c r="A433" s="46"/>
      <c r="B433" s="46"/>
      <c r="C433" s="10"/>
      <c r="D433" s="10"/>
      <c r="E433" s="46"/>
      <c r="F433" s="46"/>
      <c r="G433" s="46"/>
      <c r="H433" s="10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</row>
    <row r="434">
      <c r="A434" s="46"/>
      <c r="B434" s="46"/>
      <c r="C434" s="10"/>
      <c r="D434" s="10"/>
      <c r="E434" s="46"/>
      <c r="F434" s="46"/>
      <c r="G434" s="46"/>
      <c r="H434" s="10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>
      <c r="A435" s="46"/>
      <c r="B435" s="46"/>
      <c r="C435" s="10"/>
      <c r="D435" s="10"/>
      <c r="E435" s="46"/>
      <c r="F435" s="46"/>
      <c r="G435" s="46"/>
      <c r="H435" s="10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</row>
    <row r="436">
      <c r="A436" s="46"/>
      <c r="B436" s="46"/>
      <c r="C436" s="10"/>
      <c r="D436" s="10"/>
      <c r="E436" s="46"/>
      <c r="F436" s="46"/>
      <c r="G436" s="46"/>
      <c r="H436" s="10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>
      <c r="A437" s="46"/>
      <c r="B437" s="46"/>
      <c r="C437" s="10"/>
      <c r="D437" s="10"/>
      <c r="E437" s="46"/>
      <c r="F437" s="46"/>
      <c r="G437" s="46"/>
      <c r="H437" s="10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</row>
    <row r="438">
      <c r="A438" s="46"/>
      <c r="B438" s="46"/>
      <c r="C438" s="10"/>
      <c r="D438" s="10"/>
      <c r="E438" s="46"/>
      <c r="F438" s="46"/>
      <c r="G438" s="46"/>
      <c r="H438" s="10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>
      <c r="A439" s="46"/>
      <c r="B439" s="46"/>
      <c r="C439" s="10"/>
      <c r="D439" s="10"/>
      <c r="E439" s="46"/>
      <c r="F439" s="46"/>
      <c r="G439" s="46"/>
      <c r="H439" s="10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</row>
    <row r="440">
      <c r="A440" s="46"/>
      <c r="B440" s="46"/>
      <c r="C440" s="10"/>
      <c r="D440" s="10"/>
      <c r="E440" s="46"/>
      <c r="F440" s="46"/>
      <c r="G440" s="46"/>
      <c r="H440" s="10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>
      <c r="A441" s="46"/>
      <c r="B441" s="46"/>
      <c r="C441" s="10"/>
      <c r="D441" s="10"/>
      <c r="E441" s="46"/>
      <c r="F441" s="46"/>
      <c r="G441" s="46"/>
      <c r="H441" s="10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</row>
    <row r="442">
      <c r="A442" s="46"/>
      <c r="B442" s="46"/>
      <c r="C442" s="10"/>
      <c r="D442" s="10"/>
      <c r="E442" s="46"/>
      <c r="F442" s="46"/>
      <c r="G442" s="46"/>
      <c r="H442" s="10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>
      <c r="A443" s="46"/>
      <c r="B443" s="46"/>
      <c r="C443" s="10"/>
      <c r="D443" s="10"/>
      <c r="E443" s="46"/>
      <c r="F443" s="46"/>
      <c r="G443" s="46"/>
      <c r="H443" s="10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</row>
    <row r="444">
      <c r="A444" s="46"/>
      <c r="B444" s="46"/>
      <c r="C444" s="10"/>
      <c r="D444" s="10"/>
      <c r="E444" s="46"/>
      <c r="F444" s="46"/>
      <c r="G444" s="46"/>
      <c r="H444" s="10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>
      <c r="A445" s="46"/>
      <c r="B445" s="46"/>
      <c r="C445" s="10"/>
      <c r="D445" s="10"/>
      <c r="E445" s="46"/>
      <c r="F445" s="46"/>
      <c r="G445" s="46"/>
      <c r="H445" s="10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</row>
    <row r="446">
      <c r="A446" s="46"/>
      <c r="B446" s="46"/>
      <c r="C446" s="10"/>
      <c r="D446" s="10"/>
      <c r="E446" s="46"/>
      <c r="F446" s="46"/>
      <c r="G446" s="46"/>
      <c r="H446" s="10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>
      <c r="A447" s="46"/>
      <c r="B447" s="46"/>
      <c r="C447" s="10"/>
      <c r="D447" s="10"/>
      <c r="E447" s="46"/>
      <c r="F447" s="46"/>
      <c r="G447" s="46"/>
      <c r="H447" s="10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</row>
    <row r="448">
      <c r="A448" s="46"/>
      <c r="B448" s="46"/>
      <c r="C448" s="10"/>
      <c r="D448" s="10"/>
      <c r="E448" s="46"/>
      <c r="F448" s="46"/>
      <c r="G448" s="46"/>
      <c r="H448" s="10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>
      <c r="A449" s="46"/>
      <c r="B449" s="46"/>
      <c r="C449" s="10"/>
      <c r="D449" s="10"/>
      <c r="E449" s="46"/>
      <c r="F449" s="46"/>
      <c r="G449" s="46"/>
      <c r="H449" s="10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</row>
    <row r="450">
      <c r="A450" s="46"/>
      <c r="B450" s="46"/>
      <c r="C450" s="10"/>
      <c r="D450" s="10"/>
      <c r="E450" s="46"/>
      <c r="F450" s="46"/>
      <c r="G450" s="46"/>
      <c r="H450" s="10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>
      <c r="A451" s="46"/>
      <c r="B451" s="46"/>
      <c r="C451" s="10"/>
      <c r="D451" s="10"/>
      <c r="E451" s="46"/>
      <c r="F451" s="46"/>
      <c r="G451" s="46"/>
      <c r="H451" s="10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</row>
    <row r="452">
      <c r="A452" s="46"/>
      <c r="B452" s="46"/>
      <c r="C452" s="10"/>
      <c r="D452" s="10"/>
      <c r="E452" s="46"/>
      <c r="F452" s="46"/>
      <c r="G452" s="46"/>
      <c r="H452" s="10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>
      <c r="A453" s="46"/>
      <c r="B453" s="46"/>
      <c r="C453" s="10"/>
      <c r="D453" s="10"/>
      <c r="E453" s="46"/>
      <c r="F453" s="46"/>
      <c r="G453" s="46"/>
      <c r="H453" s="10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</row>
    <row r="454">
      <c r="A454" s="46"/>
      <c r="B454" s="46"/>
      <c r="C454" s="10"/>
      <c r="D454" s="10"/>
      <c r="E454" s="46"/>
      <c r="F454" s="46"/>
      <c r="G454" s="46"/>
      <c r="H454" s="10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>
      <c r="A455" s="46"/>
      <c r="B455" s="46"/>
      <c r="C455" s="10"/>
      <c r="D455" s="10"/>
      <c r="E455" s="46"/>
      <c r="F455" s="46"/>
      <c r="G455" s="46"/>
      <c r="H455" s="10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</row>
    <row r="456">
      <c r="A456" s="46"/>
      <c r="B456" s="46"/>
      <c r="C456" s="10"/>
      <c r="D456" s="10"/>
      <c r="E456" s="46"/>
      <c r="F456" s="46"/>
      <c r="G456" s="46"/>
      <c r="H456" s="10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>
      <c r="A457" s="46"/>
      <c r="B457" s="46"/>
      <c r="C457" s="10"/>
      <c r="D457" s="10"/>
      <c r="E457" s="46"/>
      <c r="F457" s="46"/>
      <c r="G457" s="46"/>
      <c r="H457" s="10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</row>
    <row r="458">
      <c r="A458" s="46"/>
      <c r="B458" s="46"/>
      <c r="C458" s="10"/>
      <c r="D458" s="10"/>
      <c r="E458" s="46"/>
      <c r="F458" s="46"/>
      <c r="G458" s="46"/>
      <c r="H458" s="10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>
      <c r="A459" s="46"/>
      <c r="B459" s="46"/>
      <c r="C459" s="10"/>
      <c r="D459" s="10"/>
      <c r="E459" s="46"/>
      <c r="F459" s="46"/>
      <c r="G459" s="46"/>
      <c r="H459" s="10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</row>
    <row r="460">
      <c r="A460" s="46"/>
      <c r="B460" s="46"/>
      <c r="C460" s="10"/>
      <c r="D460" s="10"/>
      <c r="E460" s="46"/>
      <c r="F460" s="46"/>
      <c r="G460" s="46"/>
      <c r="H460" s="10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>
      <c r="A461" s="46"/>
      <c r="B461" s="46"/>
      <c r="C461" s="10"/>
      <c r="D461" s="10"/>
      <c r="E461" s="46"/>
      <c r="F461" s="46"/>
      <c r="G461" s="46"/>
      <c r="H461" s="10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</row>
    <row r="462">
      <c r="A462" s="46"/>
      <c r="B462" s="46"/>
      <c r="C462" s="10"/>
      <c r="D462" s="10"/>
      <c r="E462" s="46"/>
      <c r="F462" s="46"/>
      <c r="G462" s="46"/>
      <c r="H462" s="10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>
      <c r="A463" s="46"/>
      <c r="B463" s="46"/>
      <c r="C463" s="10"/>
      <c r="D463" s="10"/>
      <c r="E463" s="46"/>
      <c r="F463" s="46"/>
      <c r="G463" s="46"/>
      <c r="H463" s="10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</row>
    <row r="464">
      <c r="A464" s="46"/>
      <c r="B464" s="46"/>
      <c r="C464" s="10"/>
      <c r="D464" s="10"/>
      <c r="E464" s="46"/>
      <c r="F464" s="46"/>
      <c r="G464" s="46"/>
      <c r="H464" s="10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>
      <c r="A465" s="46"/>
      <c r="B465" s="46"/>
      <c r="C465" s="10"/>
      <c r="D465" s="10"/>
      <c r="E465" s="46"/>
      <c r="F465" s="46"/>
      <c r="G465" s="46"/>
      <c r="H465" s="10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</row>
    <row r="466">
      <c r="A466" s="46"/>
      <c r="B466" s="46"/>
      <c r="C466" s="10"/>
      <c r="D466" s="10"/>
      <c r="E466" s="46"/>
      <c r="F466" s="46"/>
      <c r="G466" s="46"/>
      <c r="H466" s="10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>
      <c r="A467" s="46"/>
      <c r="B467" s="46"/>
      <c r="C467" s="10"/>
      <c r="D467" s="10"/>
      <c r="E467" s="46"/>
      <c r="F467" s="46"/>
      <c r="G467" s="46"/>
      <c r="H467" s="10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</row>
    <row r="468">
      <c r="A468" s="46"/>
      <c r="B468" s="46"/>
      <c r="C468" s="10"/>
      <c r="D468" s="10"/>
      <c r="E468" s="46"/>
      <c r="F468" s="46"/>
      <c r="G468" s="46"/>
      <c r="H468" s="10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>
      <c r="A469" s="46"/>
      <c r="B469" s="46"/>
      <c r="C469" s="10"/>
      <c r="D469" s="10"/>
      <c r="E469" s="46"/>
      <c r="F469" s="46"/>
      <c r="G469" s="46"/>
      <c r="H469" s="10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</row>
    <row r="470">
      <c r="A470" s="46"/>
      <c r="B470" s="46"/>
      <c r="C470" s="10"/>
      <c r="D470" s="10"/>
      <c r="E470" s="46"/>
      <c r="F470" s="46"/>
      <c r="G470" s="46"/>
      <c r="H470" s="10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>
      <c r="A471" s="46"/>
      <c r="B471" s="46"/>
      <c r="C471" s="10"/>
      <c r="D471" s="10"/>
      <c r="E471" s="46"/>
      <c r="F471" s="46"/>
      <c r="G471" s="46"/>
      <c r="H471" s="10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</row>
    <row r="472">
      <c r="A472" s="46"/>
      <c r="B472" s="46"/>
      <c r="C472" s="10"/>
      <c r="D472" s="10"/>
      <c r="E472" s="46"/>
      <c r="F472" s="46"/>
      <c r="G472" s="46"/>
      <c r="H472" s="10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>
      <c r="A473" s="46"/>
      <c r="B473" s="46"/>
      <c r="C473" s="10"/>
      <c r="D473" s="10"/>
      <c r="E473" s="46"/>
      <c r="F473" s="46"/>
      <c r="G473" s="46"/>
      <c r="H473" s="10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</row>
    <row r="474">
      <c r="A474" s="46"/>
      <c r="B474" s="46"/>
      <c r="C474" s="10"/>
      <c r="D474" s="10"/>
      <c r="E474" s="46"/>
      <c r="F474" s="46"/>
      <c r="G474" s="46"/>
      <c r="H474" s="10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>
      <c r="A475" s="46"/>
      <c r="B475" s="46"/>
      <c r="C475" s="10"/>
      <c r="D475" s="10"/>
      <c r="E475" s="46"/>
      <c r="F475" s="46"/>
      <c r="G475" s="46"/>
      <c r="H475" s="10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</row>
    <row r="476">
      <c r="A476" s="46"/>
      <c r="B476" s="46"/>
      <c r="C476" s="10"/>
      <c r="D476" s="10"/>
      <c r="E476" s="46"/>
      <c r="F476" s="46"/>
      <c r="G476" s="46"/>
      <c r="H476" s="10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>
      <c r="A477" s="46"/>
      <c r="B477" s="46"/>
      <c r="C477" s="10"/>
      <c r="D477" s="10"/>
      <c r="E477" s="46"/>
      <c r="F477" s="46"/>
      <c r="G477" s="46"/>
      <c r="H477" s="10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</row>
    <row r="478">
      <c r="A478" s="46"/>
      <c r="B478" s="46"/>
      <c r="C478" s="10"/>
      <c r="D478" s="10"/>
      <c r="E478" s="46"/>
      <c r="F478" s="46"/>
      <c r="G478" s="46"/>
      <c r="H478" s="10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>
      <c r="A479" s="46"/>
      <c r="B479" s="46"/>
      <c r="C479" s="10"/>
      <c r="D479" s="10"/>
      <c r="E479" s="46"/>
      <c r="F479" s="46"/>
      <c r="G479" s="46"/>
      <c r="H479" s="10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</row>
    <row r="480">
      <c r="A480" s="46"/>
      <c r="B480" s="46"/>
      <c r="C480" s="10"/>
      <c r="D480" s="10"/>
      <c r="E480" s="46"/>
      <c r="F480" s="46"/>
      <c r="G480" s="46"/>
      <c r="H480" s="10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>
      <c r="A481" s="46"/>
      <c r="B481" s="46"/>
      <c r="C481" s="10"/>
      <c r="D481" s="10"/>
      <c r="E481" s="46"/>
      <c r="F481" s="46"/>
      <c r="G481" s="46"/>
      <c r="H481" s="10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</row>
    <row r="482">
      <c r="A482" s="46"/>
      <c r="B482" s="46"/>
      <c r="C482" s="10"/>
      <c r="D482" s="10"/>
      <c r="E482" s="46"/>
      <c r="F482" s="46"/>
      <c r="G482" s="46"/>
      <c r="H482" s="10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>
      <c r="A483" s="46"/>
      <c r="B483" s="46"/>
      <c r="C483" s="10"/>
      <c r="D483" s="10"/>
      <c r="E483" s="46"/>
      <c r="F483" s="46"/>
      <c r="G483" s="46"/>
      <c r="H483" s="10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</row>
    <row r="484">
      <c r="A484" s="46"/>
      <c r="B484" s="46"/>
      <c r="C484" s="10"/>
      <c r="D484" s="10"/>
      <c r="E484" s="46"/>
      <c r="F484" s="46"/>
      <c r="G484" s="46"/>
      <c r="H484" s="10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>
      <c r="A485" s="46"/>
      <c r="B485" s="46"/>
      <c r="C485" s="10"/>
      <c r="D485" s="10"/>
      <c r="E485" s="46"/>
      <c r="F485" s="46"/>
      <c r="G485" s="46"/>
      <c r="H485" s="10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</row>
    <row r="486">
      <c r="A486" s="46"/>
      <c r="B486" s="46"/>
      <c r="C486" s="10"/>
      <c r="D486" s="10"/>
      <c r="E486" s="46"/>
      <c r="F486" s="46"/>
      <c r="G486" s="46"/>
      <c r="H486" s="10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>
      <c r="A487" s="46"/>
      <c r="B487" s="46"/>
      <c r="C487" s="10"/>
      <c r="D487" s="10"/>
      <c r="E487" s="46"/>
      <c r="F487" s="46"/>
      <c r="G487" s="46"/>
      <c r="H487" s="10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</row>
    <row r="488">
      <c r="A488" s="46"/>
      <c r="B488" s="46"/>
      <c r="C488" s="10"/>
      <c r="D488" s="10"/>
      <c r="E488" s="46"/>
      <c r="F488" s="46"/>
      <c r="G488" s="46"/>
      <c r="H488" s="10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>
      <c r="A489" s="46"/>
      <c r="B489" s="46"/>
      <c r="C489" s="10"/>
      <c r="D489" s="10"/>
      <c r="E489" s="46"/>
      <c r="F489" s="46"/>
      <c r="G489" s="46"/>
      <c r="H489" s="10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</row>
    <row r="490">
      <c r="A490" s="46"/>
      <c r="B490" s="46"/>
      <c r="C490" s="10"/>
      <c r="D490" s="10"/>
      <c r="E490" s="46"/>
      <c r="F490" s="46"/>
      <c r="G490" s="46"/>
      <c r="H490" s="10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>
      <c r="A491" s="46"/>
      <c r="B491" s="46"/>
      <c r="C491" s="10"/>
      <c r="D491" s="10"/>
      <c r="E491" s="46"/>
      <c r="F491" s="46"/>
      <c r="G491" s="46"/>
      <c r="H491" s="10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</row>
    <row r="492">
      <c r="A492" s="46"/>
      <c r="B492" s="46"/>
      <c r="C492" s="10"/>
      <c r="D492" s="10"/>
      <c r="E492" s="46"/>
      <c r="F492" s="46"/>
      <c r="G492" s="46"/>
      <c r="H492" s="10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>
      <c r="A493" s="46"/>
      <c r="B493" s="46"/>
      <c r="C493" s="10"/>
      <c r="D493" s="10"/>
      <c r="E493" s="46"/>
      <c r="F493" s="46"/>
      <c r="G493" s="46"/>
      <c r="H493" s="10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</row>
    <row r="494">
      <c r="A494" s="46"/>
      <c r="B494" s="46"/>
      <c r="C494" s="10"/>
      <c r="D494" s="10"/>
      <c r="E494" s="46"/>
      <c r="F494" s="46"/>
      <c r="G494" s="46"/>
      <c r="H494" s="10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>
      <c r="A495" s="46"/>
      <c r="B495" s="46"/>
      <c r="C495" s="10"/>
      <c r="D495" s="10"/>
      <c r="E495" s="46"/>
      <c r="F495" s="46"/>
      <c r="G495" s="46"/>
      <c r="H495" s="10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</row>
    <row r="496">
      <c r="A496" s="46"/>
      <c r="B496" s="46"/>
      <c r="C496" s="10"/>
      <c r="D496" s="10"/>
      <c r="E496" s="46"/>
      <c r="F496" s="46"/>
      <c r="G496" s="46"/>
      <c r="H496" s="10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>
      <c r="A497" s="46"/>
      <c r="B497" s="46"/>
      <c r="C497" s="10"/>
      <c r="D497" s="10"/>
      <c r="E497" s="46"/>
      <c r="F497" s="46"/>
      <c r="G497" s="46"/>
      <c r="H497" s="10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</row>
    <row r="498">
      <c r="A498" s="46"/>
      <c r="B498" s="46"/>
      <c r="C498" s="10"/>
      <c r="D498" s="10"/>
      <c r="E498" s="46"/>
      <c r="F498" s="46"/>
      <c r="G498" s="46"/>
      <c r="H498" s="10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>
      <c r="A499" s="46"/>
      <c r="B499" s="46"/>
      <c r="C499" s="10"/>
      <c r="D499" s="10"/>
      <c r="E499" s="46"/>
      <c r="F499" s="46"/>
      <c r="G499" s="46"/>
      <c r="H499" s="10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</row>
    <row r="500">
      <c r="A500" s="46"/>
      <c r="B500" s="46"/>
      <c r="C500" s="10"/>
      <c r="D500" s="10"/>
      <c r="E500" s="46"/>
      <c r="F500" s="46"/>
      <c r="G500" s="46"/>
      <c r="H500" s="10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>
      <c r="A501" s="46"/>
      <c r="B501" s="46"/>
      <c r="C501" s="10"/>
      <c r="D501" s="10"/>
      <c r="E501" s="46"/>
      <c r="F501" s="46"/>
      <c r="G501" s="46"/>
      <c r="H501" s="10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</row>
    <row r="502">
      <c r="A502" s="46"/>
      <c r="B502" s="46"/>
      <c r="C502" s="10"/>
      <c r="D502" s="10"/>
      <c r="E502" s="46"/>
      <c r="F502" s="46"/>
      <c r="G502" s="46"/>
      <c r="H502" s="10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>
      <c r="A503" s="46"/>
      <c r="B503" s="46"/>
      <c r="C503" s="10"/>
      <c r="D503" s="10"/>
      <c r="E503" s="46"/>
      <c r="F503" s="46"/>
      <c r="G503" s="46"/>
      <c r="H503" s="10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</row>
    <row r="504">
      <c r="A504" s="46"/>
      <c r="B504" s="46"/>
      <c r="C504" s="10"/>
      <c r="D504" s="10"/>
      <c r="E504" s="46"/>
      <c r="F504" s="46"/>
      <c r="G504" s="46"/>
      <c r="H504" s="10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>
      <c r="A505" s="46"/>
      <c r="B505" s="46"/>
      <c r="C505" s="10"/>
      <c r="D505" s="10"/>
      <c r="E505" s="46"/>
      <c r="F505" s="46"/>
      <c r="G505" s="46"/>
      <c r="H505" s="10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</row>
    <row r="506">
      <c r="A506" s="46"/>
      <c r="B506" s="46"/>
      <c r="C506" s="10"/>
      <c r="D506" s="10"/>
      <c r="E506" s="46"/>
      <c r="F506" s="46"/>
      <c r="G506" s="46"/>
      <c r="H506" s="10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>
      <c r="A507" s="46"/>
      <c r="B507" s="46"/>
      <c r="C507" s="10"/>
      <c r="D507" s="10"/>
      <c r="E507" s="46"/>
      <c r="F507" s="46"/>
      <c r="G507" s="46"/>
      <c r="H507" s="10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</row>
    <row r="508">
      <c r="A508" s="46"/>
      <c r="B508" s="46"/>
      <c r="C508" s="10"/>
      <c r="D508" s="10"/>
      <c r="E508" s="46"/>
      <c r="F508" s="46"/>
      <c r="G508" s="46"/>
      <c r="H508" s="10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>
      <c r="A509" s="46"/>
      <c r="B509" s="46"/>
      <c r="C509" s="10"/>
      <c r="D509" s="10"/>
      <c r="E509" s="46"/>
      <c r="F509" s="46"/>
      <c r="G509" s="46"/>
      <c r="H509" s="10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</row>
    <row r="510">
      <c r="A510" s="46"/>
      <c r="B510" s="46"/>
      <c r="C510" s="10"/>
      <c r="D510" s="10"/>
      <c r="E510" s="46"/>
      <c r="F510" s="46"/>
      <c r="G510" s="46"/>
      <c r="H510" s="10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>
      <c r="A511" s="46"/>
      <c r="B511" s="46"/>
      <c r="C511" s="10"/>
      <c r="D511" s="10"/>
      <c r="E511" s="46"/>
      <c r="F511" s="46"/>
      <c r="G511" s="46"/>
      <c r="H511" s="10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</row>
    <row r="512">
      <c r="A512" s="46"/>
      <c r="B512" s="46"/>
      <c r="C512" s="10"/>
      <c r="D512" s="10"/>
      <c r="E512" s="46"/>
      <c r="F512" s="46"/>
      <c r="G512" s="46"/>
      <c r="H512" s="10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>
      <c r="A513" s="46"/>
      <c r="B513" s="46"/>
      <c r="C513" s="10"/>
      <c r="D513" s="10"/>
      <c r="E513" s="46"/>
      <c r="F513" s="46"/>
      <c r="G513" s="46"/>
      <c r="H513" s="10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</row>
    <row r="514">
      <c r="A514" s="46"/>
      <c r="B514" s="46"/>
      <c r="C514" s="10"/>
      <c r="D514" s="10"/>
      <c r="E514" s="46"/>
      <c r="F514" s="46"/>
      <c r="G514" s="46"/>
      <c r="H514" s="10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>
      <c r="A515" s="46"/>
      <c r="B515" s="46"/>
      <c r="C515" s="10"/>
      <c r="D515" s="10"/>
      <c r="E515" s="46"/>
      <c r="F515" s="46"/>
      <c r="G515" s="46"/>
      <c r="H515" s="10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</row>
    <row r="516">
      <c r="A516" s="46"/>
      <c r="B516" s="46"/>
      <c r="C516" s="10"/>
      <c r="D516" s="10"/>
      <c r="E516" s="46"/>
      <c r="F516" s="46"/>
      <c r="G516" s="46"/>
      <c r="H516" s="10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>
      <c r="A517" s="46"/>
      <c r="B517" s="46"/>
      <c r="C517" s="10"/>
      <c r="D517" s="10"/>
      <c r="E517" s="46"/>
      <c r="F517" s="46"/>
      <c r="G517" s="46"/>
      <c r="H517" s="10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</row>
    <row r="518">
      <c r="A518" s="46"/>
      <c r="B518" s="46"/>
      <c r="C518" s="10"/>
      <c r="D518" s="10"/>
      <c r="E518" s="46"/>
      <c r="F518" s="46"/>
      <c r="G518" s="46"/>
      <c r="H518" s="10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>
      <c r="A519" s="46"/>
      <c r="B519" s="46"/>
      <c r="C519" s="10"/>
      <c r="D519" s="10"/>
      <c r="E519" s="46"/>
      <c r="F519" s="46"/>
      <c r="G519" s="46"/>
      <c r="H519" s="10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</row>
    <row r="520">
      <c r="A520" s="46"/>
      <c r="B520" s="46"/>
      <c r="C520" s="10"/>
      <c r="D520" s="10"/>
      <c r="E520" s="46"/>
      <c r="F520" s="46"/>
      <c r="G520" s="46"/>
      <c r="H520" s="10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>
      <c r="A521" s="46"/>
      <c r="B521" s="46"/>
      <c r="C521" s="10"/>
      <c r="D521" s="10"/>
      <c r="E521" s="46"/>
      <c r="F521" s="46"/>
      <c r="G521" s="46"/>
      <c r="H521" s="10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</row>
    <row r="522">
      <c r="A522" s="46"/>
      <c r="B522" s="46"/>
      <c r="C522" s="10"/>
      <c r="D522" s="10"/>
      <c r="E522" s="46"/>
      <c r="F522" s="46"/>
      <c r="G522" s="46"/>
      <c r="H522" s="10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>
      <c r="A523" s="46"/>
      <c r="B523" s="46"/>
      <c r="C523" s="10"/>
      <c r="D523" s="10"/>
      <c r="E523" s="46"/>
      <c r="F523" s="46"/>
      <c r="G523" s="46"/>
      <c r="H523" s="10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</row>
    <row r="524">
      <c r="A524" s="46"/>
      <c r="B524" s="46"/>
      <c r="C524" s="10"/>
      <c r="D524" s="10"/>
      <c r="E524" s="46"/>
      <c r="F524" s="46"/>
      <c r="G524" s="46"/>
      <c r="H524" s="10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>
      <c r="A525" s="46"/>
      <c r="B525" s="46"/>
      <c r="C525" s="10"/>
      <c r="D525" s="10"/>
      <c r="E525" s="46"/>
      <c r="F525" s="46"/>
      <c r="G525" s="46"/>
      <c r="H525" s="10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</row>
    <row r="526">
      <c r="A526" s="46"/>
      <c r="B526" s="46"/>
      <c r="C526" s="10"/>
      <c r="D526" s="10"/>
      <c r="E526" s="46"/>
      <c r="F526" s="46"/>
      <c r="G526" s="46"/>
      <c r="H526" s="10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>
      <c r="A527" s="46"/>
      <c r="B527" s="46"/>
      <c r="C527" s="10"/>
      <c r="D527" s="10"/>
      <c r="E527" s="46"/>
      <c r="F527" s="46"/>
      <c r="G527" s="46"/>
      <c r="H527" s="10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</row>
    <row r="528">
      <c r="A528" s="46"/>
      <c r="B528" s="46"/>
      <c r="C528" s="10"/>
      <c r="D528" s="10"/>
      <c r="E528" s="46"/>
      <c r="F528" s="46"/>
      <c r="G528" s="46"/>
      <c r="H528" s="10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>
      <c r="A529" s="46"/>
      <c r="B529" s="46"/>
      <c r="C529" s="10"/>
      <c r="D529" s="10"/>
      <c r="E529" s="46"/>
      <c r="F529" s="46"/>
      <c r="G529" s="46"/>
      <c r="H529" s="10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</row>
    <row r="530">
      <c r="A530" s="46"/>
      <c r="B530" s="46"/>
      <c r="C530" s="10"/>
      <c r="D530" s="10"/>
      <c r="E530" s="46"/>
      <c r="F530" s="46"/>
      <c r="G530" s="46"/>
      <c r="H530" s="10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>
      <c r="A531" s="46"/>
      <c r="B531" s="46"/>
      <c r="C531" s="10"/>
      <c r="D531" s="10"/>
      <c r="E531" s="46"/>
      <c r="F531" s="46"/>
      <c r="G531" s="46"/>
      <c r="H531" s="10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</row>
    <row r="532">
      <c r="A532" s="46"/>
      <c r="B532" s="46"/>
      <c r="C532" s="10"/>
      <c r="D532" s="10"/>
      <c r="E532" s="46"/>
      <c r="F532" s="46"/>
      <c r="G532" s="46"/>
      <c r="H532" s="10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>
      <c r="A533" s="46"/>
      <c r="B533" s="46"/>
      <c r="C533" s="10"/>
      <c r="D533" s="10"/>
      <c r="E533" s="46"/>
      <c r="F533" s="46"/>
      <c r="G533" s="46"/>
      <c r="H533" s="10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</row>
    <row r="534">
      <c r="A534" s="46"/>
      <c r="B534" s="46"/>
      <c r="C534" s="10"/>
      <c r="D534" s="10"/>
      <c r="E534" s="46"/>
      <c r="F534" s="46"/>
      <c r="G534" s="46"/>
      <c r="H534" s="10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>
      <c r="A535" s="46"/>
      <c r="B535" s="46"/>
      <c r="C535" s="10"/>
      <c r="D535" s="10"/>
      <c r="E535" s="46"/>
      <c r="F535" s="46"/>
      <c r="G535" s="46"/>
      <c r="H535" s="10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</row>
    <row r="536">
      <c r="A536" s="46"/>
      <c r="B536" s="46"/>
      <c r="C536" s="10"/>
      <c r="D536" s="10"/>
      <c r="E536" s="46"/>
      <c r="F536" s="46"/>
      <c r="G536" s="46"/>
      <c r="H536" s="10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>
      <c r="A537" s="46"/>
      <c r="B537" s="46"/>
      <c r="C537" s="10"/>
      <c r="D537" s="10"/>
      <c r="E537" s="46"/>
      <c r="F537" s="46"/>
      <c r="G537" s="46"/>
      <c r="H537" s="10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</row>
    <row r="538">
      <c r="A538" s="46"/>
      <c r="B538" s="46"/>
      <c r="C538" s="10"/>
      <c r="D538" s="10"/>
      <c r="E538" s="46"/>
      <c r="F538" s="46"/>
      <c r="G538" s="46"/>
      <c r="H538" s="10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>
      <c r="A539" s="46"/>
      <c r="B539" s="46"/>
      <c r="C539" s="10"/>
      <c r="D539" s="10"/>
      <c r="E539" s="46"/>
      <c r="F539" s="46"/>
      <c r="G539" s="46"/>
      <c r="H539" s="10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</row>
    <row r="540">
      <c r="A540" s="46"/>
      <c r="B540" s="46"/>
      <c r="C540" s="10"/>
      <c r="D540" s="10"/>
      <c r="E540" s="46"/>
      <c r="F540" s="46"/>
      <c r="G540" s="46"/>
      <c r="H540" s="10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>
      <c r="A541" s="46"/>
      <c r="B541" s="46"/>
      <c r="C541" s="10"/>
      <c r="D541" s="10"/>
      <c r="E541" s="46"/>
      <c r="F541" s="46"/>
      <c r="G541" s="46"/>
      <c r="H541" s="10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</row>
    <row r="542">
      <c r="A542" s="46"/>
      <c r="B542" s="46"/>
      <c r="C542" s="10"/>
      <c r="D542" s="10"/>
      <c r="E542" s="46"/>
      <c r="F542" s="46"/>
      <c r="G542" s="46"/>
      <c r="H542" s="10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>
      <c r="A543" s="46"/>
      <c r="B543" s="46"/>
      <c r="C543" s="10"/>
      <c r="D543" s="10"/>
      <c r="E543" s="46"/>
      <c r="F543" s="46"/>
      <c r="G543" s="46"/>
      <c r="H543" s="10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</row>
    <row r="544">
      <c r="A544" s="46"/>
      <c r="B544" s="46"/>
      <c r="C544" s="10"/>
      <c r="D544" s="10"/>
      <c r="E544" s="46"/>
      <c r="F544" s="46"/>
      <c r="G544" s="46"/>
      <c r="H544" s="10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>
      <c r="A545" s="46"/>
      <c r="B545" s="46"/>
      <c r="C545" s="10"/>
      <c r="D545" s="10"/>
      <c r="E545" s="46"/>
      <c r="F545" s="46"/>
      <c r="G545" s="46"/>
      <c r="H545" s="10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</row>
    <row r="546">
      <c r="A546" s="46"/>
      <c r="B546" s="46"/>
      <c r="C546" s="10"/>
      <c r="D546" s="10"/>
      <c r="E546" s="46"/>
      <c r="F546" s="46"/>
      <c r="G546" s="46"/>
      <c r="H546" s="10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>
      <c r="A547" s="46"/>
      <c r="B547" s="46"/>
      <c r="C547" s="10"/>
      <c r="D547" s="10"/>
      <c r="E547" s="46"/>
      <c r="F547" s="46"/>
      <c r="G547" s="46"/>
      <c r="H547" s="10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</row>
    <row r="548">
      <c r="A548" s="46"/>
      <c r="B548" s="46"/>
      <c r="C548" s="10"/>
      <c r="D548" s="10"/>
      <c r="E548" s="46"/>
      <c r="F548" s="46"/>
      <c r="G548" s="46"/>
      <c r="H548" s="10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>
      <c r="A549" s="46"/>
      <c r="B549" s="46"/>
      <c r="C549" s="10"/>
      <c r="D549" s="10"/>
      <c r="E549" s="46"/>
      <c r="F549" s="46"/>
      <c r="G549" s="46"/>
      <c r="H549" s="10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</row>
    <row r="550">
      <c r="A550" s="46"/>
      <c r="B550" s="46"/>
      <c r="C550" s="10"/>
      <c r="D550" s="10"/>
      <c r="E550" s="46"/>
      <c r="F550" s="46"/>
      <c r="G550" s="46"/>
      <c r="H550" s="10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>
      <c r="A551" s="46"/>
      <c r="B551" s="46"/>
      <c r="C551" s="10"/>
      <c r="D551" s="10"/>
      <c r="E551" s="46"/>
      <c r="F551" s="46"/>
      <c r="G551" s="46"/>
      <c r="H551" s="10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</row>
    <row r="552">
      <c r="A552" s="46"/>
      <c r="B552" s="46"/>
      <c r="C552" s="10"/>
      <c r="D552" s="10"/>
      <c r="E552" s="46"/>
      <c r="F552" s="46"/>
      <c r="G552" s="46"/>
      <c r="H552" s="10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>
      <c r="A553" s="46"/>
      <c r="B553" s="46"/>
      <c r="C553" s="10"/>
      <c r="D553" s="10"/>
      <c r="E553" s="46"/>
      <c r="F553" s="46"/>
      <c r="G553" s="46"/>
      <c r="H553" s="10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</row>
    <row r="554">
      <c r="A554" s="46"/>
      <c r="B554" s="46"/>
      <c r="C554" s="10"/>
      <c r="D554" s="10"/>
      <c r="E554" s="46"/>
      <c r="F554" s="46"/>
      <c r="G554" s="46"/>
      <c r="H554" s="10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>
      <c r="A555" s="46"/>
      <c r="B555" s="46"/>
      <c r="C555" s="10"/>
      <c r="D555" s="10"/>
      <c r="E555" s="46"/>
      <c r="F555" s="46"/>
      <c r="G555" s="46"/>
      <c r="H555" s="10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</row>
    <row r="556">
      <c r="A556" s="46"/>
      <c r="B556" s="46"/>
      <c r="C556" s="10"/>
      <c r="D556" s="10"/>
      <c r="E556" s="46"/>
      <c r="F556" s="46"/>
      <c r="G556" s="46"/>
      <c r="H556" s="10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>
      <c r="A557" s="46"/>
      <c r="B557" s="46"/>
      <c r="C557" s="10"/>
      <c r="D557" s="10"/>
      <c r="E557" s="46"/>
      <c r="F557" s="46"/>
      <c r="G557" s="46"/>
      <c r="H557" s="10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</row>
    <row r="558">
      <c r="A558" s="46"/>
      <c r="B558" s="46"/>
      <c r="C558" s="10"/>
      <c r="D558" s="10"/>
      <c r="E558" s="46"/>
      <c r="F558" s="46"/>
      <c r="G558" s="46"/>
      <c r="H558" s="10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>
      <c r="A559" s="46"/>
      <c r="B559" s="46"/>
      <c r="C559" s="10"/>
      <c r="D559" s="10"/>
      <c r="E559" s="46"/>
      <c r="F559" s="46"/>
      <c r="G559" s="46"/>
      <c r="H559" s="10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</row>
    <row r="560">
      <c r="A560" s="46"/>
      <c r="B560" s="46"/>
      <c r="C560" s="10"/>
      <c r="D560" s="10"/>
      <c r="E560" s="46"/>
      <c r="F560" s="46"/>
      <c r="G560" s="46"/>
      <c r="H560" s="10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>
      <c r="A561" s="46"/>
      <c r="B561" s="46"/>
      <c r="C561" s="10"/>
      <c r="D561" s="10"/>
      <c r="E561" s="46"/>
      <c r="F561" s="46"/>
      <c r="G561" s="46"/>
      <c r="H561" s="10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</row>
    <row r="562">
      <c r="A562" s="46"/>
      <c r="B562" s="46"/>
      <c r="C562" s="10"/>
      <c r="D562" s="10"/>
      <c r="E562" s="46"/>
      <c r="F562" s="46"/>
      <c r="G562" s="46"/>
      <c r="H562" s="10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>
      <c r="A563" s="46"/>
      <c r="B563" s="46"/>
      <c r="C563" s="10"/>
      <c r="D563" s="10"/>
      <c r="E563" s="46"/>
      <c r="F563" s="46"/>
      <c r="G563" s="46"/>
      <c r="H563" s="10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</row>
    <row r="564">
      <c r="A564" s="46"/>
      <c r="B564" s="46"/>
      <c r="C564" s="10"/>
      <c r="D564" s="10"/>
      <c r="E564" s="46"/>
      <c r="F564" s="46"/>
      <c r="G564" s="46"/>
      <c r="H564" s="10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>
      <c r="A565" s="46"/>
      <c r="B565" s="46"/>
      <c r="C565" s="10"/>
      <c r="D565" s="10"/>
      <c r="E565" s="46"/>
      <c r="F565" s="46"/>
      <c r="G565" s="46"/>
      <c r="H565" s="10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</row>
    <row r="566">
      <c r="A566" s="46"/>
      <c r="B566" s="46"/>
      <c r="C566" s="10"/>
      <c r="D566" s="10"/>
      <c r="E566" s="46"/>
      <c r="F566" s="46"/>
      <c r="G566" s="46"/>
      <c r="H566" s="10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>
      <c r="A567" s="46"/>
      <c r="B567" s="46"/>
      <c r="C567" s="10"/>
      <c r="D567" s="10"/>
      <c r="E567" s="46"/>
      <c r="F567" s="46"/>
      <c r="G567" s="46"/>
      <c r="H567" s="10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</row>
    <row r="568">
      <c r="A568" s="46"/>
      <c r="B568" s="46"/>
      <c r="C568" s="10"/>
      <c r="D568" s="10"/>
      <c r="E568" s="46"/>
      <c r="F568" s="46"/>
      <c r="G568" s="46"/>
      <c r="H568" s="10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>
      <c r="A569" s="46"/>
      <c r="B569" s="46"/>
      <c r="C569" s="10"/>
      <c r="D569" s="10"/>
      <c r="E569" s="46"/>
      <c r="F569" s="46"/>
      <c r="G569" s="46"/>
      <c r="H569" s="10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</row>
    <row r="570">
      <c r="A570" s="46"/>
      <c r="B570" s="46"/>
      <c r="C570" s="10"/>
      <c r="D570" s="10"/>
      <c r="E570" s="46"/>
      <c r="F570" s="46"/>
      <c r="G570" s="46"/>
      <c r="H570" s="10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>
      <c r="A571" s="46"/>
      <c r="B571" s="46"/>
      <c r="C571" s="10"/>
      <c r="D571" s="10"/>
      <c r="E571" s="46"/>
      <c r="F571" s="46"/>
      <c r="G571" s="46"/>
      <c r="H571" s="10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</row>
    <row r="572">
      <c r="A572" s="46"/>
      <c r="B572" s="46"/>
      <c r="C572" s="10"/>
      <c r="D572" s="10"/>
      <c r="E572" s="46"/>
      <c r="F572" s="46"/>
      <c r="G572" s="46"/>
      <c r="H572" s="10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>
      <c r="A573" s="46"/>
      <c r="B573" s="46"/>
      <c r="C573" s="10"/>
      <c r="D573" s="10"/>
      <c r="E573" s="46"/>
      <c r="F573" s="46"/>
      <c r="G573" s="46"/>
      <c r="H573" s="10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</row>
    <row r="574">
      <c r="A574" s="46"/>
      <c r="B574" s="46"/>
      <c r="C574" s="10"/>
      <c r="D574" s="10"/>
      <c r="E574" s="46"/>
      <c r="F574" s="46"/>
      <c r="G574" s="46"/>
      <c r="H574" s="10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>
      <c r="A575" s="46"/>
      <c r="B575" s="46"/>
      <c r="C575" s="10"/>
      <c r="D575" s="10"/>
      <c r="E575" s="46"/>
      <c r="F575" s="46"/>
      <c r="G575" s="46"/>
      <c r="H575" s="10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</row>
    <row r="576">
      <c r="A576" s="46"/>
      <c r="B576" s="46"/>
      <c r="C576" s="10"/>
      <c r="D576" s="10"/>
      <c r="E576" s="46"/>
      <c r="F576" s="46"/>
      <c r="G576" s="46"/>
      <c r="H576" s="10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>
      <c r="A577" s="46"/>
      <c r="B577" s="46"/>
      <c r="C577" s="10"/>
      <c r="D577" s="10"/>
      <c r="E577" s="46"/>
      <c r="F577" s="46"/>
      <c r="G577" s="46"/>
      <c r="H577" s="10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</row>
    <row r="578">
      <c r="A578" s="46"/>
      <c r="B578" s="46"/>
      <c r="C578" s="10"/>
      <c r="D578" s="10"/>
      <c r="E578" s="46"/>
      <c r="F578" s="46"/>
      <c r="G578" s="46"/>
      <c r="H578" s="10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>
      <c r="A579" s="46"/>
      <c r="B579" s="46"/>
      <c r="C579" s="10"/>
      <c r="D579" s="10"/>
      <c r="E579" s="46"/>
      <c r="F579" s="46"/>
      <c r="G579" s="46"/>
      <c r="H579" s="10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</row>
    <row r="580">
      <c r="A580" s="46"/>
      <c r="B580" s="46"/>
      <c r="C580" s="10"/>
      <c r="D580" s="10"/>
      <c r="E580" s="46"/>
      <c r="F580" s="46"/>
      <c r="G580" s="46"/>
      <c r="H580" s="10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>
      <c r="A581" s="46"/>
      <c r="B581" s="46"/>
      <c r="C581" s="10"/>
      <c r="D581" s="10"/>
      <c r="E581" s="46"/>
      <c r="F581" s="46"/>
      <c r="G581" s="46"/>
      <c r="H581" s="10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</row>
    <row r="582">
      <c r="A582" s="46"/>
      <c r="B582" s="46"/>
      <c r="C582" s="10"/>
      <c r="D582" s="10"/>
      <c r="E582" s="46"/>
      <c r="F582" s="46"/>
      <c r="G582" s="46"/>
      <c r="H582" s="10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>
      <c r="A583" s="46"/>
      <c r="B583" s="46"/>
      <c r="C583" s="10"/>
      <c r="D583" s="10"/>
      <c r="E583" s="46"/>
      <c r="F583" s="46"/>
      <c r="G583" s="46"/>
      <c r="H583" s="10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</row>
    <row r="584">
      <c r="A584" s="46"/>
      <c r="B584" s="46"/>
      <c r="C584" s="10"/>
      <c r="D584" s="10"/>
      <c r="E584" s="46"/>
      <c r="F584" s="46"/>
      <c r="G584" s="46"/>
      <c r="H584" s="10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>
      <c r="A585" s="46"/>
      <c r="B585" s="46"/>
      <c r="C585" s="10"/>
      <c r="D585" s="10"/>
      <c r="E585" s="46"/>
      <c r="F585" s="46"/>
      <c r="G585" s="46"/>
      <c r="H585" s="10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</row>
    <row r="586">
      <c r="A586" s="46"/>
      <c r="B586" s="46"/>
      <c r="C586" s="10"/>
      <c r="D586" s="10"/>
      <c r="E586" s="46"/>
      <c r="F586" s="46"/>
      <c r="G586" s="46"/>
      <c r="H586" s="10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>
      <c r="A587" s="46"/>
      <c r="B587" s="46"/>
      <c r="C587" s="10"/>
      <c r="D587" s="10"/>
      <c r="E587" s="46"/>
      <c r="F587" s="46"/>
      <c r="G587" s="46"/>
      <c r="H587" s="10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</row>
    <row r="588">
      <c r="A588" s="46"/>
      <c r="B588" s="46"/>
      <c r="C588" s="10"/>
      <c r="D588" s="10"/>
      <c r="E588" s="46"/>
      <c r="F588" s="46"/>
      <c r="G588" s="46"/>
      <c r="H588" s="10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>
      <c r="A589" s="46"/>
      <c r="B589" s="46"/>
      <c r="C589" s="10"/>
      <c r="D589" s="10"/>
      <c r="E589" s="46"/>
      <c r="F589" s="46"/>
      <c r="G589" s="46"/>
      <c r="H589" s="10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</row>
    <row r="590">
      <c r="A590" s="46"/>
      <c r="B590" s="46"/>
      <c r="C590" s="10"/>
      <c r="D590" s="10"/>
      <c r="E590" s="46"/>
      <c r="F590" s="46"/>
      <c r="G590" s="46"/>
      <c r="H590" s="10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>
      <c r="A591" s="46"/>
      <c r="B591" s="46"/>
      <c r="C591" s="10"/>
      <c r="D591" s="10"/>
      <c r="E591" s="46"/>
      <c r="F591" s="46"/>
      <c r="G591" s="46"/>
      <c r="H591" s="10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</row>
    <row r="592">
      <c r="A592" s="46"/>
      <c r="B592" s="46"/>
      <c r="C592" s="10"/>
      <c r="D592" s="10"/>
      <c r="E592" s="46"/>
      <c r="F592" s="46"/>
      <c r="G592" s="46"/>
      <c r="H592" s="10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>
      <c r="A593" s="46"/>
      <c r="B593" s="46"/>
      <c r="C593" s="10"/>
      <c r="D593" s="10"/>
      <c r="E593" s="46"/>
      <c r="F593" s="46"/>
      <c r="G593" s="46"/>
      <c r="H593" s="10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</row>
    <row r="594">
      <c r="A594" s="46"/>
      <c r="B594" s="46"/>
      <c r="C594" s="10"/>
      <c r="D594" s="10"/>
      <c r="E594" s="46"/>
      <c r="F594" s="46"/>
      <c r="G594" s="46"/>
      <c r="H594" s="10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>
      <c r="A595" s="46"/>
      <c r="B595" s="46"/>
      <c r="C595" s="10"/>
      <c r="D595" s="10"/>
      <c r="E595" s="46"/>
      <c r="F595" s="46"/>
      <c r="G595" s="46"/>
      <c r="H595" s="10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</row>
    <row r="596">
      <c r="A596" s="46"/>
      <c r="B596" s="46"/>
      <c r="C596" s="10"/>
      <c r="D596" s="10"/>
      <c r="E596" s="46"/>
      <c r="F596" s="46"/>
      <c r="G596" s="46"/>
      <c r="H596" s="10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>
      <c r="A597" s="46"/>
      <c r="B597" s="46"/>
      <c r="C597" s="10"/>
      <c r="D597" s="10"/>
      <c r="E597" s="46"/>
      <c r="F597" s="46"/>
      <c r="G597" s="46"/>
      <c r="H597" s="10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</row>
    <row r="598">
      <c r="A598" s="46"/>
      <c r="B598" s="46"/>
      <c r="C598" s="10"/>
      <c r="D598" s="10"/>
      <c r="E598" s="46"/>
      <c r="F598" s="46"/>
      <c r="G598" s="46"/>
      <c r="H598" s="10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>
      <c r="A599" s="46"/>
      <c r="B599" s="46"/>
      <c r="C599" s="10"/>
      <c r="D599" s="10"/>
      <c r="E599" s="46"/>
      <c r="F599" s="46"/>
      <c r="G599" s="46"/>
      <c r="H599" s="10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</row>
    <row r="600">
      <c r="A600" s="46"/>
      <c r="B600" s="46"/>
      <c r="C600" s="10"/>
      <c r="D600" s="10"/>
      <c r="E600" s="46"/>
      <c r="F600" s="46"/>
      <c r="G600" s="46"/>
      <c r="H600" s="10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>
      <c r="A601" s="46"/>
      <c r="B601" s="46"/>
      <c r="C601" s="10"/>
      <c r="D601" s="10"/>
      <c r="E601" s="46"/>
      <c r="F601" s="46"/>
      <c r="G601" s="46"/>
      <c r="H601" s="10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</row>
    <row r="602">
      <c r="A602" s="46"/>
      <c r="B602" s="46"/>
      <c r="C602" s="10"/>
      <c r="D602" s="10"/>
      <c r="E602" s="46"/>
      <c r="F602" s="46"/>
      <c r="G602" s="46"/>
      <c r="H602" s="10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>
      <c r="A603" s="46"/>
      <c r="B603" s="46"/>
      <c r="C603" s="10"/>
      <c r="D603" s="10"/>
      <c r="E603" s="46"/>
      <c r="F603" s="46"/>
      <c r="G603" s="46"/>
      <c r="H603" s="10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</row>
    <row r="604">
      <c r="A604" s="46"/>
      <c r="B604" s="46"/>
      <c r="C604" s="10"/>
      <c r="D604" s="10"/>
      <c r="E604" s="46"/>
      <c r="F604" s="46"/>
      <c r="G604" s="46"/>
      <c r="H604" s="10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>
      <c r="A605" s="46"/>
      <c r="B605" s="46"/>
      <c r="C605" s="10"/>
      <c r="D605" s="10"/>
      <c r="E605" s="46"/>
      <c r="F605" s="46"/>
      <c r="G605" s="46"/>
      <c r="H605" s="10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</row>
    <row r="606">
      <c r="A606" s="46"/>
      <c r="B606" s="46"/>
      <c r="C606" s="10"/>
      <c r="D606" s="10"/>
      <c r="E606" s="46"/>
      <c r="F606" s="46"/>
      <c r="G606" s="46"/>
      <c r="H606" s="10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>
      <c r="A607" s="46"/>
      <c r="B607" s="46"/>
      <c r="C607" s="10"/>
      <c r="D607" s="10"/>
      <c r="E607" s="46"/>
      <c r="F607" s="46"/>
      <c r="G607" s="46"/>
      <c r="H607" s="10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</row>
    <row r="608">
      <c r="A608" s="46"/>
      <c r="B608" s="46"/>
      <c r="C608" s="10"/>
      <c r="D608" s="10"/>
      <c r="E608" s="46"/>
      <c r="F608" s="46"/>
      <c r="G608" s="46"/>
      <c r="H608" s="10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>
      <c r="A609" s="46"/>
      <c r="B609" s="46"/>
      <c r="C609" s="10"/>
      <c r="D609" s="10"/>
      <c r="E609" s="46"/>
      <c r="F609" s="46"/>
      <c r="G609" s="46"/>
      <c r="H609" s="10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</row>
    <row r="610">
      <c r="A610" s="46"/>
      <c r="B610" s="46"/>
      <c r="C610" s="10"/>
      <c r="D610" s="10"/>
      <c r="E610" s="46"/>
      <c r="F610" s="46"/>
      <c r="G610" s="46"/>
      <c r="H610" s="10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>
      <c r="A611" s="46"/>
      <c r="B611" s="46"/>
      <c r="C611" s="10"/>
      <c r="D611" s="10"/>
      <c r="E611" s="46"/>
      <c r="F611" s="46"/>
      <c r="G611" s="46"/>
      <c r="H611" s="10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</row>
    <row r="612">
      <c r="A612" s="46"/>
      <c r="B612" s="46"/>
      <c r="C612" s="10"/>
      <c r="D612" s="10"/>
      <c r="E612" s="46"/>
      <c r="F612" s="46"/>
      <c r="G612" s="46"/>
      <c r="H612" s="10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>
      <c r="A613" s="46"/>
      <c r="B613" s="46"/>
      <c r="C613" s="10"/>
      <c r="D613" s="10"/>
      <c r="E613" s="46"/>
      <c r="F613" s="46"/>
      <c r="G613" s="46"/>
      <c r="H613" s="10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</row>
    <row r="614">
      <c r="A614" s="46"/>
      <c r="B614" s="46"/>
      <c r="C614" s="10"/>
      <c r="D614" s="10"/>
      <c r="E614" s="46"/>
      <c r="F614" s="46"/>
      <c r="G614" s="46"/>
      <c r="H614" s="10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>
      <c r="A615" s="46"/>
      <c r="B615" s="46"/>
      <c r="C615" s="10"/>
      <c r="D615" s="10"/>
      <c r="E615" s="46"/>
      <c r="F615" s="46"/>
      <c r="G615" s="46"/>
      <c r="H615" s="10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</row>
    <row r="616">
      <c r="A616" s="46"/>
      <c r="B616" s="46"/>
      <c r="C616" s="10"/>
      <c r="D616" s="10"/>
      <c r="E616" s="46"/>
      <c r="F616" s="46"/>
      <c r="G616" s="46"/>
      <c r="H616" s="10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>
      <c r="A617" s="46"/>
      <c r="B617" s="46"/>
      <c r="C617" s="10"/>
      <c r="D617" s="10"/>
      <c r="E617" s="46"/>
      <c r="F617" s="46"/>
      <c r="G617" s="46"/>
      <c r="H617" s="10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</row>
    <row r="618">
      <c r="A618" s="46"/>
      <c r="B618" s="46"/>
      <c r="C618" s="10"/>
      <c r="D618" s="10"/>
      <c r="E618" s="46"/>
      <c r="F618" s="46"/>
      <c r="G618" s="46"/>
      <c r="H618" s="10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>
      <c r="A619" s="46"/>
      <c r="B619" s="46"/>
      <c r="C619" s="10"/>
      <c r="D619" s="10"/>
      <c r="E619" s="46"/>
      <c r="F619" s="46"/>
      <c r="G619" s="46"/>
      <c r="H619" s="10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</row>
    <row r="620">
      <c r="A620" s="46"/>
      <c r="B620" s="46"/>
      <c r="C620" s="10"/>
      <c r="D620" s="10"/>
      <c r="E620" s="46"/>
      <c r="F620" s="46"/>
      <c r="G620" s="46"/>
      <c r="H620" s="10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>
      <c r="A621" s="46"/>
      <c r="B621" s="46"/>
      <c r="C621" s="10"/>
      <c r="D621" s="10"/>
      <c r="E621" s="46"/>
      <c r="F621" s="46"/>
      <c r="G621" s="46"/>
      <c r="H621" s="10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</row>
    <row r="622">
      <c r="A622" s="46"/>
      <c r="B622" s="46"/>
      <c r="C622" s="10"/>
      <c r="D622" s="10"/>
      <c r="E622" s="46"/>
      <c r="F622" s="46"/>
      <c r="G622" s="46"/>
      <c r="H622" s="10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>
      <c r="A623" s="46"/>
      <c r="B623" s="46"/>
      <c r="C623" s="10"/>
      <c r="D623" s="10"/>
      <c r="E623" s="46"/>
      <c r="F623" s="46"/>
      <c r="G623" s="46"/>
      <c r="H623" s="10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</row>
    <row r="624">
      <c r="A624" s="46"/>
      <c r="B624" s="46"/>
      <c r="C624" s="10"/>
      <c r="D624" s="10"/>
      <c r="E624" s="46"/>
      <c r="F624" s="46"/>
      <c r="G624" s="46"/>
      <c r="H624" s="10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>
      <c r="A625" s="46"/>
      <c r="B625" s="46"/>
      <c r="C625" s="10"/>
      <c r="D625" s="10"/>
      <c r="E625" s="46"/>
      <c r="F625" s="46"/>
      <c r="G625" s="46"/>
      <c r="H625" s="10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</row>
    <row r="626">
      <c r="A626" s="46"/>
      <c r="B626" s="46"/>
      <c r="C626" s="10"/>
      <c r="D626" s="10"/>
      <c r="E626" s="46"/>
      <c r="F626" s="46"/>
      <c r="G626" s="46"/>
      <c r="H626" s="10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>
      <c r="A627" s="46"/>
      <c r="B627" s="46"/>
      <c r="C627" s="10"/>
      <c r="D627" s="10"/>
      <c r="E627" s="46"/>
      <c r="F627" s="46"/>
      <c r="G627" s="46"/>
      <c r="H627" s="10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</row>
    <row r="628">
      <c r="A628" s="46"/>
      <c r="B628" s="46"/>
      <c r="C628" s="10"/>
      <c r="D628" s="10"/>
      <c r="E628" s="46"/>
      <c r="F628" s="46"/>
      <c r="G628" s="46"/>
      <c r="H628" s="10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>
      <c r="A629" s="46"/>
      <c r="B629" s="46"/>
      <c r="C629" s="10"/>
      <c r="D629" s="10"/>
      <c r="E629" s="46"/>
      <c r="F629" s="46"/>
      <c r="G629" s="46"/>
      <c r="H629" s="10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</row>
    <row r="630">
      <c r="A630" s="46"/>
      <c r="B630" s="46"/>
      <c r="C630" s="10"/>
      <c r="D630" s="10"/>
      <c r="E630" s="46"/>
      <c r="F630" s="46"/>
      <c r="G630" s="46"/>
      <c r="H630" s="10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>
      <c r="A631" s="46"/>
      <c r="B631" s="46"/>
      <c r="C631" s="10"/>
      <c r="D631" s="10"/>
      <c r="E631" s="46"/>
      <c r="F631" s="46"/>
      <c r="G631" s="46"/>
      <c r="H631" s="10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</row>
    <row r="632">
      <c r="A632" s="46"/>
      <c r="B632" s="46"/>
      <c r="C632" s="10"/>
      <c r="D632" s="10"/>
      <c r="E632" s="46"/>
      <c r="F632" s="46"/>
      <c r="G632" s="46"/>
      <c r="H632" s="10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>
      <c r="A633" s="46"/>
      <c r="B633" s="46"/>
      <c r="C633" s="10"/>
      <c r="D633" s="10"/>
      <c r="E633" s="46"/>
      <c r="F633" s="46"/>
      <c r="G633" s="46"/>
      <c r="H633" s="10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</row>
    <row r="634">
      <c r="A634" s="46"/>
      <c r="B634" s="46"/>
      <c r="C634" s="10"/>
      <c r="D634" s="10"/>
      <c r="E634" s="46"/>
      <c r="F634" s="46"/>
      <c r="G634" s="46"/>
      <c r="H634" s="10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>
      <c r="A635" s="46"/>
      <c r="B635" s="46"/>
      <c r="C635" s="10"/>
      <c r="D635" s="10"/>
      <c r="E635" s="46"/>
      <c r="F635" s="46"/>
      <c r="G635" s="46"/>
      <c r="H635" s="10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</row>
    <row r="636">
      <c r="A636" s="46"/>
      <c r="B636" s="46"/>
      <c r="C636" s="10"/>
      <c r="D636" s="10"/>
      <c r="E636" s="46"/>
      <c r="F636" s="46"/>
      <c r="G636" s="46"/>
      <c r="H636" s="10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>
      <c r="A637" s="46"/>
      <c r="B637" s="46"/>
      <c r="C637" s="10"/>
      <c r="D637" s="10"/>
      <c r="E637" s="46"/>
      <c r="F637" s="46"/>
      <c r="G637" s="46"/>
      <c r="H637" s="10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</row>
    <row r="638">
      <c r="A638" s="46"/>
      <c r="B638" s="46"/>
      <c r="C638" s="10"/>
      <c r="D638" s="10"/>
      <c r="E638" s="46"/>
      <c r="F638" s="46"/>
      <c r="G638" s="46"/>
      <c r="H638" s="10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>
      <c r="A639" s="46"/>
      <c r="B639" s="46"/>
      <c r="C639" s="10"/>
      <c r="D639" s="10"/>
      <c r="E639" s="46"/>
      <c r="F639" s="46"/>
      <c r="G639" s="46"/>
      <c r="H639" s="10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</row>
    <row r="640">
      <c r="A640" s="46"/>
      <c r="B640" s="46"/>
      <c r="C640" s="10"/>
      <c r="D640" s="10"/>
      <c r="E640" s="46"/>
      <c r="F640" s="46"/>
      <c r="G640" s="46"/>
      <c r="H640" s="10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>
      <c r="A641" s="46"/>
      <c r="B641" s="46"/>
      <c r="C641" s="10"/>
      <c r="D641" s="10"/>
      <c r="E641" s="46"/>
      <c r="F641" s="46"/>
      <c r="G641" s="46"/>
      <c r="H641" s="10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</row>
    <row r="642">
      <c r="A642" s="46"/>
      <c r="B642" s="46"/>
      <c r="C642" s="10"/>
      <c r="D642" s="10"/>
      <c r="E642" s="46"/>
      <c r="F642" s="46"/>
      <c r="G642" s="46"/>
      <c r="H642" s="10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>
      <c r="A643" s="46"/>
      <c r="B643" s="46"/>
      <c r="C643" s="10"/>
      <c r="D643" s="10"/>
      <c r="E643" s="46"/>
      <c r="F643" s="46"/>
      <c r="G643" s="46"/>
      <c r="H643" s="10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</row>
    <row r="644">
      <c r="A644" s="46"/>
      <c r="B644" s="46"/>
      <c r="C644" s="10"/>
      <c r="D644" s="10"/>
      <c r="E644" s="46"/>
      <c r="F644" s="46"/>
      <c r="G644" s="46"/>
      <c r="H644" s="10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>
      <c r="A645" s="46"/>
      <c r="B645" s="46"/>
      <c r="C645" s="10"/>
      <c r="D645" s="10"/>
      <c r="E645" s="46"/>
      <c r="F645" s="46"/>
      <c r="G645" s="46"/>
      <c r="H645" s="10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</row>
    <row r="646">
      <c r="A646" s="46"/>
      <c r="B646" s="46"/>
      <c r="C646" s="10"/>
      <c r="D646" s="10"/>
      <c r="E646" s="46"/>
      <c r="F646" s="46"/>
      <c r="G646" s="46"/>
      <c r="H646" s="10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>
      <c r="A647" s="46"/>
      <c r="B647" s="46"/>
      <c r="C647" s="10"/>
      <c r="D647" s="10"/>
      <c r="E647" s="46"/>
      <c r="F647" s="46"/>
      <c r="G647" s="46"/>
      <c r="H647" s="10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</row>
    <row r="648">
      <c r="A648" s="46"/>
      <c r="B648" s="46"/>
      <c r="C648" s="10"/>
      <c r="D648" s="10"/>
      <c r="E648" s="46"/>
      <c r="F648" s="46"/>
      <c r="G648" s="46"/>
      <c r="H648" s="10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>
      <c r="A649" s="46"/>
      <c r="B649" s="46"/>
      <c r="C649" s="10"/>
      <c r="D649" s="10"/>
      <c r="E649" s="46"/>
      <c r="F649" s="46"/>
      <c r="G649" s="46"/>
      <c r="H649" s="10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</row>
    <row r="650">
      <c r="A650" s="46"/>
      <c r="B650" s="46"/>
      <c r="C650" s="10"/>
      <c r="D650" s="10"/>
      <c r="E650" s="46"/>
      <c r="F650" s="46"/>
      <c r="G650" s="46"/>
      <c r="H650" s="10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>
      <c r="A651" s="46"/>
      <c r="B651" s="46"/>
      <c r="C651" s="10"/>
      <c r="D651" s="10"/>
      <c r="E651" s="46"/>
      <c r="F651" s="46"/>
      <c r="G651" s="46"/>
      <c r="H651" s="10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</row>
    <row r="652">
      <c r="A652" s="46"/>
      <c r="B652" s="46"/>
      <c r="C652" s="10"/>
      <c r="D652" s="10"/>
      <c r="E652" s="46"/>
      <c r="F652" s="46"/>
      <c r="G652" s="46"/>
      <c r="H652" s="10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>
      <c r="A653" s="46"/>
      <c r="B653" s="46"/>
      <c r="C653" s="10"/>
      <c r="D653" s="10"/>
      <c r="E653" s="46"/>
      <c r="F653" s="46"/>
      <c r="G653" s="46"/>
      <c r="H653" s="10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</row>
    <row r="654">
      <c r="A654" s="46"/>
      <c r="B654" s="46"/>
      <c r="C654" s="10"/>
      <c r="D654" s="10"/>
      <c r="E654" s="46"/>
      <c r="F654" s="46"/>
      <c r="G654" s="46"/>
      <c r="H654" s="10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>
      <c r="A655" s="46"/>
      <c r="B655" s="46"/>
      <c r="C655" s="10"/>
      <c r="D655" s="10"/>
      <c r="E655" s="46"/>
      <c r="F655" s="46"/>
      <c r="G655" s="46"/>
      <c r="H655" s="10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</row>
    <row r="656">
      <c r="A656" s="46"/>
      <c r="B656" s="46"/>
      <c r="C656" s="10"/>
      <c r="D656" s="10"/>
      <c r="E656" s="46"/>
      <c r="F656" s="46"/>
      <c r="G656" s="46"/>
      <c r="H656" s="10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>
      <c r="A657" s="46"/>
      <c r="B657" s="46"/>
      <c r="C657" s="10"/>
      <c r="D657" s="10"/>
      <c r="E657" s="46"/>
      <c r="F657" s="46"/>
      <c r="G657" s="46"/>
      <c r="H657" s="10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</row>
    <row r="658">
      <c r="A658" s="46"/>
      <c r="B658" s="46"/>
      <c r="C658" s="10"/>
      <c r="D658" s="10"/>
      <c r="E658" s="46"/>
      <c r="F658" s="46"/>
      <c r="G658" s="46"/>
      <c r="H658" s="10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>
      <c r="A659" s="46"/>
      <c r="B659" s="46"/>
      <c r="C659" s="10"/>
      <c r="D659" s="10"/>
      <c r="E659" s="46"/>
      <c r="F659" s="46"/>
      <c r="G659" s="46"/>
      <c r="H659" s="10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</row>
    <row r="660">
      <c r="A660" s="46"/>
      <c r="B660" s="46"/>
      <c r="C660" s="10"/>
      <c r="D660" s="10"/>
      <c r="E660" s="46"/>
      <c r="F660" s="46"/>
      <c r="G660" s="46"/>
      <c r="H660" s="10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>
      <c r="A661" s="46"/>
      <c r="B661" s="46"/>
      <c r="C661" s="10"/>
      <c r="D661" s="10"/>
      <c r="E661" s="46"/>
      <c r="F661" s="46"/>
      <c r="G661" s="46"/>
      <c r="H661" s="10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</row>
    <row r="662">
      <c r="A662" s="46"/>
      <c r="B662" s="46"/>
      <c r="C662" s="10"/>
      <c r="D662" s="10"/>
      <c r="E662" s="46"/>
      <c r="F662" s="46"/>
      <c r="G662" s="46"/>
      <c r="H662" s="10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>
      <c r="A663" s="46"/>
      <c r="B663" s="46"/>
      <c r="C663" s="10"/>
      <c r="D663" s="10"/>
      <c r="E663" s="46"/>
      <c r="F663" s="46"/>
      <c r="G663" s="46"/>
      <c r="H663" s="10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</row>
    <row r="664">
      <c r="A664" s="46"/>
      <c r="B664" s="46"/>
      <c r="C664" s="10"/>
      <c r="D664" s="10"/>
      <c r="E664" s="46"/>
      <c r="F664" s="46"/>
      <c r="G664" s="46"/>
      <c r="H664" s="10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>
      <c r="A665" s="46"/>
      <c r="B665" s="46"/>
      <c r="C665" s="10"/>
      <c r="D665" s="10"/>
      <c r="E665" s="46"/>
      <c r="F665" s="46"/>
      <c r="G665" s="46"/>
      <c r="H665" s="10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</row>
    <row r="666">
      <c r="A666" s="46"/>
      <c r="B666" s="46"/>
      <c r="C666" s="10"/>
      <c r="D666" s="10"/>
      <c r="E666" s="46"/>
      <c r="F666" s="46"/>
      <c r="G666" s="46"/>
      <c r="H666" s="10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>
      <c r="A667" s="46"/>
      <c r="B667" s="46"/>
      <c r="C667" s="10"/>
      <c r="D667" s="10"/>
      <c r="E667" s="46"/>
      <c r="F667" s="46"/>
      <c r="G667" s="46"/>
      <c r="H667" s="10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</row>
    <row r="668">
      <c r="A668" s="46"/>
      <c r="B668" s="46"/>
      <c r="C668" s="10"/>
      <c r="D668" s="10"/>
      <c r="E668" s="46"/>
      <c r="F668" s="46"/>
      <c r="G668" s="46"/>
      <c r="H668" s="10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>
      <c r="A669" s="46"/>
      <c r="B669" s="46"/>
      <c r="C669" s="10"/>
      <c r="D669" s="10"/>
      <c r="E669" s="46"/>
      <c r="F669" s="46"/>
      <c r="G669" s="46"/>
      <c r="H669" s="10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</row>
    <row r="670">
      <c r="A670" s="46"/>
      <c r="B670" s="46"/>
      <c r="C670" s="10"/>
      <c r="D670" s="10"/>
      <c r="E670" s="46"/>
      <c r="F670" s="46"/>
      <c r="G670" s="46"/>
      <c r="H670" s="10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>
      <c r="A671" s="46"/>
      <c r="B671" s="46"/>
      <c r="C671" s="10"/>
      <c r="D671" s="10"/>
      <c r="E671" s="46"/>
      <c r="F671" s="46"/>
      <c r="G671" s="46"/>
      <c r="H671" s="10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</row>
    <row r="672">
      <c r="A672" s="46"/>
      <c r="B672" s="46"/>
      <c r="C672" s="10"/>
      <c r="D672" s="10"/>
      <c r="E672" s="46"/>
      <c r="F672" s="46"/>
      <c r="G672" s="46"/>
      <c r="H672" s="10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>
      <c r="A673" s="46"/>
      <c r="B673" s="46"/>
      <c r="C673" s="10"/>
      <c r="D673" s="10"/>
      <c r="E673" s="46"/>
      <c r="F673" s="46"/>
      <c r="G673" s="46"/>
      <c r="H673" s="10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</row>
    <row r="674">
      <c r="A674" s="46"/>
      <c r="B674" s="46"/>
      <c r="C674" s="10"/>
      <c r="D674" s="10"/>
      <c r="E674" s="46"/>
      <c r="F674" s="46"/>
      <c r="G674" s="46"/>
      <c r="H674" s="10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>
      <c r="A675" s="46"/>
      <c r="B675" s="46"/>
      <c r="C675" s="10"/>
      <c r="D675" s="10"/>
      <c r="E675" s="46"/>
      <c r="F675" s="46"/>
      <c r="G675" s="46"/>
      <c r="H675" s="10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</row>
    <row r="676">
      <c r="A676" s="46"/>
      <c r="B676" s="46"/>
      <c r="C676" s="10"/>
      <c r="D676" s="10"/>
      <c r="E676" s="46"/>
      <c r="F676" s="46"/>
      <c r="G676" s="46"/>
      <c r="H676" s="10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>
      <c r="A677" s="46"/>
      <c r="B677" s="46"/>
      <c r="C677" s="10"/>
      <c r="D677" s="10"/>
      <c r="E677" s="46"/>
      <c r="F677" s="46"/>
      <c r="G677" s="46"/>
      <c r="H677" s="10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</row>
    <row r="678">
      <c r="A678" s="46"/>
      <c r="B678" s="46"/>
      <c r="C678" s="10"/>
      <c r="D678" s="10"/>
      <c r="E678" s="46"/>
      <c r="F678" s="46"/>
      <c r="G678" s="46"/>
      <c r="H678" s="10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>
      <c r="A679" s="46"/>
      <c r="B679" s="46"/>
      <c r="C679" s="10"/>
      <c r="D679" s="10"/>
      <c r="E679" s="46"/>
      <c r="F679" s="46"/>
      <c r="G679" s="46"/>
      <c r="H679" s="10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</row>
    <row r="680">
      <c r="A680" s="46"/>
      <c r="B680" s="46"/>
      <c r="C680" s="10"/>
      <c r="D680" s="10"/>
      <c r="E680" s="46"/>
      <c r="F680" s="46"/>
      <c r="G680" s="46"/>
      <c r="H680" s="10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>
      <c r="A681" s="46"/>
      <c r="B681" s="46"/>
      <c r="C681" s="10"/>
      <c r="D681" s="10"/>
      <c r="E681" s="46"/>
      <c r="F681" s="46"/>
      <c r="G681" s="46"/>
      <c r="H681" s="10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</row>
    <row r="682">
      <c r="A682" s="46"/>
      <c r="B682" s="46"/>
      <c r="C682" s="10"/>
      <c r="D682" s="10"/>
      <c r="E682" s="46"/>
      <c r="F682" s="46"/>
      <c r="G682" s="46"/>
      <c r="H682" s="10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>
      <c r="A683" s="46"/>
      <c r="B683" s="46"/>
      <c r="C683" s="10"/>
      <c r="D683" s="10"/>
      <c r="E683" s="46"/>
      <c r="F683" s="46"/>
      <c r="G683" s="46"/>
      <c r="H683" s="10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</row>
    <row r="684">
      <c r="A684" s="46"/>
      <c r="B684" s="46"/>
      <c r="C684" s="10"/>
      <c r="D684" s="10"/>
      <c r="E684" s="46"/>
      <c r="F684" s="46"/>
      <c r="G684" s="46"/>
      <c r="H684" s="10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>
      <c r="A685" s="46"/>
      <c r="B685" s="46"/>
      <c r="C685" s="10"/>
      <c r="D685" s="10"/>
      <c r="E685" s="46"/>
      <c r="F685" s="46"/>
      <c r="G685" s="46"/>
      <c r="H685" s="10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</row>
    <row r="686">
      <c r="A686" s="46"/>
      <c r="B686" s="46"/>
      <c r="C686" s="10"/>
      <c r="D686" s="10"/>
      <c r="E686" s="46"/>
      <c r="F686" s="46"/>
      <c r="G686" s="46"/>
      <c r="H686" s="10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>
      <c r="A687" s="46"/>
      <c r="B687" s="46"/>
      <c r="C687" s="10"/>
      <c r="D687" s="10"/>
      <c r="E687" s="46"/>
      <c r="F687" s="46"/>
      <c r="G687" s="46"/>
      <c r="H687" s="10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</row>
    <row r="688">
      <c r="A688" s="46"/>
      <c r="B688" s="46"/>
      <c r="C688" s="10"/>
      <c r="D688" s="10"/>
      <c r="E688" s="46"/>
      <c r="F688" s="46"/>
      <c r="G688" s="46"/>
      <c r="H688" s="10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>
      <c r="A689" s="46"/>
      <c r="B689" s="46"/>
      <c r="C689" s="10"/>
      <c r="D689" s="10"/>
      <c r="E689" s="46"/>
      <c r="F689" s="46"/>
      <c r="G689" s="46"/>
      <c r="H689" s="10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</row>
    <row r="690">
      <c r="A690" s="46"/>
      <c r="B690" s="46"/>
      <c r="C690" s="10"/>
      <c r="D690" s="10"/>
      <c r="E690" s="46"/>
      <c r="F690" s="46"/>
      <c r="G690" s="46"/>
      <c r="H690" s="10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>
      <c r="A691" s="46"/>
      <c r="B691" s="46"/>
      <c r="C691" s="10"/>
      <c r="D691" s="10"/>
      <c r="E691" s="46"/>
      <c r="F691" s="46"/>
      <c r="G691" s="46"/>
      <c r="H691" s="10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</row>
    <row r="692">
      <c r="A692" s="46"/>
      <c r="B692" s="46"/>
      <c r="C692" s="10"/>
      <c r="D692" s="10"/>
      <c r="E692" s="46"/>
      <c r="F692" s="46"/>
      <c r="G692" s="46"/>
      <c r="H692" s="10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>
      <c r="A693" s="46"/>
      <c r="B693" s="46"/>
      <c r="C693" s="10"/>
      <c r="D693" s="10"/>
      <c r="E693" s="46"/>
      <c r="F693" s="46"/>
      <c r="G693" s="46"/>
      <c r="H693" s="10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</row>
    <row r="694">
      <c r="A694" s="46"/>
      <c r="B694" s="46"/>
      <c r="C694" s="10"/>
      <c r="D694" s="10"/>
      <c r="E694" s="46"/>
      <c r="F694" s="46"/>
      <c r="G694" s="46"/>
      <c r="H694" s="10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>
      <c r="A695" s="46"/>
      <c r="B695" s="46"/>
      <c r="C695" s="10"/>
      <c r="D695" s="10"/>
      <c r="E695" s="46"/>
      <c r="F695" s="46"/>
      <c r="G695" s="46"/>
      <c r="H695" s="10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</row>
    <row r="696">
      <c r="A696" s="46"/>
      <c r="B696" s="46"/>
      <c r="C696" s="10"/>
      <c r="D696" s="10"/>
      <c r="E696" s="46"/>
      <c r="F696" s="46"/>
      <c r="G696" s="46"/>
      <c r="H696" s="10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>
      <c r="A697" s="46"/>
      <c r="B697" s="46"/>
      <c r="C697" s="10"/>
      <c r="D697" s="10"/>
      <c r="E697" s="46"/>
      <c r="F697" s="46"/>
      <c r="G697" s="46"/>
      <c r="H697" s="10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</row>
    <row r="698">
      <c r="A698" s="46"/>
      <c r="B698" s="46"/>
      <c r="C698" s="10"/>
      <c r="D698" s="10"/>
      <c r="E698" s="46"/>
      <c r="F698" s="46"/>
      <c r="G698" s="46"/>
      <c r="H698" s="10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>
      <c r="A699" s="46"/>
      <c r="B699" s="46"/>
      <c r="C699" s="10"/>
      <c r="D699" s="10"/>
      <c r="E699" s="46"/>
      <c r="F699" s="46"/>
      <c r="G699" s="46"/>
      <c r="H699" s="10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</row>
    <row r="700">
      <c r="A700" s="46"/>
      <c r="B700" s="46"/>
      <c r="C700" s="10"/>
      <c r="D700" s="10"/>
      <c r="E700" s="46"/>
      <c r="F700" s="46"/>
      <c r="G700" s="46"/>
      <c r="H700" s="10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>
      <c r="A701" s="46"/>
      <c r="B701" s="46"/>
      <c r="C701" s="10"/>
      <c r="D701" s="10"/>
      <c r="E701" s="46"/>
      <c r="F701" s="46"/>
      <c r="G701" s="46"/>
      <c r="H701" s="10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</row>
    <row r="702">
      <c r="A702" s="46"/>
      <c r="B702" s="46"/>
      <c r="C702" s="10"/>
      <c r="D702" s="10"/>
      <c r="E702" s="46"/>
      <c r="F702" s="46"/>
      <c r="G702" s="46"/>
      <c r="H702" s="10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>
      <c r="A703" s="46"/>
      <c r="B703" s="46"/>
      <c r="C703" s="10"/>
      <c r="D703" s="10"/>
      <c r="E703" s="46"/>
      <c r="F703" s="46"/>
      <c r="G703" s="46"/>
      <c r="H703" s="10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</row>
    <row r="704">
      <c r="A704" s="46"/>
      <c r="B704" s="46"/>
      <c r="C704" s="10"/>
      <c r="D704" s="10"/>
      <c r="E704" s="46"/>
      <c r="F704" s="46"/>
      <c r="G704" s="46"/>
      <c r="H704" s="10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>
      <c r="A705" s="46"/>
      <c r="B705" s="46"/>
      <c r="C705" s="10"/>
      <c r="D705" s="10"/>
      <c r="E705" s="46"/>
      <c r="F705" s="46"/>
      <c r="G705" s="46"/>
      <c r="H705" s="10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</row>
    <row r="706">
      <c r="A706" s="46"/>
      <c r="B706" s="46"/>
      <c r="C706" s="10"/>
      <c r="D706" s="10"/>
      <c r="E706" s="46"/>
      <c r="F706" s="46"/>
      <c r="G706" s="46"/>
      <c r="H706" s="10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>
      <c r="A707" s="46"/>
      <c r="B707" s="46"/>
      <c r="C707" s="10"/>
      <c r="D707" s="10"/>
      <c r="E707" s="46"/>
      <c r="F707" s="46"/>
      <c r="G707" s="46"/>
      <c r="H707" s="10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</row>
    <row r="708">
      <c r="A708" s="46"/>
      <c r="B708" s="46"/>
      <c r="C708" s="10"/>
      <c r="D708" s="10"/>
      <c r="E708" s="46"/>
      <c r="F708" s="46"/>
      <c r="G708" s="46"/>
      <c r="H708" s="10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>
      <c r="A709" s="46"/>
      <c r="B709" s="46"/>
      <c r="C709" s="10"/>
      <c r="D709" s="10"/>
      <c r="E709" s="46"/>
      <c r="F709" s="46"/>
      <c r="G709" s="46"/>
      <c r="H709" s="10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</row>
    <row r="710">
      <c r="A710" s="46"/>
      <c r="B710" s="46"/>
      <c r="C710" s="10"/>
      <c r="D710" s="10"/>
      <c r="E710" s="46"/>
      <c r="F710" s="46"/>
      <c r="G710" s="46"/>
      <c r="H710" s="10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>
      <c r="A711" s="46"/>
      <c r="B711" s="46"/>
      <c r="C711" s="10"/>
      <c r="D711" s="10"/>
      <c r="E711" s="46"/>
      <c r="F711" s="46"/>
      <c r="G711" s="46"/>
      <c r="H711" s="10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</row>
    <row r="712">
      <c r="A712" s="46"/>
      <c r="B712" s="46"/>
      <c r="C712" s="10"/>
      <c r="D712" s="10"/>
      <c r="E712" s="46"/>
      <c r="F712" s="46"/>
      <c r="G712" s="46"/>
      <c r="H712" s="10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>
      <c r="A713" s="46"/>
      <c r="B713" s="46"/>
      <c r="C713" s="10"/>
      <c r="D713" s="10"/>
      <c r="E713" s="46"/>
      <c r="F713" s="46"/>
      <c r="G713" s="46"/>
      <c r="H713" s="10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