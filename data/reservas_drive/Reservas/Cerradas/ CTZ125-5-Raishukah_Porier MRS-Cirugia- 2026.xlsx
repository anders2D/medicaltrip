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 ITINERARIO DE TRATAMIENTO DERM" sheetId="2" r:id="rId5"/>
    <sheet state="visible" name=" COSTEO DE TRATAMIENTO DERMATOL" sheetId="3" r:id="rId6"/>
    <sheet state="visible" name="PREPARACION DE LOS TRATAMIENTOS" sheetId="4" r:id="rId7"/>
    <sheet state="visible" name="COSTEO VIDEO LLAMADA DERMATOLOG" sheetId="5" r:id="rId8"/>
    <sheet state="visible" name="COSTEO  VIDEO LLAMADA CIRUJANO" sheetId="6" r:id="rId9"/>
    <sheet state="visible" name="  COSTEO CIRUGIA" sheetId="7" r:id="rId10"/>
    <sheet state="visible" name="ITINERARIO CIRUGIA" sheetId="8" r:id="rId11"/>
    <sheet state="visible" name="VUELO " sheetId="9" r:id="rId12"/>
  </sheets>
  <definedNames/>
  <calcPr/>
  <extLst>
    <ext uri="GoogleSheetsCustomDataVersion2">
      <go:sheetsCustomData xmlns:go="http://customooxmlschemas.google.com/" r:id="rId13" roundtripDataChecksum="3bw9vLLjZklI0+cPGab7WjXWDWjsSXqgkoU6D92F1x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0">
      <text>
        <t xml:space="preserve">======
ID#AAAB8YCBngk
MEDICAL RESERVAS    (2026-05-19 20:06:24)
Esta es una tarifa comisopnable al 10% pero no se puede cobrar comision toca pasar la factura de comision despues</t>
      </text>
    </comment>
    <comment authorId="0" ref="K13">
      <text>
        <t xml:space="preserve">======
ID#AAAB8bnASRA
Medical Trip Colombia SAS    (2026-05-20 22:25:40)
Presupuesto, esperar la liquidación ACP puedes ser menos pero no más</t>
      </text>
    </comment>
    <comment authorId="0" ref="K12">
      <text>
        <t xml:space="preserve">======
ID#AAAB8bnASQ8
Medical Trip Colombia SAS    (2026-05-20 22:25:31)
Presupuesto, esperar la liquidación ACP puedes ser menos pero no más</t>
      </text>
    </comment>
  </commentList>
  <extLst>
    <ext uri="GoogleSheetsCustomDataVersion2">
      <go:sheetsCustomData xmlns:go="http://customooxmlschemas.google.com/" r:id="rId1" roundtripDataSignature="AMtx7mjSHgvcxnTL2KaeH3Piw0PwrKVYAg=="/>
    </ext>
  </extLst>
</comments>
</file>

<file path=xl/sharedStrings.xml><?xml version="1.0" encoding="utf-8"?>
<sst xmlns="http://schemas.openxmlformats.org/spreadsheetml/2006/main" count="299" uniqueCount="175">
  <si>
    <t>Nombre</t>
  </si>
  <si>
    <t>Raishukah</t>
  </si>
  <si>
    <t>Apellido</t>
  </si>
  <si>
    <t>Porier</t>
  </si>
  <si>
    <t>Género:  .</t>
  </si>
  <si>
    <t>Femenino</t>
  </si>
  <si>
    <t>Pasaporte</t>
  </si>
  <si>
    <t>NMC56KKH3</t>
  </si>
  <si>
    <t>Fecha de nacimiento</t>
  </si>
  <si>
    <t>Edad</t>
  </si>
  <si>
    <t>Estado civil</t>
  </si>
  <si>
    <t>Soltera</t>
  </si>
  <si>
    <t>Dirección</t>
  </si>
  <si>
    <t>Kaja kokolishi 10, Curacao</t>
  </si>
  <si>
    <t xml:space="preserve">Nacionalidad  y  domicilio:  </t>
  </si>
  <si>
    <t>Jennifer</t>
  </si>
  <si>
    <t>Email:</t>
  </si>
  <si>
    <t>bella1919@gmail.com</t>
  </si>
  <si>
    <t>Teléfono</t>
  </si>
  <si>
    <t>599 9 528 5566</t>
  </si>
  <si>
    <t xml:space="preserve">Profesión </t>
  </si>
  <si>
    <t>RH</t>
  </si>
  <si>
    <t>O negativo</t>
  </si>
  <si>
    <t>Seguro</t>
  </si>
  <si>
    <t>Peso</t>
  </si>
  <si>
    <t>Altura</t>
  </si>
  <si>
    <t>1,65</t>
  </si>
  <si>
    <t>Idioma</t>
  </si>
  <si>
    <t>Spanish, english, dutch</t>
  </si>
  <si>
    <t>Estadia:</t>
  </si>
  <si>
    <t>💳 ¿Qué seguro médico tiene actualmente? (Además del SVB) Nagico Insurance. No tengo SVB</t>
  </si>
  <si>
    <t>CONFIRMACIÓN</t>
  </si>
  <si>
    <t>DIRECCIÓN</t>
  </si>
  <si>
    <t>SEDE</t>
  </si>
  <si>
    <t>PROVEEDOR</t>
  </si>
  <si>
    <t>HORA</t>
  </si>
  <si>
    <t>JULIO del 5 al 10 aproximadamente</t>
  </si>
  <si>
    <t>Fechas y Actividad</t>
  </si>
  <si>
    <t>ACP horas</t>
  </si>
  <si>
    <t>Traslado cortos</t>
  </si>
  <si>
    <t>Avianca</t>
  </si>
  <si>
    <t>12:30 pm</t>
  </si>
  <si>
    <t>Vuelo curazao- Bogotá</t>
  </si>
  <si>
    <t>Viaja Ya-Johanns</t>
  </si>
  <si>
    <t xml:space="preserve">Traslado a aeropuerto - hotel </t>
  </si>
  <si>
    <t>?</t>
  </si>
  <si>
    <t>Alojamiento</t>
  </si>
  <si>
    <t xml:space="preserve">Confirmar recomendaciones antes de realizar el examen </t>
  </si>
  <si>
    <t>Tiempo para desayunar</t>
  </si>
  <si>
    <t xml:space="preserve">Johanns-Uber </t>
  </si>
  <si>
    <t>08:15 am</t>
  </si>
  <si>
    <t>Traslado Hotel - Centro médico</t>
  </si>
  <si>
    <t>AV Cra 9 #116-20 Consultorio 618 Bogotá</t>
  </si>
  <si>
    <t>CIRUPAT</t>
  </si>
  <si>
    <t xml:space="preserve">09:00 am </t>
  </si>
  <si>
    <t>Mesoterapia capilar con Exosomas</t>
  </si>
  <si>
    <t>Bioestimulador de colageno sculptra</t>
  </si>
  <si>
    <t>Traslado centro médico - Hotel</t>
  </si>
  <si>
    <t>Resto de dia Libre</t>
  </si>
  <si>
    <t>Martes 07 Julio  - día libre</t>
  </si>
  <si>
    <t>Miércoles 08 Julio - día libre</t>
  </si>
  <si>
    <t xml:space="preserve">Mesoterapia Plasma rico en Plaquetas </t>
  </si>
  <si>
    <t xml:space="preserve">Traslado Hotel - Aeropuerto </t>
  </si>
  <si>
    <t>02:00 pm</t>
  </si>
  <si>
    <t>Vuelo  Bogotá- curazao</t>
  </si>
  <si>
    <t>PAGOS</t>
  </si>
  <si>
    <t>ARCHIVO DE DOCUMENTOS</t>
  </si>
  <si>
    <t>PAGOS  -  FACTURA</t>
  </si>
  <si>
    <t>RESERVAS  Y CONFIRMACION</t>
  </si>
  <si>
    <t>- ⁠Correcion nalgas y hips</t>
  </si>
  <si>
    <t>CANTIDAD</t>
  </si>
  <si>
    <t>NETA</t>
  </si>
  <si>
    <t>RETENCIÓN</t>
  </si>
  <si>
    <t>PAGO TOTAL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</si>
  <si>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</si>
  <si>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</si>
  <si>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</si>
  <si>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</si>
  <si>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</si>
  <si>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</si>
  <si>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</si>
  <si>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COTIZACION ODOO</t>
  </si>
  <si>
    <t>ORDEN MÉDICA</t>
  </si>
  <si>
    <t>COTIZACION PROVEEDOR</t>
  </si>
  <si>
    <t>ODOO OK</t>
  </si>
  <si>
    <t>NO</t>
  </si>
  <si>
    <t>OK</t>
  </si>
  <si>
    <t>Póliza de asistencia médica al viajero</t>
  </si>
  <si>
    <t>6,00 Unidades</t>
  </si>
  <si>
    <t>$ 2,00</t>
  </si>
  <si>
    <t>$ 12,00</t>
  </si>
  <si>
    <t>pend tarifa</t>
  </si>
  <si>
    <t>SI -CIRUPAT</t>
  </si>
  <si>
    <t>1,00 Unidades</t>
  </si>
  <si>
    <t>$ 470,00</t>
  </si>
  <si>
    <t>Mesoterapia capilar con Plasma rico en Plaquetas</t>
  </si>
  <si>
    <t>$ 191,00</t>
  </si>
  <si>
    <t>Bioestimulador de colageno Sculptra ( dosis Unica)</t>
  </si>
  <si>
    <t>$ 974,00</t>
  </si>
  <si>
    <t>SI</t>
  </si>
  <si>
    <t>Alojamiento sugerido Hotel BH Usaquén</t>
  </si>
  <si>
    <t>5,00 Unidades</t>
  </si>
  <si>
    <t>$ 84,00</t>
  </si>
  <si>
    <t>$ 420,00</t>
  </si>
  <si>
    <t>Traslado aeropuerto Bogotá - Hotel BH Usaquén</t>
  </si>
  <si>
    <t>2,00 Unidades</t>
  </si>
  <si>
    <t>$ 35,00</t>
  </si>
  <si>
    <t>$ 70,00</t>
  </si>
  <si>
    <t>Servicio Medical Trip Colombia - Acompañamiento virtual y presencial en español para citas y exámenes para 8 horas diurnas</t>
  </si>
  <si>
    <t>$ 65,00</t>
  </si>
  <si>
    <t>Servicios Medical Trip Colombia Traslados Hotel-Clínica por trayectos cortos</t>
  </si>
  <si>
    <t>4,00 Unidades</t>
  </si>
  <si>
    <t>$ 48,00</t>
  </si>
  <si>
    <t>Total</t>
  </si>
  <si>
    <t>$ 2.250,00</t>
  </si>
  <si>
    <t xml:space="preserve"> </t>
  </si>
  <si>
    <t>SERVICIOS</t>
  </si>
  <si>
    <t>PESOS</t>
  </si>
  <si>
    <t>DOLARES</t>
  </si>
  <si>
    <t xml:space="preserve">Archivado </t>
  </si>
  <si>
    <t xml:space="preserve">Facturado </t>
  </si>
  <si>
    <t xml:space="preserve">Confirmado </t>
  </si>
  <si>
    <t>Video consulta DE CONTROL  DERMATOLOGA</t>
  </si>
  <si>
    <t>Dr. Diana Baez / CIRUPAT</t>
  </si>
  <si>
    <t>CIRUPAT - Dr. Diana Baez</t>
  </si>
  <si>
    <t>TIO YIMY</t>
  </si>
  <si>
    <t xml:space="preserve">TRANSFERENCIA BANCARIA </t>
  </si>
  <si>
    <t>Incremento por pago con tarjeta de crédito</t>
  </si>
  <si>
    <t>BOLD</t>
  </si>
  <si>
    <t>TOTAL</t>
  </si>
  <si>
    <t>PAGO</t>
  </si>
  <si>
    <t>PAGADO</t>
  </si>
  <si>
    <t>Video consulta CIRUJANO</t>
  </si>
  <si>
    <t>Dr. Saldarriaga</t>
  </si>
  <si>
    <t>Jenny</t>
  </si>
  <si>
    <t>Quiesiera saber si puedo tener una consulta tambien con un bien doctor cirugia plastico en medellin/ baranquilla o bogota.</t>
  </si>
  <si>
    <t>Motivos:</t>
  </si>
  <si>
    <t>- Caida de pechos</t>
  </si>
  <si>
    <t>- ⁠Correccion abdomen</t>
  </si>
  <si>
    <t>Correcion nalgas y hips</t>
  </si>
  <si>
    <t>Colasistencia</t>
  </si>
  <si>
    <t xml:space="preserve">Poliza de cirugia de riesgos </t>
  </si>
  <si>
    <t>Panamerican Life Seguro</t>
  </si>
  <si>
    <t>Traslado aeropuerto - Hotel en Carro conductor habla español</t>
  </si>
  <si>
    <t>Aeroturex</t>
  </si>
  <si>
    <t>Acompañamiento presencial en español para citas y exámenes para 8 horas diurnas</t>
  </si>
  <si>
    <t>yenny</t>
  </si>
  <si>
    <t>Cita con especialista en CIRUGIA PLASTICA HPTU</t>
  </si>
  <si>
    <t>Dr Saldarriaga</t>
  </si>
  <si>
    <t>Traslados hotel-clínica en CARRO-privado conductor habla español-HPTU-Mayorca</t>
  </si>
  <si>
    <t>Yenny</t>
  </si>
  <si>
    <t>Traslados hotel-clínica en CARRO-privado conductor habla español-Hotel</t>
  </si>
  <si>
    <t>Enfermeria</t>
  </si>
  <si>
    <t>Te cuida</t>
  </si>
  <si>
    <t>AA</t>
  </si>
  <si>
    <t>PASAJERO</t>
  </si>
  <si>
    <t>del 2026</t>
  </si>
  <si>
    <t>DIA</t>
  </si>
  <si>
    <t>DOMINGO</t>
  </si>
  <si>
    <t>Vuelo curazao- Medellin</t>
  </si>
  <si>
    <t>LUNES</t>
  </si>
  <si>
    <t>No desayunar</t>
  </si>
  <si>
    <t>Toma de muestras de sangre para laboratorios clínicos</t>
  </si>
  <si>
    <t>Revisión de resultados por el Medico Cirujano</t>
  </si>
  <si>
    <t>Traslado centro medico- Hotel</t>
  </si>
  <si>
    <t>MARTES</t>
  </si>
  <si>
    <t>Cita Anestesiologo</t>
  </si>
  <si>
    <t>Tarde libre</t>
  </si>
  <si>
    <t>MIERCOLES</t>
  </si>
  <si>
    <t>Cirugia plastica</t>
  </si>
  <si>
    <t>JUEVES</t>
  </si>
  <si>
    <t>VIERNES</t>
  </si>
  <si>
    <t>SABADO</t>
  </si>
  <si>
    <t>Desayuno en el hotel</t>
  </si>
  <si>
    <t xml:space="preserve">Cita de control con cirugia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</si>
</sst>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 mmm yyyy"/>
    <numFmt numFmtId="165" formatCode="d mmmm yyyy"/>
    <numFmt numFmtId="166" formatCode="d/m/yyyy"/>
    <numFmt numFmtId="167" formatCode="dd mmmm yyyy"/>
    <numFmt numFmtId="168" formatCode="dd mmmm"/>
    <numFmt numFmtId="169" formatCode="dddd dd mmmm"/>
    <numFmt numFmtId="170" formatCode="dddd d mmmm"/>
    <numFmt numFmtId="171" formatCode="[$cop]#,##0"/>
    <numFmt numFmtId="172" formatCode="d/MM/yyyy"/>
    <numFmt numFmtId="173" formatCode="&quot;$&quot;#,##0"/>
    <numFmt numFmtId="174" formatCode="&quot;$&quot;#,##0.00"/>
    <numFmt numFmtId="175" formatCode="dd-mm-yyyy"/>
    <numFmt numFmtId="176" formatCode="dd-mm-yy"/>
    <numFmt numFmtId="177" formatCode="dd/mm/yyyy"/>
  </numFmts>
  <fonts count="26">
    <font>
      <sz val="10.0"/>
      <color rgb="FF000000"/>
      <name val="Arial"/>
      <scheme val="minor"/>
    </font>
    <font>
      <sz val="12.0"/>
      <color theme="1"/>
      <name val="Lexend"/>
    </font>
    <font>
      <sz val="11.0"/>
      <color theme="1"/>
      <name val="Lexend"/>
    </font>
    <font>
      <color theme="1"/>
      <name val="Lexend"/>
    </font>
    <font>
      <b/>
      <sz val="11.0"/>
      <color theme="1"/>
      <name val="Lexend"/>
    </font>
    <font>
      <sz val="13.0"/>
      <color theme="1"/>
      <name val="Lexend"/>
    </font>
    <font>
      <b/>
      <sz val="13.0"/>
      <color rgb="FFFFFFFF"/>
      <name val="Lexend"/>
    </font>
    <font>
      <sz val="13.0"/>
      <color rgb="FFFFFFFF"/>
      <name val="Lexend"/>
    </font>
    <font>
      <b/>
      <sz val="13.0"/>
      <color theme="1"/>
      <name val="Lexend"/>
    </font>
    <font>
      <sz val="13.0"/>
      <color rgb="FF212529"/>
      <name val="Lexend"/>
    </font>
    <font>
      <b/>
      <sz val="12.0"/>
      <color theme="1"/>
      <name val="Lexend"/>
    </font>
    <font>
      <sz val="12.0"/>
      <color rgb="FF212529"/>
      <name val="Lexend"/>
    </font>
    <font>
      <b/>
      <sz val="12.0"/>
      <color rgb="FFFFFFFF"/>
      <name val="Lexend"/>
    </font>
    <font>
      <b/>
      <sz val="9.0"/>
      <color rgb="FFFFFFFF"/>
      <name val="Lexend"/>
    </font>
    <font>
      <b/>
      <color theme="1"/>
      <name val="Lexend"/>
    </font>
    <font>
      <sz val="11.0"/>
      <color rgb="FF212529"/>
      <name val="Lexend"/>
    </font>
    <font>
      <b/>
      <sz val="11.0"/>
      <color rgb="FF212529"/>
      <name val="Lexend"/>
    </font>
    <font>
      <color theme="1"/>
      <name val="Arial"/>
      <scheme val="minor"/>
    </font>
    <font>
      <b/>
      <sz val="20.0"/>
      <color rgb="FFFFFFFF"/>
      <name val="Lexend"/>
    </font>
    <font>
      <color theme="1"/>
      <name val="Arial"/>
    </font>
    <font>
      <b/>
      <sz val="7.0"/>
      <color rgb="FFFFFFFF"/>
      <name val="Lexend"/>
    </font>
    <font>
      <b/>
      <sz val="11.0"/>
      <color rgb="FFFFFFFF"/>
      <name val="Lexend"/>
    </font>
    <font>
      <b/>
      <sz val="10.0"/>
      <color rgb="FFFFFFFF"/>
      <name val="Lexend"/>
    </font>
    <font>
      <b/>
      <color rgb="FFFFFFFF"/>
      <name val="Lexend"/>
    </font>
    <font>
      <color rgb="FF212529"/>
      <name val="Lexend"/>
    </font>
    <font>
      <sz val="11.0"/>
      <color rgb="FFFFFFFF"/>
      <name val="Lexend"/>
    </font>
  </fonts>
  <fills count="1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1C232"/>
        <bgColor rgb="FFF1C232"/>
      </patternFill>
    </fill>
    <fill>
      <patternFill patternType="solid">
        <fgColor rgb="FF9FC5E8"/>
        <bgColor rgb="FF9FC5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3" numFmtId="164" xfId="0" applyFont="1" applyNumberFormat="1"/>
    <xf borderId="0" fillId="0" fontId="1" numFmtId="0" xfId="0" applyAlignment="1" applyFont="1">
      <alignment horizontal="center" vertical="bottom"/>
    </xf>
    <xf borderId="0" fillId="0" fontId="3" numFmtId="0" xfId="0" applyFont="1"/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2" numFmtId="165" xfId="0" applyAlignment="1" applyFont="1" applyNumberFormat="1">
      <alignment vertical="bottom"/>
    </xf>
    <xf borderId="0" fillId="0" fontId="1" numFmtId="166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1" numFmtId="0" xfId="0" applyFont="1"/>
    <xf borderId="0" fillId="0" fontId="4" numFmtId="0" xfId="0" applyFont="1"/>
    <xf borderId="0" fillId="0" fontId="3" numFmtId="167" xfId="0" applyFont="1" applyNumberFormat="1"/>
    <xf borderId="0" fillId="0" fontId="5" numFmtId="0" xfId="0" applyAlignment="1" applyFon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1" fillId="4" fontId="7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vertical="center"/>
    </xf>
    <xf borderId="1" fillId="5" fontId="8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ont="1">
      <alignment horizontal="center" vertical="center"/>
    </xf>
    <xf borderId="1" fillId="5" fontId="5" numFmtId="168" xfId="0" applyAlignment="1" applyBorder="1" applyFont="1" applyNumberFormat="1">
      <alignment horizontal="center" vertical="center"/>
    </xf>
    <xf borderId="1" fillId="5" fontId="8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shrinkToFit="0" vertical="center" wrapText="1"/>
    </xf>
    <xf borderId="2" fillId="5" fontId="4" numFmtId="0" xfId="0" applyAlignment="1" applyBorder="1" applyFont="1">
      <alignment horizontal="center" readingOrder="0" shrinkToFit="0" vertical="center" wrapText="1"/>
    </xf>
    <xf borderId="1" fillId="5" fontId="8" numFmtId="169" xfId="0" applyAlignment="1" applyBorder="1" applyFont="1" applyNumberFormat="1">
      <alignment horizontal="center" readingOrder="0" vertical="center"/>
    </xf>
    <xf borderId="2" fillId="5" fontId="5" numFmtId="0" xfId="0" applyAlignment="1" applyBorder="1" applyFont="1">
      <alignment horizontal="center" vertical="center"/>
    </xf>
    <xf borderId="1" fillId="6" fontId="5" numFmtId="0" xfId="0" applyAlignment="1" applyBorder="1" applyFill="1" applyFont="1">
      <alignment horizontal="center" vertical="center"/>
    </xf>
    <xf borderId="1" fillId="6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6" fontId="5" numFmtId="168" xfId="0" applyAlignment="1" applyBorder="1" applyFont="1" applyNumberFormat="1">
      <alignment horizontal="center" vertical="center"/>
    </xf>
    <xf borderId="3" fillId="6" fontId="5" numFmtId="168" xfId="0" applyAlignment="1" applyBorder="1" applyFont="1" applyNumberFormat="1">
      <alignment horizontal="center" vertical="center"/>
    </xf>
    <xf borderId="1" fillId="6" fontId="9" numFmtId="0" xfId="0" applyAlignment="1" applyBorder="1" applyFont="1">
      <alignment horizontal="center"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horizontal="center" readingOrder="0" shrinkToFit="0" vertical="center" wrapText="1"/>
    </xf>
    <xf borderId="1" fillId="6" fontId="8" numFmtId="0" xfId="0" applyAlignment="1" applyBorder="1" applyFont="1">
      <alignment horizontal="center" vertical="center"/>
    </xf>
    <xf borderId="1" fillId="7" fontId="5" numFmtId="0" xfId="0" applyAlignment="1" applyBorder="1" applyFill="1" applyFont="1">
      <alignment horizontal="center" vertical="center"/>
    </xf>
    <xf borderId="2" fillId="6" fontId="8" numFmtId="0" xfId="0" applyAlignment="1" applyBorder="1" applyFont="1">
      <alignment horizontal="center" readingOrder="0" vertical="center"/>
    </xf>
    <xf borderId="1" fillId="6" fontId="8" numFmtId="0" xfId="0" applyAlignment="1" applyBorder="1" applyFont="1">
      <alignment horizontal="center" readingOrder="0" shrinkToFit="0" vertical="center" wrapText="1"/>
    </xf>
    <xf borderId="1" fillId="8" fontId="5" numFmtId="0" xfId="0" applyAlignment="1" applyBorder="1" applyFill="1" applyFont="1">
      <alignment horizontal="center" vertical="center"/>
    </xf>
    <xf borderId="3" fillId="6" fontId="8" numFmtId="0" xfId="0" applyAlignment="1" applyBorder="1" applyFont="1">
      <alignment horizontal="center" vertical="center"/>
    </xf>
    <xf borderId="0" fillId="6" fontId="5" numFmtId="0" xfId="0" applyAlignment="1" applyFont="1">
      <alignment horizontal="center" vertical="center"/>
    </xf>
    <xf borderId="1" fillId="6" fontId="4" numFmtId="0" xfId="0" applyAlignment="1" applyBorder="1" applyFont="1">
      <alignment horizontal="center" readingOrder="0" shrinkToFit="0" vertical="center" wrapText="1"/>
    </xf>
    <xf borderId="0" fillId="6" fontId="8" numFmtId="0" xfId="0" applyAlignment="1" applyFont="1">
      <alignment horizontal="center" readingOrder="0" shrinkToFit="0" vertical="center" wrapText="1"/>
    </xf>
    <xf borderId="1" fillId="5" fontId="8" numFmtId="0" xfId="0" applyAlignment="1" applyBorder="1" applyFont="1">
      <alignment horizontal="center" readingOrder="0" vertical="center"/>
    </xf>
    <xf borderId="3" fillId="5" fontId="8" numFmtId="0" xfId="0" applyAlignment="1" applyBorder="1" applyFont="1">
      <alignment horizontal="center" vertical="center"/>
    </xf>
    <xf borderId="1" fillId="6" fontId="5" numFmtId="0" xfId="0" applyAlignment="1" applyBorder="1" applyFont="1">
      <alignment horizontal="center" shrinkToFit="0" vertical="center" wrapText="1"/>
    </xf>
    <xf borderId="2" fillId="6" fontId="8" numFmtId="0" xfId="0" applyAlignment="1" applyBorder="1" applyFont="1">
      <alignment horizontal="center" vertical="center"/>
    </xf>
    <xf borderId="1" fillId="6" fontId="5" numFmtId="0" xfId="0" applyAlignment="1" applyBorder="1" applyFont="1">
      <alignment horizontal="center" readingOrder="0" shrinkToFit="0" vertical="center" wrapText="1"/>
    </xf>
    <xf borderId="1" fillId="6" fontId="8" numFmtId="0" xfId="0" applyAlignment="1" applyBorder="1" applyFont="1">
      <alignment horizontal="center" readingOrder="0" vertical="center"/>
    </xf>
    <xf borderId="1" fillId="6" fontId="10" numFmtId="0" xfId="0" applyAlignment="1" applyBorder="1" applyFont="1">
      <alignment horizontal="center" readingOrder="0" shrinkToFit="0" vertical="center" wrapText="1"/>
    </xf>
    <xf borderId="1" fillId="9" fontId="5" numFmtId="0" xfId="0" applyAlignment="1" applyBorder="1" applyFill="1" applyFont="1">
      <alignment horizontal="center" readingOrder="0" shrinkToFit="0" vertical="center" wrapText="1"/>
    </xf>
    <xf borderId="2" fillId="6" fontId="5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readingOrder="0" shrinkToFit="0" vertical="center" wrapText="1"/>
    </xf>
    <xf borderId="1" fillId="5" fontId="9" numFmtId="0" xfId="0" applyAlignment="1" applyBorder="1" applyFont="1">
      <alignment horizontal="center" shrinkToFit="0" vertical="center" wrapText="1"/>
    </xf>
    <xf borderId="2" fillId="5" fontId="8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5" fontId="5" numFmtId="165" xfId="0" applyAlignment="1" applyBorder="1" applyFont="1" applyNumberFormat="1">
      <alignment horizontal="center" vertical="center"/>
    </xf>
    <xf borderId="1" fillId="5" fontId="8" numFmtId="170" xfId="0" applyAlignment="1" applyBorder="1" applyFont="1" applyNumberFormat="1">
      <alignment horizontal="center" readingOrder="0" vertical="center"/>
    </xf>
    <xf borderId="1" fillId="7" fontId="5" numFmtId="0" xfId="0" applyAlignment="1" applyBorder="1" applyFont="1">
      <alignment horizontal="center" readingOrder="0" vertical="center"/>
    </xf>
    <xf borderId="0" fillId="6" fontId="1" numFmtId="0" xfId="0" applyAlignment="1" applyFont="1">
      <alignment horizontal="center" vertical="center"/>
    </xf>
    <xf borderId="0" fillId="6" fontId="1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4" fillId="4" fontId="12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vertical="center"/>
    </xf>
    <xf borderId="0" fillId="4" fontId="12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vertical="center"/>
    </xf>
    <xf borderId="5" fillId="4" fontId="13" numFmtId="0" xfId="0" applyAlignment="1" applyBorder="1" applyFont="1">
      <alignment horizontal="center" shrinkToFit="0" vertical="center" wrapText="1"/>
    </xf>
    <xf borderId="6" fillId="4" fontId="12" numFmtId="0" xfId="0" applyAlignment="1" applyBorder="1" applyFont="1">
      <alignment horizontal="center" vertical="center"/>
    </xf>
    <xf borderId="5" fillId="4" fontId="12" numFmtId="0" xfId="0" applyAlignment="1" applyBorder="1" applyFont="1">
      <alignment horizontal="center" shrinkToFit="0" vertical="center" wrapText="1"/>
    </xf>
    <xf borderId="0" fillId="4" fontId="12" numFmtId="0" xfId="0" applyAlignment="1" applyFont="1">
      <alignment horizontal="center" readingOrder="0" shrinkToFit="0" vertical="center" wrapText="1"/>
    </xf>
    <xf borderId="7" fillId="10" fontId="12" numFmtId="171" xfId="0" applyAlignment="1" applyBorder="1" applyFill="1" applyFont="1" applyNumberFormat="1">
      <alignment horizontal="center" shrinkToFit="0" vertical="center" wrapText="1"/>
    </xf>
    <xf borderId="7" fillId="10" fontId="12" numFmtId="172" xfId="0" applyAlignment="1" applyBorder="1" applyFont="1" applyNumberFormat="1">
      <alignment horizontal="center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11" fontId="11" numFmtId="0" xfId="0" applyAlignment="1" applyBorder="1" applyFill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0" fillId="12" fontId="1" numFmtId="173" xfId="0" applyAlignment="1" applyFill="1" applyFont="1" applyNumberFormat="1">
      <alignment horizontal="center" vertical="center"/>
    </xf>
    <xf borderId="0" fillId="12" fontId="1" numFmtId="173" xfId="0" applyAlignment="1" applyFont="1" applyNumberFormat="1">
      <alignment horizontal="center" readingOrder="0" vertical="center"/>
    </xf>
    <xf borderId="1" fillId="12" fontId="1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0" fillId="12" fontId="1" numFmtId="173" xfId="0" applyAlignment="1" applyFont="1" applyNumberFormat="1">
      <alignment horizontal="center" vertical="center"/>
    </xf>
    <xf borderId="0" fillId="12" fontId="1" numFmtId="0" xfId="0" applyAlignment="1" applyFont="1">
      <alignment horizontal="center" vertical="center"/>
    </xf>
    <xf borderId="0" fillId="12" fontId="1" numFmtId="173" xfId="0" applyAlignment="1" applyFont="1" applyNumberFormat="1">
      <alignment horizontal="center" readingOrder="0" vertical="center"/>
    </xf>
    <xf borderId="1" fillId="6" fontId="1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vertical="center"/>
    </xf>
    <xf borderId="0" fillId="6" fontId="1" numFmtId="0" xfId="0" applyAlignment="1" applyFont="1">
      <alignment horizontal="center" readingOrder="0" vertical="center"/>
    </xf>
    <xf borderId="0" fillId="6" fontId="15" numFmtId="0" xfId="0" applyAlignment="1" applyFont="1">
      <alignment horizontal="center" readingOrder="0" shrinkToFit="0" vertical="center" wrapText="1"/>
    </xf>
    <xf borderId="0" fillId="6" fontId="15" numFmtId="0" xfId="0" applyAlignment="1" applyFont="1">
      <alignment horizontal="center" shrinkToFit="0" vertical="center" wrapText="1"/>
    </xf>
    <xf borderId="0" fillId="6" fontId="15" numFmtId="0" xfId="0" applyAlignment="1" applyFont="1">
      <alignment horizontal="center" shrinkToFit="0" vertical="center" wrapText="1"/>
    </xf>
    <xf borderId="0" fillId="6" fontId="1" numFmtId="173" xfId="0" applyAlignment="1" applyFont="1" applyNumberFormat="1">
      <alignment horizontal="center" vertical="center"/>
    </xf>
    <xf borderId="0" fillId="6" fontId="1" numFmtId="173" xfId="0" applyAlignment="1" applyFont="1" applyNumberFormat="1">
      <alignment horizontal="center" readingOrder="0" vertical="center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6" fontId="1" numFmtId="173" xfId="0" applyAlignment="1" applyFont="1" applyNumberFormat="1">
      <alignment horizontal="center" readingOrder="0" vertical="center"/>
    </xf>
    <xf borderId="0" fillId="0" fontId="16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6" fontId="3" numFmtId="0" xfId="0" applyAlignment="1" applyFont="1">
      <alignment horizontal="center" vertical="center"/>
    </xf>
    <xf borderId="0" fillId="0" fontId="17" numFmtId="0" xfId="0" applyAlignment="1" applyFont="1">
      <alignment readingOrder="0"/>
    </xf>
    <xf borderId="0" fillId="0" fontId="3" numFmtId="0" xfId="0" applyAlignment="1" applyFont="1">
      <alignment horizontal="center" vertical="center"/>
    </xf>
    <xf borderId="4" fillId="4" fontId="18" numFmtId="0" xfId="0" applyAlignment="1" applyBorder="1" applyFont="1">
      <alignment horizontal="center" shrinkToFit="0" vertical="center" wrapText="1"/>
    </xf>
    <xf borderId="4" fillId="4" fontId="19" numFmtId="0" xfId="0" applyAlignment="1" applyBorder="1" applyFont="1">
      <alignment horizontal="center" vertical="center"/>
    </xf>
    <xf borderId="5" fillId="4" fontId="20" numFmtId="0" xfId="0" applyAlignment="1" applyBorder="1" applyFont="1">
      <alignment horizontal="center" shrinkToFit="0" vertical="center" wrapText="1"/>
    </xf>
    <xf borderId="6" fillId="4" fontId="20" numFmtId="0" xfId="0" applyAlignment="1" applyBorder="1" applyFont="1">
      <alignment horizontal="center" vertical="center"/>
    </xf>
    <xf borderId="5" fillId="4" fontId="21" numFmtId="0" xfId="0" applyAlignment="1" applyBorder="1" applyFont="1">
      <alignment horizontal="center" readingOrder="0" shrinkToFit="0" vertical="center" wrapText="1"/>
    </xf>
    <xf borderId="5" fillId="4" fontId="22" numFmtId="0" xfId="0" applyAlignment="1" applyBorder="1" applyFont="1">
      <alignment horizontal="center" readingOrder="0" shrinkToFit="0" vertical="center" wrapText="1"/>
    </xf>
    <xf borderId="0" fillId="0" fontId="19" numFmtId="0" xfId="0" applyAlignment="1" applyFont="1">
      <alignment horizontal="center" vertical="center"/>
    </xf>
    <xf borderId="0" fillId="4" fontId="20" numFmtId="0" xfId="0" applyAlignment="1" applyFont="1">
      <alignment horizontal="center" shrinkToFit="0" vertical="center" wrapText="1"/>
    </xf>
    <xf borderId="7" fillId="10" fontId="23" numFmtId="171" xfId="0" applyAlignment="1" applyBorder="1" applyFont="1" applyNumberFormat="1">
      <alignment horizontal="center" shrinkToFit="0" vertical="center" wrapText="1"/>
    </xf>
    <xf borderId="7" fillId="10" fontId="23" numFmtId="172" xfId="0" applyAlignment="1" applyBorder="1" applyFont="1" applyNumberFormat="1">
      <alignment horizontal="center" shrinkToFit="0" vertical="center" wrapText="1"/>
    </xf>
    <xf borderId="0" fillId="8" fontId="3" numFmtId="0" xfId="0" applyAlignment="1" applyFont="1">
      <alignment horizontal="center" readingOrder="0" vertical="center"/>
    </xf>
    <xf borderId="0" fillId="8" fontId="15" numFmtId="0" xfId="0" applyAlignment="1" applyFont="1">
      <alignment horizontal="center" readingOrder="0" shrinkToFit="0" vertical="center" wrapText="1"/>
    </xf>
    <xf borderId="0" fillId="6" fontId="3" numFmtId="173" xfId="0" applyAlignment="1" applyFont="1" applyNumberFormat="1">
      <alignment horizontal="center" vertical="center"/>
    </xf>
    <xf borderId="0" fillId="6" fontId="3" numFmtId="174" xfId="0" applyAlignment="1" applyFont="1" applyNumberFormat="1">
      <alignment horizontal="center" vertical="center"/>
    </xf>
    <xf borderId="0" fillId="6" fontId="3" numFmtId="173" xfId="0" applyAlignment="1" applyFont="1" applyNumberFormat="1">
      <alignment horizontal="center" readingOrder="0" vertical="center"/>
    </xf>
    <xf borderId="0" fillId="0" fontId="17" numFmtId="175" xfId="0" applyAlignment="1" applyFont="1" applyNumberFormat="1">
      <alignment horizontal="center" readingOrder="0" vertical="center"/>
    </xf>
    <xf borderId="0" fillId="6" fontId="3" numFmtId="0" xfId="0" applyAlignment="1" applyFont="1">
      <alignment horizontal="center" readingOrder="0" vertical="center"/>
    </xf>
    <xf borderId="0" fillId="13" fontId="3" numFmtId="0" xfId="0" applyAlignment="1" applyFill="1" applyFont="1">
      <alignment horizontal="center" vertical="center"/>
    </xf>
    <xf borderId="0" fillId="13" fontId="15" numFmtId="0" xfId="0" applyAlignment="1" applyFont="1">
      <alignment horizontal="center" shrinkToFit="0" vertical="center" wrapText="1"/>
    </xf>
    <xf borderId="0" fillId="5" fontId="15" numFmtId="0" xfId="0" applyAlignment="1" applyFont="1">
      <alignment horizontal="center" readingOrder="0" shrinkToFit="0" vertical="center" wrapText="1"/>
    </xf>
    <xf borderId="0" fillId="5" fontId="15" numFmtId="0" xfId="0" applyAlignment="1" applyFont="1">
      <alignment horizontal="center" shrinkToFit="0" vertical="center" wrapText="1"/>
    </xf>
    <xf borderId="0" fillId="5" fontId="3" numFmtId="173" xfId="0" applyAlignment="1" applyFont="1" applyNumberFormat="1">
      <alignment horizontal="center" vertical="center"/>
    </xf>
    <xf borderId="0" fillId="5" fontId="14" numFmtId="174" xfId="0" applyAlignment="1" applyFont="1" applyNumberFormat="1">
      <alignment horizontal="center" vertical="center"/>
    </xf>
    <xf borderId="0" fillId="6" fontId="3" numFmtId="176" xfId="0" applyAlignment="1" applyFont="1" applyNumberFormat="1">
      <alignment horizontal="center" vertical="center"/>
    </xf>
    <xf borderId="0" fillId="6" fontId="15" numFmtId="0" xfId="0" applyAlignment="1" applyFont="1">
      <alignment shrinkToFit="0" vertical="center" wrapText="1"/>
    </xf>
    <xf borderId="0" fillId="6" fontId="3" numFmtId="172" xfId="0" applyAlignment="1" applyFont="1" applyNumberFormat="1">
      <alignment horizontal="center" vertical="center"/>
    </xf>
    <xf borderId="0" fillId="6" fontId="15" numFmtId="0" xfId="0" applyAlignment="1" applyFont="1">
      <alignment readingOrder="0" shrinkToFit="0" vertical="center" wrapText="1"/>
    </xf>
    <xf borderId="0" fillId="6" fontId="18" numFmtId="0" xfId="0" applyAlignment="1" applyFont="1">
      <alignment horizontal="center" shrinkToFit="0" vertical="center" wrapText="1"/>
    </xf>
    <xf borderId="0" fillId="6" fontId="19" numFmtId="0" xfId="0" applyAlignment="1" applyFont="1">
      <alignment horizontal="center" vertical="center"/>
    </xf>
    <xf borderId="0" fillId="6" fontId="20" numFmtId="0" xfId="0" applyAlignment="1" applyFont="1">
      <alignment horizontal="center" shrinkToFit="0" vertical="center" wrapText="1"/>
    </xf>
    <xf borderId="0" fillId="6" fontId="20" numFmtId="0" xfId="0" applyAlignment="1" applyFont="1">
      <alignment horizontal="center" vertical="center"/>
    </xf>
    <xf borderId="0" fillId="6" fontId="23" numFmtId="171" xfId="0" applyAlignment="1" applyFont="1" applyNumberFormat="1">
      <alignment horizontal="center" shrinkToFit="0" vertical="center" wrapText="1"/>
    </xf>
    <xf borderId="0" fillId="6" fontId="23" numFmtId="172" xfId="0" applyAlignment="1" applyFont="1" applyNumberFormat="1">
      <alignment horizontal="center" shrinkToFit="0" vertical="center" wrapText="1"/>
    </xf>
    <xf borderId="0" fillId="6" fontId="19" numFmtId="0" xfId="0" applyAlignment="1" applyFont="1">
      <alignment vertical="center"/>
    </xf>
    <xf borderId="0" fillId="6" fontId="24" numFmtId="0" xfId="0" applyAlignment="1" applyFont="1">
      <alignment horizontal="center" shrinkToFit="0" wrapText="1"/>
    </xf>
    <xf borderId="0" fillId="6" fontId="2" numFmtId="0" xfId="0" applyAlignment="1" applyFont="1">
      <alignment horizontal="center" vertical="center"/>
    </xf>
    <xf borderId="0" fillId="6" fontId="15" numFmtId="0" xfId="0" applyAlignment="1" applyFont="1">
      <alignment horizontal="center" shrinkToFit="0" wrapText="1"/>
    </xf>
    <xf borderId="0" fillId="14" fontId="3" numFmtId="0" xfId="0" applyAlignment="1" applyFill="1" applyFont="1">
      <alignment horizontal="center" vertical="center"/>
    </xf>
    <xf borderId="0" fillId="15" fontId="15" numFmtId="0" xfId="0" applyAlignment="1" applyFill="1" applyFont="1">
      <alignment horizontal="center" shrinkToFit="0" vertical="center" wrapText="1"/>
    </xf>
    <xf borderId="0" fillId="6" fontId="3" numFmtId="177" xfId="0" applyAlignment="1" applyFont="1" applyNumberFormat="1">
      <alignment horizontal="center" vertical="center"/>
    </xf>
    <xf borderId="0" fillId="3" fontId="15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vertical="center"/>
    </xf>
    <xf borderId="0" fillId="4" fontId="18" numFmtId="0" xfId="0" applyAlignment="1" applyFont="1">
      <alignment horizontal="center" shrinkToFit="0" vertical="center" wrapText="1"/>
    </xf>
    <xf borderId="0" fillId="4" fontId="19" numFmtId="0" xfId="0" applyAlignment="1" applyFont="1">
      <alignment horizontal="center" vertical="center"/>
    </xf>
    <xf borderId="1" fillId="0" fontId="24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readingOrder="0" vertical="center"/>
    </xf>
    <xf borderId="1" fillId="4" fontId="21" numFmtId="0" xfId="0" applyAlignment="1" applyBorder="1" applyFont="1">
      <alignment horizontal="center" vertical="center"/>
    </xf>
    <xf borderId="1" fillId="4" fontId="25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vertical="center"/>
    </xf>
    <xf borderId="1" fillId="5" fontId="3" numFmtId="168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5" fontId="10" numFmtId="0" xfId="0" applyAlignment="1" applyBorder="1" applyFont="1">
      <alignment horizontal="center" shrinkToFit="0" vertical="center" wrapText="1"/>
    </xf>
    <xf borderId="8" fillId="5" fontId="4" numFmtId="0" xfId="0" applyAlignment="1" applyBorder="1" applyFont="1">
      <alignment horizontal="center" vertical="center"/>
    </xf>
    <xf borderId="1" fillId="5" fontId="10" numFmtId="0" xfId="0" applyAlignment="1" applyBorder="1" applyFont="1">
      <alignment horizontal="center" vertical="center"/>
    </xf>
    <xf borderId="2" fillId="5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6" fontId="3" numFmtId="168" xfId="0" applyAlignment="1" applyBorder="1" applyFont="1" applyNumberFormat="1">
      <alignment horizontal="center" vertical="center"/>
    </xf>
    <xf borderId="3" fillId="6" fontId="3" numFmtId="168" xfId="0" applyAlignment="1" applyBorder="1" applyFont="1" applyNumberFormat="1">
      <alignment horizontal="center" vertical="center"/>
    </xf>
    <xf borderId="1" fillId="6" fontId="15" numFmtId="0" xfId="0" applyAlignment="1" applyBorder="1" applyFont="1">
      <alignment horizontal="center"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horizontal="center" vertical="center"/>
    </xf>
    <xf borderId="1" fillId="6" fontId="4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2" fillId="6" fontId="14" numFmtId="0" xfId="0" applyAlignment="1" applyBorder="1" applyFont="1">
      <alignment horizontal="center" readingOrder="0" vertical="center"/>
    </xf>
    <xf borderId="3" fillId="6" fontId="14" numFmtId="0" xfId="0" applyAlignment="1" applyBorder="1" applyFont="1">
      <alignment horizontal="center" vertical="center"/>
    </xf>
    <xf borderId="1" fillId="5" fontId="14" numFmtId="0" xfId="0" applyAlignment="1" applyBorder="1" applyFont="1">
      <alignment horizontal="center" vertical="center"/>
    </xf>
    <xf borderId="3" fillId="5" fontId="14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shrinkToFit="0" vertical="center" wrapText="1"/>
    </xf>
    <xf borderId="1" fillId="6" fontId="14" numFmtId="0" xfId="0" applyAlignment="1" applyBorder="1" applyFont="1">
      <alignment horizontal="center" vertical="center"/>
    </xf>
    <xf borderId="2" fillId="6" fontId="14" numFmtId="0" xfId="0" applyAlignment="1" applyBorder="1" applyFont="1">
      <alignment horizontal="center" vertical="center"/>
    </xf>
    <xf borderId="1" fillId="9" fontId="1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readingOrder="0" vertical="center"/>
    </xf>
    <xf borderId="2" fillId="6" fontId="3" numFmtId="0" xfId="0" applyAlignment="1" applyBorder="1" applyFont="1">
      <alignment horizontal="center" vertical="center"/>
    </xf>
    <xf borderId="1" fillId="9" fontId="1" numFmtId="0" xfId="0" applyAlignment="1" applyBorder="1" applyFont="1">
      <alignment horizontal="center" vertical="center"/>
    </xf>
    <xf borderId="1" fillId="5" fontId="15" numFmtId="0" xfId="0" applyAlignment="1" applyBorder="1" applyFont="1">
      <alignment horizontal="center" shrinkToFit="0" vertical="center" wrapText="1"/>
    </xf>
    <xf borderId="2" fillId="5" fontId="14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16" fontId="1" numFmtId="0" xfId="0" applyAlignment="1" applyBorder="1" applyFill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6" fontId="1" numFmtId="0" xfId="0" applyAlignment="1" applyBorder="1" applyFont="1">
      <alignment horizontal="center"/>
    </xf>
    <xf borderId="1" fillId="7" fontId="1" numFmtId="0" xfId="0" applyAlignment="1" applyBorder="1" applyFont="1">
      <alignment horizontal="center"/>
    </xf>
    <xf borderId="1" fillId="0" fontId="1" numFmtId="165" xfId="0" applyAlignment="1" applyBorder="1" applyFont="1" applyNumberFormat="1">
      <alignment horizontal="center" vertical="center"/>
    </xf>
    <xf borderId="1" fillId="16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12</xdr:row>
      <xdr:rowOff>0</xdr:rowOff>
    </xdr:from>
    <xdr:ext cx="3924300" cy="6381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600075</xdr:colOff>
      <xdr:row>5</xdr:row>
      <xdr:rowOff>133350</xdr:rowOff>
    </xdr:from>
    <xdr:ext cx="5629275" cy="44958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180975</xdr:rowOff>
    </xdr:from>
    <xdr:ext cx="11706225" cy="59436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3.13"/>
    <col customWidth="1" min="4" max="4" width="29.38"/>
    <col customWidth="1" min="5" max="5" width="26.5"/>
    <col customWidth="1" min="6" max="6" width="19.38"/>
    <col customWidth="1" min="7" max="7" width="27.0"/>
    <col customWidth="1" min="8" max="8" width="28.0"/>
    <col customWidth="1" min="9" max="9" width="43.7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>
      <c r="A16" s="1"/>
      <c r="B16" s="2"/>
      <c r="C16" s="1"/>
      <c r="D16" s="1"/>
      <c r="E16" s="1"/>
      <c r="F16" s="1"/>
      <c r="G16" s="1"/>
      <c r="H16" s="3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2"/>
      <c r="C17" s="1"/>
      <c r="D17" s="3"/>
      <c r="E17" s="4"/>
      <c r="F17" s="5"/>
      <c r="G17" s="1"/>
      <c r="H17" s="3"/>
      <c r="I17" s="1"/>
      <c r="J17" s="1"/>
      <c r="K17" s="1"/>
      <c r="L17" s="1"/>
      <c r="M17" s="1"/>
      <c r="N17" s="1"/>
      <c r="O17" s="1"/>
      <c r="P17" s="1"/>
      <c r="Q17" s="1"/>
    </row>
    <row r="18">
      <c r="A18" s="1"/>
      <c r="B18" s="2"/>
      <c r="C18" s="1"/>
      <c r="D18" s="3" t="s">
        <v>0</v>
      </c>
      <c r="E18" s="6" t="s">
        <v>1</v>
      </c>
      <c r="F18" s="7"/>
      <c r="G18" s="1"/>
      <c r="H18" s="3"/>
      <c r="I18" s="1"/>
      <c r="J18" s="1"/>
      <c r="K18" s="1"/>
      <c r="L18" s="1"/>
      <c r="M18" s="1"/>
      <c r="N18" s="1"/>
      <c r="O18" s="1"/>
      <c r="P18" s="1"/>
      <c r="Q18" s="1"/>
    </row>
    <row r="19">
      <c r="A19" s="1"/>
      <c r="B19" s="2"/>
      <c r="C19" s="1"/>
      <c r="D19" s="3" t="s">
        <v>2</v>
      </c>
      <c r="E19" s="8" t="s">
        <v>3</v>
      </c>
      <c r="F19" s="7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</row>
    <row r="20">
      <c r="A20" s="1"/>
      <c r="B20" s="2"/>
      <c r="C20" s="1"/>
      <c r="D20" s="3" t="s">
        <v>4</v>
      </c>
      <c r="E20" s="9" t="s">
        <v>5</v>
      </c>
      <c r="F20" s="7"/>
      <c r="G20" s="3"/>
      <c r="H20" s="10"/>
      <c r="I20" s="1"/>
      <c r="J20" s="1"/>
      <c r="K20" s="1"/>
      <c r="L20" s="1"/>
      <c r="M20" s="1"/>
      <c r="N20" s="1"/>
      <c r="O20" s="1"/>
      <c r="P20" s="1"/>
      <c r="Q20" s="1"/>
    </row>
    <row r="21">
      <c r="A21" s="1"/>
      <c r="B21" s="2"/>
      <c r="C21" s="1"/>
      <c r="D21" s="10" t="s">
        <v>6</v>
      </c>
      <c r="E21" s="9" t="s">
        <v>7</v>
      </c>
      <c r="F21" s="7"/>
      <c r="G21" s="3"/>
      <c r="H21" s="3"/>
      <c r="I21" s="11"/>
      <c r="J21" s="1"/>
      <c r="K21" s="1"/>
      <c r="L21" s="1"/>
      <c r="M21" s="1"/>
      <c r="N21" s="1"/>
      <c r="O21" s="1"/>
      <c r="P21" s="1"/>
      <c r="Q21" s="1"/>
    </row>
    <row r="22">
      <c r="A22" s="1"/>
      <c r="B22" s="2"/>
      <c r="C22" s="1"/>
      <c r="D22" s="3" t="s">
        <v>8</v>
      </c>
      <c r="E22" s="12">
        <v>30173.0</v>
      </c>
      <c r="F22" s="7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</row>
    <row r="23">
      <c r="A23" s="1"/>
      <c r="B23" s="2"/>
      <c r="C23" s="1"/>
      <c r="D23" s="3" t="s">
        <v>9</v>
      </c>
      <c r="E23" s="13">
        <f>2025-1982</f>
        <v>43</v>
      </c>
      <c r="F23" s="7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</row>
    <row r="24">
      <c r="A24" s="1"/>
      <c r="B24" s="2"/>
      <c r="C24" s="1"/>
      <c r="D24" s="3" t="s">
        <v>10</v>
      </c>
      <c r="E24" s="13" t="s">
        <v>11</v>
      </c>
      <c r="F24" s="7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2"/>
      <c r="C25" s="1"/>
      <c r="D25" s="3" t="s">
        <v>12</v>
      </c>
      <c r="E25" s="13" t="s">
        <v>13</v>
      </c>
      <c r="F25" s="7"/>
      <c r="G25" s="3"/>
      <c r="H25" s="3"/>
      <c r="I25" s="1"/>
      <c r="J25" s="1"/>
      <c r="K25" s="1"/>
      <c r="L25" s="1"/>
      <c r="M25" s="1"/>
      <c r="N25" s="1"/>
      <c r="O25" s="1"/>
      <c r="P25" s="1"/>
      <c r="Q25" s="1"/>
    </row>
    <row r="26">
      <c r="A26" s="1"/>
      <c r="B26" s="2"/>
      <c r="C26" s="1"/>
      <c r="D26" s="3" t="s">
        <v>14</v>
      </c>
      <c r="E26" s="14" t="s">
        <v>15</v>
      </c>
      <c r="F26" s="7"/>
      <c r="G26" s="3"/>
      <c r="H26" s="3"/>
      <c r="I26" s="1"/>
      <c r="J26" s="1"/>
      <c r="K26" s="1"/>
      <c r="L26" s="1"/>
      <c r="M26" s="1"/>
      <c r="N26" s="1"/>
      <c r="O26" s="1"/>
      <c r="P26" s="1"/>
      <c r="Q26" s="1"/>
    </row>
    <row r="27">
      <c r="A27" s="1"/>
      <c r="B27" s="2"/>
      <c r="C27" s="1"/>
      <c r="D27" s="3" t="s">
        <v>16</v>
      </c>
      <c r="E27" s="9" t="s">
        <v>17</v>
      </c>
      <c r="F27" s="7"/>
      <c r="G27" s="3"/>
      <c r="H27" s="3"/>
      <c r="I27" s="1"/>
      <c r="J27" s="1"/>
      <c r="K27" s="1"/>
      <c r="L27" s="1"/>
      <c r="M27" s="1"/>
      <c r="N27" s="1"/>
      <c r="O27" s="1"/>
      <c r="P27" s="1"/>
      <c r="Q27" s="1"/>
    </row>
    <row r="28">
      <c r="A28" s="1"/>
      <c r="B28" s="2"/>
      <c r="C28" s="1"/>
      <c r="D28" s="3" t="s">
        <v>18</v>
      </c>
      <c r="E28" s="15" t="s">
        <v>19</v>
      </c>
      <c r="F28" s="7"/>
      <c r="G28" s="3"/>
      <c r="H28" s="3"/>
      <c r="I28" s="1"/>
      <c r="J28" s="1"/>
      <c r="K28" s="1"/>
      <c r="L28" s="1"/>
      <c r="M28" s="1"/>
      <c r="N28" s="1"/>
      <c r="O28" s="1"/>
      <c r="P28" s="1"/>
      <c r="Q28" s="1"/>
    </row>
    <row r="29">
      <c r="A29" s="1"/>
      <c r="B29" s="2"/>
      <c r="C29" s="1"/>
      <c r="D29" s="3" t="s">
        <v>20</v>
      </c>
      <c r="E29" s="14" t="s">
        <v>15</v>
      </c>
      <c r="F29" s="7"/>
      <c r="G29" s="3"/>
      <c r="H29" s="3"/>
      <c r="I29" s="1"/>
      <c r="J29" s="1"/>
      <c r="K29" s="1"/>
      <c r="L29" s="1"/>
      <c r="M29" s="1"/>
      <c r="N29" s="1"/>
      <c r="O29" s="1"/>
      <c r="P29" s="1"/>
      <c r="Q29" s="1"/>
    </row>
    <row r="30">
      <c r="A30" s="1"/>
      <c r="B30" s="2"/>
      <c r="C30" s="1"/>
      <c r="D30" s="3" t="s">
        <v>21</v>
      </c>
      <c r="E30" s="13" t="s">
        <v>22</v>
      </c>
      <c r="F30" s="7"/>
      <c r="G30" s="3"/>
      <c r="H30" s="3"/>
      <c r="I30" s="1"/>
      <c r="J30" s="1"/>
      <c r="K30" s="1"/>
      <c r="L30" s="1"/>
      <c r="M30" s="1"/>
      <c r="N30" s="1"/>
      <c r="O30" s="1"/>
      <c r="P30" s="1"/>
      <c r="Q30" s="1"/>
    </row>
    <row r="31">
      <c r="A31" s="1"/>
      <c r="B31" s="2"/>
      <c r="C31" s="1"/>
      <c r="D31" s="3" t="s">
        <v>23</v>
      </c>
      <c r="E31" s="14" t="s">
        <v>15</v>
      </c>
      <c r="F31" s="7"/>
      <c r="G31" s="3"/>
      <c r="H31" s="3"/>
      <c r="I31" s="1"/>
      <c r="J31" s="1"/>
      <c r="K31" s="1"/>
      <c r="L31" s="1"/>
      <c r="M31" s="1"/>
      <c r="N31" s="1"/>
      <c r="O31" s="1"/>
      <c r="P31" s="1"/>
      <c r="Q31" s="1"/>
    </row>
    <row r="32">
      <c r="A32" s="1"/>
      <c r="B32" s="2"/>
      <c r="C32" s="1"/>
      <c r="D32" s="3" t="s">
        <v>24</v>
      </c>
      <c r="E32" s="16">
        <v>73.0</v>
      </c>
      <c r="F32" s="7"/>
      <c r="G32" s="3"/>
      <c r="H32" s="3"/>
      <c r="I32" s="1"/>
      <c r="J32" s="1"/>
      <c r="K32" s="1"/>
      <c r="L32" s="1"/>
      <c r="M32" s="1"/>
      <c r="N32" s="1"/>
      <c r="O32" s="1"/>
      <c r="P32" s="1"/>
      <c r="Q32" s="1"/>
    </row>
    <row r="33">
      <c r="A33" s="1"/>
      <c r="B33" s="2"/>
      <c r="C33" s="1"/>
      <c r="D33" s="3" t="s">
        <v>25</v>
      </c>
      <c r="E33" s="16" t="s">
        <v>26</v>
      </c>
      <c r="F33" s="7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</row>
    <row r="34">
      <c r="A34" s="1"/>
      <c r="B34" s="2"/>
      <c r="C34" s="1"/>
      <c r="D34" s="3" t="s">
        <v>27</v>
      </c>
      <c r="E34" s="13" t="s">
        <v>28</v>
      </c>
      <c r="F34" s="7"/>
      <c r="G34" s="3"/>
      <c r="H34" s="17"/>
      <c r="I34" s="1"/>
      <c r="J34" s="1"/>
      <c r="K34" s="1"/>
      <c r="L34" s="1"/>
      <c r="M34" s="1"/>
      <c r="N34" s="1"/>
      <c r="O34" s="1"/>
      <c r="P34" s="1"/>
      <c r="Q34" s="1"/>
    </row>
    <row r="35">
      <c r="A35" s="1"/>
      <c r="B35" s="2"/>
      <c r="C35" s="1"/>
      <c r="D35" s="17" t="s">
        <v>29</v>
      </c>
      <c r="E35" s="18"/>
      <c r="F35" s="7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1"/>
      <c r="B36" s="2"/>
      <c r="C36" s="1"/>
      <c r="D36" s="19" t="s">
        <v>30</v>
      </c>
      <c r="E36" s="18"/>
      <c r="F36" s="7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1"/>
      <c r="B37" s="2"/>
      <c r="C37" s="1"/>
      <c r="D37" s="7"/>
      <c r="E37" s="18"/>
      <c r="F37" s="7"/>
      <c r="G37" s="20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"/>
      <c r="B38" s="2"/>
      <c r="C38" s="1"/>
      <c r="D38" s="7"/>
      <c r="E38" s="18"/>
      <c r="F38" s="7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"/>
      <c r="B39" s="2"/>
      <c r="C39" s="1"/>
      <c r="D39" s="7"/>
      <c r="E39" s="18"/>
      <c r="F39" s="7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2"/>
      <c r="C40" s="1"/>
      <c r="D40" s="7"/>
      <c r="E40" s="7"/>
      <c r="F40" s="7"/>
      <c r="G40" s="7"/>
      <c r="H40" s="7"/>
      <c r="I40" s="7"/>
      <c r="J40" s="7"/>
      <c r="K40" s="7"/>
      <c r="L40" s="1"/>
      <c r="M40" s="1"/>
      <c r="N40" s="1"/>
      <c r="O40" s="1"/>
      <c r="P40" s="1"/>
      <c r="Q40" s="1"/>
    </row>
    <row r="41">
      <c r="A41" s="1"/>
      <c r="B41" s="2"/>
      <c r="C41" s="1"/>
      <c r="D41" s="19"/>
      <c r="E41" s="7"/>
      <c r="F41" s="7"/>
      <c r="G41" s="7"/>
      <c r="H41" s="7"/>
      <c r="I41" s="7"/>
      <c r="J41" s="7"/>
      <c r="K41" s="7"/>
      <c r="L41" s="1"/>
      <c r="M41" s="1"/>
      <c r="N41" s="1"/>
      <c r="O41" s="1"/>
      <c r="P41" s="1"/>
      <c r="Q41" s="1"/>
    </row>
    <row r="42">
      <c r="A42" s="1"/>
      <c r="B42" s="2"/>
      <c r="C42" s="1"/>
      <c r="D42" s="19"/>
      <c r="E42" s="7"/>
      <c r="F42" s="7"/>
      <c r="G42" s="7"/>
      <c r="H42" s="7"/>
      <c r="I42" s="7"/>
      <c r="J42" s="7"/>
      <c r="K42" s="7"/>
      <c r="L42" s="1"/>
      <c r="M42" s="1"/>
      <c r="N42" s="1"/>
      <c r="O42" s="1"/>
      <c r="P42" s="1"/>
      <c r="Q42" s="1"/>
    </row>
    <row r="43">
      <c r="A43" s="1"/>
      <c r="B43" s="2"/>
      <c r="C43" s="1"/>
      <c r="D43" s="21"/>
      <c r="E43" s="7"/>
      <c r="F43" s="7"/>
      <c r="G43" s="7"/>
      <c r="H43" s="7"/>
      <c r="I43" s="7"/>
      <c r="J43" s="7"/>
      <c r="K43" s="7"/>
      <c r="L43" s="1"/>
      <c r="M43" s="1"/>
      <c r="N43" s="1"/>
      <c r="O43" s="1"/>
      <c r="P43" s="1"/>
      <c r="Q43" s="1"/>
    </row>
    <row r="44">
      <c r="A44" s="1"/>
      <c r="B44" s="2"/>
      <c r="C44" s="1"/>
      <c r="D44" s="19"/>
      <c r="E44" s="7"/>
      <c r="F44" s="7"/>
      <c r="G44" s="7"/>
      <c r="H44" s="7"/>
      <c r="I44" s="7"/>
      <c r="J44" s="7"/>
      <c r="K44" s="7"/>
      <c r="L44" s="1"/>
      <c r="M44" s="1"/>
      <c r="N44" s="1"/>
      <c r="O44" s="1"/>
      <c r="P44" s="1"/>
      <c r="Q44" s="1"/>
    </row>
    <row r="45">
      <c r="A45" s="1"/>
      <c r="B45" s="2"/>
      <c r="C45" s="1"/>
      <c r="D45" s="19"/>
      <c r="E45" s="7"/>
      <c r="F45" s="7"/>
      <c r="G45" s="7"/>
      <c r="H45" s="7"/>
      <c r="I45" s="7"/>
      <c r="J45" s="7"/>
      <c r="K45" s="7"/>
      <c r="L45" s="1"/>
      <c r="M45" s="1"/>
      <c r="N45" s="1"/>
      <c r="O45" s="1"/>
      <c r="P45" s="1"/>
      <c r="Q45" s="1"/>
    </row>
    <row r="46">
      <c r="A46" s="1"/>
      <c r="B46" s="2"/>
      <c r="C46" s="1"/>
      <c r="D46" s="19"/>
      <c r="E46" s="7"/>
      <c r="F46" s="7"/>
      <c r="G46" s="7"/>
      <c r="H46" s="7"/>
      <c r="I46" s="7"/>
      <c r="J46" s="7"/>
      <c r="K46" s="7"/>
      <c r="L46" s="1"/>
      <c r="M46" s="1"/>
      <c r="N46" s="1"/>
      <c r="O46" s="1"/>
      <c r="P46" s="1"/>
      <c r="Q46" s="1"/>
    </row>
    <row r="47">
      <c r="A47" s="1"/>
      <c r="B47" s="2"/>
      <c r="C47" s="1"/>
      <c r="D47" s="19"/>
      <c r="E47" s="7"/>
      <c r="F47" s="7"/>
      <c r="G47" s="7"/>
      <c r="H47" s="7"/>
      <c r="I47" s="7"/>
      <c r="J47" s="7"/>
      <c r="K47" s="7"/>
      <c r="L47" s="1"/>
      <c r="M47" s="1"/>
      <c r="N47" s="1"/>
      <c r="O47" s="1"/>
      <c r="P47" s="1"/>
      <c r="Q47" s="1"/>
    </row>
    <row r="48">
      <c r="A48" s="1"/>
      <c r="B48" s="2"/>
      <c r="C48" s="1"/>
      <c r="D48" s="19"/>
      <c r="E48" s="7"/>
      <c r="F48" s="7"/>
      <c r="G48" s="7"/>
      <c r="H48" s="7"/>
      <c r="I48" s="7"/>
      <c r="J48" s="7"/>
      <c r="K48" s="7"/>
      <c r="L48" s="1"/>
      <c r="M48" s="1"/>
      <c r="N48" s="1"/>
      <c r="O48" s="1"/>
      <c r="P48" s="1"/>
      <c r="Q48" s="1"/>
    </row>
    <row r="49">
      <c r="A49" s="1"/>
      <c r="B49" s="2"/>
      <c r="C49" s="1"/>
      <c r="D49" s="19"/>
      <c r="E49" s="7"/>
      <c r="F49" s="7"/>
      <c r="G49" s="7"/>
      <c r="H49" s="7"/>
      <c r="I49" s="7"/>
      <c r="J49" s="7"/>
      <c r="K49" s="7"/>
      <c r="L49" s="1"/>
      <c r="M49" s="1"/>
      <c r="N49" s="1"/>
      <c r="O49" s="1"/>
      <c r="P49" s="1"/>
      <c r="Q49" s="1"/>
    </row>
    <row r="50">
      <c r="A50" s="1"/>
      <c r="B50" s="2"/>
      <c r="C50" s="1"/>
      <c r="D50" s="19"/>
      <c r="E50" s="7"/>
      <c r="F50" s="7"/>
      <c r="G50" s="7"/>
      <c r="H50" s="7"/>
      <c r="I50" s="7"/>
      <c r="J50" s="7"/>
      <c r="K50" s="7"/>
      <c r="L50" s="1"/>
      <c r="M50" s="1"/>
      <c r="N50" s="1"/>
      <c r="O50" s="1"/>
      <c r="P50" s="1"/>
      <c r="Q50" s="1"/>
    </row>
    <row r="51">
      <c r="A51" s="1"/>
      <c r="B51" s="2"/>
      <c r="C51" s="1"/>
      <c r="D51" s="19"/>
      <c r="E51" s="7"/>
      <c r="F51" s="7"/>
      <c r="G51" s="7"/>
      <c r="H51" s="7"/>
      <c r="I51" s="7"/>
      <c r="J51" s="7"/>
      <c r="K51" s="7"/>
      <c r="L51" s="1"/>
      <c r="M51" s="1"/>
      <c r="N51" s="1"/>
      <c r="O51" s="1"/>
      <c r="P51" s="1"/>
      <c r="Q51" s="1"/>
    </row>
    <row r="52">
      <c r="A52" s="1"/>
      <c r="B52" s="2"/>
      <c r="C52" s="1"/>
      <c r="D52" s="19"/>
      <c r="E52" s="7"/>
      <c r="F52" s="7"/>
      <c r="G52" s="7"/>
      <c r="H52" s="7"/>
      <c r="I52" s="7"/>
      <c r="J52" s="7"/>
      <c r="K52" s="7"/>
      <c r="L52" s="1"/>
      <c r="M52" s="1"/>
      <c r="N52" s="1"/>
      <c r="O52" s="1"/>
      <c r="P52" s="1"/>
      <c r="Q52" s="1"/>
    </row>
    <row r="53">
      <c r="A53" s="1"/>
      <c r="B53" s="2"/>
      <c r="C53" s="1"/>
      <c r="D53" s="19"/>
      <c r="E53" s="7"/>
      <c r="F53" s="7"/>
      <c r="G53" s="7"/>
      <c r="H53" s="7"/>
      <c r="I53" s="7"/>
      <c r="J53" s="7"/>
      <c r="K53" s="7"/>
      <c r="L53" s="1"/>
      <c r="M53" s="1"/>
      <c r="N53" s="1"/>
      <c r="O53" s="1"/>
      <c r="P53" s="1"/>
      <c r="Q53" s="1"/>
    </row>
    <row r="54">
      <c r="A54" s="1"/>
      <c r="B54" s="2"/>
      <c r="C54" s="1"/>
      <c r="D54" s="19"/>
      <c r="E54" s="7"/>
      <c r="F54" s="7"/>
      <c r="G54" s="7"/>
      <c r="H54" s="7"/>
      <c r="I54" s="7"/>
      <c r="J54" s="7"/>
      <c r="K54" s="7"/>
      <c r="L54" s="1"/>
      <c r="M54" s="1"/>
      <c r="N54" s="1"/>
      <c r="O54" s="1"/>
      <c r="P54" s="1"/>
      <c r="Q54" s="1"/>
    </row>
    <row r="55">
      <c r="A55" s="1"/>
      <c r="B55" s="2"/>
      <c r="C55" s="1"/>
      <c r="D55" s="19"/>
      <c r="E55" s="7"/>
      <c r="F55" s="7"/>
      <c r="G55" s="7"/>
      <c r="H55" s="7"/>
      <c r="I55" s="7"/>
      <c r="J55" s="7"/>
      <c r="K55" s="7"/>
      <c r="L55" s="1"/>
      <c r="M55" s="1"/>
      <c r="N55" s="1"/>
      <c r="O55" s="1"/>
      <c r="P55" s="1"/>
      <c r="Q55" s="1"/>
    </row>
    <row r="56">
      <c r="A56" s="1"/>
      <c r="B56" s="2"/>
      <c r="C56" s="1"/>
      <c r="D56" s="7"/>
      <c r="E56" s="7"/>
      <c r="F56" s="7"/>
      <c r="G56" s="7"/>
      <c r="H56" s="7"/>
      <c r="I56" s="7"/>
      <c r="J56" s="7"/>
      <c r="K56" s="7"/>
      <c r="L56" s="1"/>
      <c r="M56" s="1"/>
      <c r="N56" s="1"/>
      <c r="O56" s="1"/>
      <c r="P56" s="1"/>
      <c r="Q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3" max="3" width="23.25"/>
    <col customWidth="1" min="4" max="4" width="23.88"/>
    <col customWidth="1" min="6" max="6" width="18.38"/>
    <col customWidth="1" min="7" max="7" width="11.0"/>
    <col customWidth="1" min="8" max="8" width="54.25"/>
    <col customWidth="1" min="9" max="9" width="9.5"/>
    <col customWidth="1" min="11" max="11" width="41.88"/>
  </cols>
  <sheetData>
    <row r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</row>
    <row r="2" ht="27.75" customHeight="1">
      <c r="A2" s="22"/>
      <c r="B2" s="22"/>
      <c r="C2" s="23" t="s">
        <v>31</v>
      </c>
      <c r="D2" s="23" t="s">
        <v>32</v>
      </c>
      <c r="E2" s="24" t="s">
        <v>33</v>
      </c>
      <c r="F2" s="23" t="s">
        <v>34</v>
      </c>
      <c r="G2" s="23" t="s">
        <v>35</v>
      </c>
      <c r="H2" s="25" t="s">
        <v>36</v>
      </c>
      <c r="I2" s="26"/>
      <c r="J2" s="26"/>
      <c r="K2" s="22"/>
    </row>
    <row r="3">
      <c r="A3" s="22"/>
      <c r="B3" s="22"/>
      <c r="C3" s="27"/>
      <c r="D3" s="28"/>
      <c r="E3" s="28"/>
      <c r="F3" s="29"/>
      <c r="G3" s="30"/>
      <c r="H3" s="27" t="s">
        <v>37</v>
      </c>
      <c r="I3" s="31" t="s">
        <v>38</v>
      </c>
      <c r="J3" s="32" t="s">
        <v>39</v>
      </c>
      <c r="K3" s="22"/>
    </row>
    <row r="4">
      <c r="A4" s="22"/>
      <c r="B4" s="22"/>
      <c r="C4" s="28"/>
      <c r="D4" s="28"/>
      <c r="E4" s="28"/>
      <c r="F4" s="28"/>
      <c r="G4" s="30">
        <v>1.0</v>
      </c>
      <c r="H4" s="33">
        <v>46208.0</v>
      </c>
      <c r="I4" s="28"/>
      <c r="J4" s="34"/>
      <c r="K4" s="22"/>
    </row>
    <row r="5">
      <c r="A5" s="22"/>
      <c r="B5" s="22"/>
      <c r="C5" s="35"/>
      <c r="D5" s="35"/>
      <c r="E5" s="35"/>
      <c r="F5" s="36" t="s">
        <v>40</v>
      </c>
      <c r="G5" s="36" t="s">
        <v>41</v>
      </c>
      <c r="H5" s="37" t="s">
        <v>42</v>
      </c>
      <c r="I5" s="38"/>
      <c r="J5" s="39"/>
      <c r="K5" s="22"/>
    </row>
    <row r="6" ht="21.0" customHeight="1">
      <c r="A6" s="22"/>
      <c r="B6" s="22"/>
      <c r="C6" s="40"/>
      <c r="D6" s="41"/>
      <c r="E6" s="35"/>
      <c r="F6" s="42" t="s">
        <v>43</v>
      </c>
      <c r="G6" s="43"/>
      <c r="H6" s="44" t="s">
        <v>44</v>
      </c>
      <c r="I6" s="45"/>
      <c r="J6" s="35"/>
      <c r="K6" s="22"/>
    </row>
    <row r="7" ht="22.5" customHeight="1">
      <c r="A7" s="22"/>
      <c r="B7" s="22"/>
      <c r="C7" s="35"/>
      <c r="D7" s="43"/>
      <c r="E7" s="35"/>
      <c r="F7" s="46" t="s">
        <v>45</v>
      </c>
      <c r="G7" s="43"/>
      <c r="H7" s="47" t="s">
        <v>46</v>
      </c>
      <c r="I7" s="35"/>
      <c r="J7" s="48"/>
      <c r="K7" s="22"/>
    </row>
    <row r="8" ht="33.0" customHeight="1">
      <c r="A8" s="49"/>
      <c r="B8" s="49"/>
      <c r="C8" s="35"/>
      <c r="D8" s="35"/>
      <c r="E8" s="35"/>
      <c r="F8" s="35"/>
      <c r="G8" s="43"/>
      <c r="H8" s="50" t="s">
        <v>47</v>
      </c>
      <c r="I8" s="38"/>
      <c r="J8" s="43"/>
      <c r="K8" s="51"/>
    </row>
    <row r="9" ht="15.75" customHeight="1">
      <c r="A9" s="22"/>
      <c r="B9" s="22"/>
      <c r="C9" s="28"/>
      <c r="D9" s="28"/>
      <c r="E9" s="28"/>
      <c r="F9" s="28"/>
      <c r="G9" s="52">
        <v>2.0</v>
      </c>
      <c r="H9" s="33">
        <v>46209.0</v>
      </c>
      <c r="I9" s="29"/>
      <c r="J9" s="53"/>
      <c r="K9" s="22"/>
    </row>
    <row r="10" ht="18.75" customHeight="1">
      <c r="A10" s="22"/>
      <c r="B10" s="22"/>
      <c r="C10" s="40"/>
      <c r="D10" s="35"/>
      <c r="E10" s="54"/>
      <c r="F10" s="41"/>
      <c r="G10" s="43"/>
      <c r="H10" s="36" t="s">
        <v>48</v>
      </c>
      <c r="I10" s="35"/>
      <c r="J10" s="55"/>
      <c r="K10" s="22"/>
    </row>
    <row r="11" ht="24.0" customHeight="1">
      <c r="A11" s="22"/>
      <c r="B11" s="22"/>
      <c r="C11" s="40"/>
      <c r="D11" s="35"/>
      <c r="E11" s="54"/>
      <c r="F11" s="56" t="s">
        <v>49</v>
      </c>
      <c r="G11" s="57" t="s">
        <v>50</v>
      </c>
      <c r="H11" s="44" t="s">
        <v>51</v>
      </c>
      <c r="I11" s="57">
        <v>0.5</v>
      </c>
      <c r="J11" s="45">
        <v>1.0</v>
      </c>
      <c r="K11" s="22"/>
    </row>
    <row r="12" ht="61.5" customHeight="1">
      <c r="A12" s="22"/>
      <c r="B12" s="22"/>
      <c r="C12" s="40"/>
      <c r="D12" s="58" t="s">
        <v>52</v>
      </c>
      <c r="E12" s="35"/>
      <c r="F12" s="46" t="s">
        <v>53</v>
      </c>
      <c r="G12" s="57" t="s">
        <v>54</v>
      </c>
      <c r="H12" s="59" t="s">
        <v>55</v>
      </c>
      <c r="I12" s="35"/>
      <c r="J12" s="35"/>
      <c r="K12" s="22"/>
    </row>
    <row r="13" ht="61.5" customHeight="1">
      <c r="A13" s="22"/>
      <c r="B13" s="22"/>
      <c r="C13" s="40"/>
      <c r="D13" s="58"/>
      <c r="E13" s="35"/>
      <c r="F13" s="46"/>
      <c r="G13" s="43"/>
      <c r="H13" s="59" t="s">
        <v>56</v>
      </c>
      <c r="I13" s="60"/>
      <c r="J13" s="60"/>
      <c r="K13" s="22"/>
    </row>
    <row r="14" ht="16.5" customHeight="1">
      <c r="A14" s="22"/>
      <c r="B14" s="22"/>
      <c r="C14" s="40"/>
      <c r="D14" s="35"/>
      <c r="E14" s="54"/>
      <c r="F14" s="56" t="s">
        <v>49</v>
      </c>
      <c r="G14" s="43"/>
      <c r="H14" s="44" t="s">
        <v>57</v>
      </c>
      <c r="I14" s="45"/>
      <c r="J14" s="45">
        <v>1.0</v>
      </c>
      <c r="K14" s="22"/>
    </row>
    <row r="15" ht="18.75" customHeight="1">
      <c r="A15" s="22"/>
      <c r="B15" s="22"/>
      <c r="C15" s="40"/>
      <c r="D15" s="46"/>
      <c r="E15" s="35"/>
      <c r="F15" s="46"/>
      <c r="G15" s="43"/>
      <c r="H15" s="61" t="s">
        <v>58</v>
      </c>
      <c r="I15" s="60"/>
      <c r="J15" s="60"/>
      <c r="K15" s="22"/>
    </row>
    <row r="16">
      <c r="A16" s="22"/>
      <c r="B16" s="22"/>
      <c r="C16" s="62"/>
      <c r="D16" s="28"/>
      <c r="E16" s="28"/>
      <c r="F16" s="27"/>
      <c r="G16" s="52">
        <v>3.0</v>
      </c>
      <c r="H16" s="52" t="s">
        <v>59</v>
      </c>
      <c r="I16" s="63"/>
      <c r="J16" s="63"/>
      <c r="K16" s="22"/>
    </row>
    <row r="17">
      <c r="A17" s="22"/>
      <c r="B17" s="22"/>
      <c r="C17" s="28"/>
      <c r="D17" s="28"/>
      <c r="E17" s="28"/>
      <c r="F17" s="28"/>
      <c r="G17" s="52">
        <v>4.0</v>
      </c>
      <c r="H17" s="52" t="s">
        <v>60</v>
      </c>
      <c r="I17" s="28"/>
      <c r="J17" s="28"/>
      <c r="K17" s="22"/>
    </row>
    <row r="18">
      <c r="A18" s="22"/>
      <c r="B18" s="22"/>
      <c r="C18" s="28"/>
      <c r="D18" s="28"/>
      <c r="E18" s="28"/>
      <c r="F18" s="28"/>
      <c r="G18" s="52">
        <v>5.0</v>
      </c>
      <c r="H18" s="33">
        <v>46212.0</v>
      </c>
      <c r="I18" s="28"/>
      <c r="J18" s="28"/>
      <c r="K18" s="22"/>
    </row>
    <row r="19" ht="18.75" customHeight="1">
      <c r="A19" s="22"/>
      <c r="B19" s="22"/>
      <c r="C19" s="64"/>
      <c r="D19" s="64"/>
      <c r="E19" s="64"/>
      <c r="F19" s="64"/>
      <c r="G19" s="64"/>
      <c r="H19" s="36" t="s">
        <v>48</v>
      </c>
      <c r="I19" s="45"/>
      <c r="J19" s="45"/>
      <c r="K19" s="22"/>
    </row>
    <row r="20">
      <c r="A20" s="22"/>
      <c r="B20" s="22"/>
      <c r="C20" s="64"/>
      <c r="D20" s="64"/>
      <c r="E20" s="64"/>
      <c r="F20" s="56" t="s">
        <v>49</v>
      </c>
      <c r="G20" s="57" t="s">
        <v>50</v>
      </c>
      <c r="H20" s="44" t="s">
        <v>51</v>
      </c>
      <c r="I20" s="57">
        <v>0.5</v>
      </c>
      <c r="J20" s="45">
        <v>1.0</v>
      </c>
      <c r="K20" s="22"/>
    </row>
    <row r="21" ht="30.75" customHeight="1">
      <c r="A21" s="22"/>
      <c r="B21" s="22"/>
      <c r="C21" s="64"/>
      <c r="D21" s="58" t="s">
        <v>52</v>
      </c>
      <c r="E21" s="64"/>
      <c r="F21" s="46" t="s">
        <v>53</v>
      </c>
      <c r="G21" s="57" t="s">
        <v>54</v>
      </c>
      <c r="H21" s="59" t="s">
        <v>61</v>
      </c>
      <c r="I21" s="64"/>
      <c r="J21" s="64"/>
      <c r="K21" s="22"/>
    </row>
    <row r="22" ht="18.75" customHeight="1">
      <c r="A22" s="22"/>
      <c r="B22" s="22"/>
      <c r="C22" s="40"/>
      <c r="D22" s="46"/>
      <c r="E22" s="35"/>
      <c r="F22" s="46"/>
      <c r="G22" s="43"/>
      <c r="H22" s="61" t="s">
        <v>58</v>
      </c>
      <c r="I22" s="60"/>
      <c r="J22" s="60"/>
      <c r="K22" s="22"/>
    </row>
    <row r="23">
      <c r="A23" s="22"/>
      <c r="B23" s="22"/>
      <c r="C23" s="64"/>
      <c r="D23" s="64"/>
      <c r="E23" s="64"/>
      <c r="F23" s="56" t="s">
        <v>49</v>
      </c>
      <c r="G23" s="64"/>
      <c r="H23" s="44" t="s">
        <v>57</v>
      </c>
      <c r="I23" s="45"/>
      <c r="J23" s="45">
        <v>1.0</v>
      </c>
      <c r="K23" s="22"/>
    </row>
    <row r="24">
      <c r="A24" s="22"/>
      <c r="B24" s="22"/>
      <c r="C24" s="65"/>
      <c r="D24" s="28"/>
      <c r="E24" s="28"/>
      <c r="F24" s="28"/>
      <c r="G24" s="52">
        <v>6.0</v>
      </c>
      <c r="H24" s="66">
        <v>46213.0</v>
      </c>
      <c r="I24" s="28"/>
      <c r="J24" s="28"/>
      <c r="K24" s="22"/>
    </row>
    <row r="25">
      <c r="A25" s="22"/>
      <c r="B25" s="22"/>
      <c r="C25" s="64"/>
      <c r="D25" s="64"/>
      <c r="E25" s="64"/>
      <c r="F25" s="42" t="s">
        <v>43</v>
      </c>
      <c r="G25" s="64"/>
      <c r="H25" s="67" t="s">
        <v>62</v>
      </c>
      <c r="I25" s="64"/>
      <c r="J25" s="64"/>
      <c r="K25" s="22"/>
    </row>
    <row r="26">
      <c r="A26" s="22"/>
      <c r="B26" s="22"/>
      <c r="C26" s="64"/>
      <c r="D26" s="64"/>
      <c r="E26" s="64"/>
      <c r="F26" s="64"/>
      <c r="G26" s="37" t="s">
        <v>63</v>
      </c>
      <c r="H26" s="37" t="s">
        <v>64</v>
      </c>
      <c r="I26" s="64"/>
      <c r="J26" s="64"/>
      <c r="K26" s="22"/>
    </row>
    <row r="27">
      <c r="A27" s="22"/>
      <c r="B27" s="22"/>
      <c r="C27" s="64"/>
      <c r="D27" s="64"/>
      <c r="E27" s="64"/>
      <c r="F27" s="64"/>
      <c r="G27" s="64"/>
      <c r="H27" s="64"/>
      <c r="I27" s="64"/>
      <c r="J27" s="64"/>
      <c r="K27" s="22"/>
    </row>
    <row r="28">
      <c r="A28" s="22"/>
      <c r="B28" s="22"/>
      <c r="C28" s="22"/>
      <c r="D28" s="22"/>
      <c r="E28" s="22"/>
      <c r="F28" s="22"/>
      <c r="G28" s="22"/>
      <c r="H28" s="22"/>
      <c r="I28" s="22">
        <f t="shared" ref="I28:J28" si="1">SUM(I4:I27)</f>
        <v>1</v>
      </c>
      <c r="J28" s="22">
        <f t="shared" si="1"/>
        <v>4</v>
      </c>
      <c r="K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6.25"/>
    <col customWidth="1" min="4" max="4" width="17.88"/>
    <col customWidth="1" min="5" max="5" width="57.38"/>
    <col customWidth="1" min="6" max="6" width="14.75"/>
    <col customWidth="1" min="9" max="9" width="13.13"/>
    <col customWidth="1" min="10" max="10" width="4.63"/>
    <col customWidth="1" min="11" max="11" width="13.88"/>
    <col customWidth="1" min="12" max="12" width="19.25"/>
    <col customWidth="1" min="14" max="14" width="3.0"/>
    <col customWidth="1" min="15" max="15" width="29.75"/>
    <col customWidth="1" min="16" max="16" width="7.75"/>
    <col customWidth="1" min="17" max="17" width="17.0"/>
    <col customWidth="1" min="19" max="19" width="41.38"/>
    <col customWidth="1" min="20" max="20" width="29.88"/>
  </cols>
  <sheetData>
    <row r="1">
      <c r="A1" s="68"/>
      <c r="B1" s="68"/>
      <c r="C1" s="68"/>
      <c r="D1" s="69"/>
      <c r="E1" s="69"/>
      <c r="F1" s="69"/>
      <c r="G1" s="69"/>
      <c r="H1" s="69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70"/>
      <c r="X1" s="70"/>
      <c r="Y1" s="70"/>
      <c r="Z1" s="70"/>
      <c r="AA1" s="70"/>
      <c r="AB1" s="70"/>
      <c r="AC1" s="70"/>
    </row>
    <row r="2" ht="16.5" customHeight="1">
      <c r="A2" s="68"/>
      <c r="B2" s="70"/>
      <c r="C2" s="70"/>
      <c r="D2" s="68"/>
      <c r="E2" s="68"/>
      <c r="F2" s="68"/>
      <c r="G2" s="70"/>
      <c r="H2" s="70"/>
      <c r="I2" s="70"/>
      <c r="J2" s="70"/>
      <c r="K2" s="70"/>
      <c r="L2" s="70"/>
      <c r="M2" s="70"/>
      <c r="N2" s="70"/>
      <c r="O2" s="71" t="s">
        <v>65</v>
      </c>
      <c r="P2" s="71"/>
      <c r="Q2" s="71"/>
      <c r="R2" s="71"/>
      <c r="S2" s="72"/>
      <c r="T2" s="72"/>
      <c r="U2" s="72"/>
      <c r="V2" s="68"/>
      <c r="W2" s="70"/>
      <c r="X2" s="70"/>
      <c r="Y2" s="70"/>
      <c r="Z2" s="70"/>
      <c r="AA2" s="70"/>
      <c r="AB2" s="70"/>
      <c r="AC2" s="70"/>
    </row>
    <row r="3" ht="23.25" customHeight="1">
      <c r="A3" s="68"/>
      <c r="B3" s="70"/>
      <c r="C3" s="70"/>
      <c r="D3" s="68"/>
      <c r="E3" s="68"/>
      <c r="F3" s="68"/>
      <c r="G3" s="70"/>
      <c r="H3" s="70"/>
      <c r="I3" s="70"/>
      <c r="J3" s="70"/>
      <c r="K3" s="70"/>
      <c r="L3" s="70"/>
      <c r="M3" s="70"/>
      <c r="N3" s="70"/>
      <c r="O3" s="73"/>
      <c r="P3" s="73"/>
      <c r="Q3" s="73"/>
      <c r="R3" s="73"/>
      <c r="S3" s="74"/>
      <c r="T3" s="74"/>
      <c r="U3" s="74"/>
      <c r="V3" s="68"/>
      <c r="W3" s="70"/>
      <c r="X3" s="70"/>
      <c r="Y3" s="70"/>
      <c r="Z3" s="70"/>
      <c r="AA3" s="70"/>
      <c r="AB3" s="70"/>
      <c r="AC3" s="70"/>
    </row>
    <row r="4">
      <c r="A4" s="68"/>
      <c r="B4" s="75" t="s">
        <v>66</v>
      </c>
      <c r="C4" s="75" t="s">
        <v>67</v>
      </c>
      <c r="D4" s="75" t="s">
        <v>68</v>
      </c>
      <c r="E4" s="76" t="s">
        <v>69</v>
      </c>
      <c r="F4" s="76" t="s">
        <v>34</v>
      </c>
      <c r="G4" s="76" t="s">
        <v>70</v>
      </c>
      <c r="H4" s="77" t="s">
        <v>1</v>
      </c>
      <c r="I4" s="77"/>
      <c r="J4" s="70"/>
      <c r="K4" s="78" t="s">
        <v>71</v>
      </c>
      <c r="L4" s="73" t="s">
        <v>72</v>
      </c>
      <c r="M4" s="73" t="s">
        <v>73</v>
      </c>
      <c r="N4" s="70"/>
      <c r="O4" s="79" t="s">
        <v>74</v>
      </c>
      <c r="P4" s="80" t="s">
        <v>75</v>
      </c>
      <c r="Q4" s="80" t="s">
        <v>76</v>
      </c>
      <c r="R4" s="80" t="s">
        <v>77</v>
      </c>
      <c r="S4" s="80" t="s">
        <v>78</v>
      </c>
      <c r="T4" s="80" t="s">
        <v>79</v>
      </c>
      <c r="U4" s="80" t="s">
        <v>80</v>
      </c>
      <c r="V4" s="68"/>
      <c r="W4" s="70"/>
      <c r="X4" s="70"/>
      <c r="Y4" s="70"/>
      <c r="Z4" s="70"/>
      <c r="AA4" s="70"/>
      <c r="AB4" s="70"/>
      <c r="AC4" s="70"/>
    </row>
    <row r="5" ht="33.75" customHeight="1">
      <c r="A5" s="68"/>
      <c r="B5" s="81" t="s">
        <v>81</v>
      </c>
      <c r="C5" s="82" t="s">
        <v>82</v>
      </c>
      <c r="D5" s="82" t="s">
        <v>83</v>
      </c>
      <c r="E5" s="83"/>
      <c r="F5" s="84"/>
      <c r="G5" s="85"/>
      <c r="H5" s="85"/>
      <c r="I5" s="86"/>
      <c r="J5" s="68"/>
      <c r="K5" s="87"/>
      <c r="L5" s="88"/>
      <c r="M5" s="87"/>
      <c r="N5" s="68"/>
      <c r="O5" s="68"/>
      <c r="P5" s="68"/>
      <c r="Q5" s="68"/>
      <c r="R5" s="68"/>
      <c r="S5" s="68"/>
      <c r="T5" s="68"/>
      <c r="U5" s="68"/>
      <c r="V5" s="68"/>
      <c r="W5" s="70"/>
      <c r="X5" s="70"/>
      <c r="Y5" s="70"/>
      <c r="Z5" s="70"/>
      <c r="AA5" s="70"/>
      <c r="AB5" s="70"/>
      <c r="AC5" s="70"/>
    </row>
    <row r="6" ht="33.75" customHeight="1">
      <c r="A6" s="68"/>
      <c r="B6" s="89" t="s">
        <v>84</v>
      </c>
      <c r="C6" s="90" t="s">
        <v>85</v>
      </c>
      <c r="D6" s="90" t="s">
        <v>86</v>
      </c>
      <c r="E6" s="91" t="s">
        <v>87</v>
      </c>
      <c r="F6" s="91"/>
      <c r="G6" s="92" t="s">
        <v>88</v>
      </c>
      <c r="H6" s="92" t="s">
        <v>89</v>
      </c>
      <c r="I6" s="93" t="s">
        <v>90</v>
      </c>
      <c r="J6" s="68"/>
      <c r="K6" s="87">
        <f>2750*6</f>
        <v>16500</v>
      </c>
      <c r="L6" s="88">
        <v>0.0</v>
      </c>
      <c r="M6" s="87">
        <f>2750*6</f>
        <v>16500</v>
      </c>
      <c r="N6" s="68"/>
      <c r="O6" s="68"/>
      <c r="P6" s="68"/>
      <c r="Q6" s="68"/>
      <c r="R6" s="68"/>
      <c r="S6" s="68"/>
      <c r="T6" s="68"/>
      <c r="U6" s="68"/>
      <c r="V6" s="68"/>
      <c r="W6" s="70"/>
      <c r="X6" s="70"/>
      <c r="Y6" s="70"/>
      <c r="Z6" s="70"/>
      <c r="AA6" s="70"/>
      <c r="AB6" s="70"/>
      <c r="AC6" s="70"/>
    </row>
    <row r="7" ht="33.0" customHeight="1">
      <c r="A7" s="68"/>
      <c r="B7" s="90" t="s">
        <v>91</v>
      </c>
      <c r="C7" s="90" t="s">
        <v>92</v>
      </c>
      <c r="D7" s="90" t="s">
        <v>86</v>
      </c>
      <c r="E7" s="91" t="s">
        <v>55</v>
      </c>
      <c r="F7" s="91"/>
      <c r="G7" s="92" t="s">
        <v>93</v>
      </c>
      <c r="H7" s="92" t="s">
        <v>94</v>
      </c>
      <c r="I7" s="93" t="s">
        <v>94</v>
      </c>
      <c r="J7" s="68"/>
      <c r="K7" s="94">
        <f>1597826-(1597826*8%)</f>
        <v>1469999.92</v>
      </c>
      <c r="L7" s="95"/>
      <c r="M7" s="95"/>
      <c r="N7" s="68"/>
      <c r="O7" s="68"/>
      <c r="P7" s="68"/>
      <c r="Q7" s="68"/>
      <c r="R7" s="68"/>
      <c r="S7" s="68"/>
      <c r="T7" s="68"/>
      <c r="U7" s="68"/>
      <c r="V7" s="68"/>
      <c r="W7" s="70"/>
      <c r="X7" s="70"/>
      <c r="Y7" s="70"/>
      <c r="Z7" s="70"/>
      <c r="AA7" s="70"/>
      <c r="AB7" s="70"/>
      <c r="AC7" s="70"/>
    </row>
    <row r="8" ht="33.0" customHeight="1">
      <c r="A8" s="68"/>
      <c r="B8" s="90" t="s">
        <v>91</v>
      </c>
      <c r="C8" s="90" t="s">
        <v>92</v>
      </c>
      <c r="D8" s="90" t="s">
        <v>86</v>
      </c>
      <c r="E8" s="91" t="s">
        <v>95</v>
      </c>
      <c r="F8" s="91"/>
      <c r="G8" s="92" t="s">
        <v>93</v>
      </c>
      <c r="H8" s="92" t="s">
        <v>96</v>
      </c>
      <c r="I8" s="93" t="s">
        <v>96</v>
      </c>
      <c r="J8" s="68"/>
      <c r="K8" s="94">
        <f>647826-(647826*8%)</f>
        <v>595999.92</v>
      </c>
      <c r="L8" s="95"/>
      <c r="M8" s="95"/>
      <c r="N8" s="68"/>
      <c r="O8" s="68"/>
      <c r="P8" s="68"/>
      <c r="Q8" s="68"/>
      <c r="R8" s="68"/>
      <c r="S8" s="68"/>
      <c r="T8" s="68"/>
      <c r="U8" s="68"/>
      <c r="V8" s="68"/>
      <c r="W8" s="70"/>
      <c r="X8" s="70"/>
      <c r="Y8" s="70"/>
      <c r="Z8" s="70"/>
      <c r="AA8" s="70"/>
      <c r="AB8" s="70"/>
      <c r="AC8" s="70"/>
    </row>
    <row r="9" ht="34.5" customHeight="1">
      <c r="A9" s="68"/>
      <c r="B9" s="89" t="s">
        <v>84</v>
      </c>
      <c r="C9" s="90" t="s">
        <v>92</v>
      </c>
      <c r="D9" s="90" t="s">
        <v>92</v>
      </c>
      <c r="E9" s="91" t="s">
        <v>97</v>
      </c>
      <c r="F9" s="91"/>
      <c r="G9" s="92" t="s">
        <v>93</v>
      </c>
      <c r="H9" s="92" t="s">
        <v>98</v>
      </c>
      <c r="I9" s="93" t="s">
        <v>98</v>
      </c>
      <c r="J9" s="68"/>
      <c r="K9" s="96">
        <f>3311550-(3311550*8%)</f>
        <v>3046626</v>
      </c>
      <c r="L9" s="95"/>
      <c r="M9" s="95"/>
      <c r="N9" s="68"/>
      <c r="O9" s="68"/>
      <c r="P9" s="68"/>
      <c r="Q9" s="68"/>
      <c r="R9" s="68"/>
      <c r="S9" s="68"/>
      <c r="T9" s="68"/>
      <c r="U9" s="68"/>
      <c r="V9" s="68"/>
      <c r="W9" s="70"/>
      <c r="X9" s="70"/>
      <c r="Y9" s="70"/>
      <c r="Z9" s="70"/>
      <c r="AA9" s="70"/>
      <c r="AB9" s="70"/>
      <c r="AC9" s="70"/>
    </row>
    <row r="10" ht="34.5" customHeight="1">
      <c r="A10" s="68"/>
      <c r="B10" s="89" t="s">
        <v>84</v>
      </c>
      <c r="C10" s="90" t="s">
        <v>85</v>
      </c>
      <c r="D10" s="90" t="s">
        <v>99</v>
      </c>
      <c r="E10" s="91" t="s">
        <v>100</v>
      </c>
      <c r="F10" s="91"/>
      <c r="G10" s="92" t="s">
        <v>101</v>
      </c>
      <c r="H10" s="92" t="s">
        <v>102</v>
      </c>
      <c r="I10" s="93" t="s">
        <v>103</v>
      </c>
      <c r="J10" s="68"/>
      <c r="K10" s="87">
        <f>310000*5</f>
        <v>1550000</v>
      </c>
      <c r="L10" s="95"/>
      <c r="M10" s="95"/>
      <c r="N10" s="68"/>
      <c r="O10" s="68"/>
      <c r="P10" s="68"/>
      <c r="Q10" s="68"/>
      <c r="R10" s="68"/>
      <c r="S10" s="68"/>
      <c r="T10" s="68"/>
      <c r="U10" s="68"/>
      <c r="V10" s="68"/>
      <c r="W10" s="70"/>
      <c r="X10" s="70"/>
      <c r="Y10" s="70"/>
      <c r="Z10" s="70"/>
      <c r="AA10" s="70"/>
      <c r="AB10" s="70"/>
      <c r="AC10" s="70"/>
    </row>
    <row r="11" ht="33.75" customHeight="1">
      <c r="A11" s="68"/>
      <c r="B11" s="89" t="s">
        <v>84</v>
      </c>
      <c r="C11" s="90" t="s">
        <v>85</v>
      </c>
      <c r="D11" s="90" t="s">
        <v>99</v>
      </c>
      <c r="E11" s="91" t="s">
        <v>104</v>
      </c>
      <c r="F11" s="91"/>
      <c r="G11" s="92" t="s">
        <v>105</v>
      </c>
      <c r="H11" s="92" t="s">
        <v>106</v>
      </c>
      <c r="I11" s="93" t="s">
        <v>107</v>
      </c>
      <c r="J11" s="68"/>
      <c r="K11" s="88">
        <f>95000*2</f>
        <v>190000</v>
      </c>
      <c r="L11" s="95"/>
      <c r="M11" s="95"/>
      <c r="N11" s="68"/>
      <c r="O11" s="68"/>
      <c r="P11" s="68"/>
      <c r="Q11" s="68"/>
      <c r="R11" s="68"/>
      <c r="S11" s="68"/>
      <c r="T11" s="68"/>
      <c r="U11" s="68"/>
      <c r="V11" s="68"/>
      <c r="W11" s="70"/>
      <c r="X11" s="70"/>
      <c r="Y11" s="70"/>
      <c r="Z11" s="70"/>
      <c r="AA11" s="70"/>
      <c r="AB11" s="70"/>
      <c r="AC11" s="70"/>
    </row>
    <row r="12">
      <c r="A12" s="68"/>
      <c r="B12" s="89" t="s">
        <v>84</v>
      </c>
      <c r="C12" s="90" t="s">
        <v>85</v>
      </c>
      <c r="D12" s="90" t="s">
        <v>99</v>
      </c>
      <c r="E12" s="91" t="s">
        <v>108</v>
      </c>
      <c r="F12" s="91"/>
      <c r="G12" s="92" t="s">
        <v>93</v>
      </c>
      <c r="H12" s="92" t="s">
        <v>109</v>
      </c>
      <c r="I12" s="93" t="s">
        <v>109</v>
      </c>
      <c r="J12" s="68"/>
      <c r="K12" s="88">
        <v>199000.0</v>
      </c>
      <c r="L12" s="95"/>
      <c r="M12" s="95"/>
      <c r="N12" s="68"/>
      <c r="O12" s="68"/>
      <c r="P12" s="68"/>
      <c r="Q12" s="68"/>
      <c r="R12" s="68"/>
      <c r="S12" s="68"/>
      <c r="T12" s="68"/>
      <c r="U12" s="68"/>
      <c r="V12" s="68"/>
      <c r="W12" s="70"/>
      <c r="X12" s="70"/>
      <c r="Y12" s="70"/>
      <c r="Z12" s="70"/>
      <c r="AA12" s="70"/>
      <c r="AB12" s="70"/>
      <c r="AC12" s="70"/>
    </row>
    <row r="13" ht="40.5" customHeight="1">
      <c r="A13" s="68"/>
      <c r="B13" s="89" t="s">
        <v>84</v>
      </c>
      <c r="C13" s="90" t="s">
        <v>85</v>
      </c>
      <c r="D13" s="90" t="s">
        <v>99</v>
      </c>
      <c r="E13" s="91" t="s">
        <v>110</v>
      </c>
      <c r="F13" s="91"/>
      <c r="G13" s="92" t="s">
        <v>111</v>
      </c>
      <c r="H13" s="92" t="s">
        <v>90</v>
      </c>
      <c r="I13" s="93" t="s">
        <v>112</v>
      </c>
      <c r="J13" s="68"/>
      <c r="K13" s="87">
        <f>35000*4</f>
        <v>140000</v>
      </c>
      <c r="L13" s="95"/>
      <c r="M13" s="95"/>
      <c r="N13" s="68"/>
      <c r="O13" s="68"/>
      <c r="P13" s="68"/>
      <c r="Q13" s="68"/>
      <c r="R13" s="68"/>
      <c r="S13" s="68"/>
      <c r="T13" s="68"/>
      <c r="U13" s="68"/>
      <c r="V13" s="68"/>
      <c r="W13" s="70"/>
      <c r="X13" s="70"/>
      <c r="Y13" s="70"/>
      <c r="Z13" s="70"/>
      <c r="AA13" s="70"/>
      <c r="AB13" s="70"/>
      <c r="AC13" s="70"/>
    </row>
    <row r="14" ht="21.0" customHeight="1">
      <c r="A14" s="68"/>
      <c r="B14" s="97"/>
      <c r="C14" s="97"/>
      <c r="D14" s="97"/>
      <c r="E14" s="98" t="s">
        <v>113</v>
      </c>
      <c r="F14" s="98"/>
      <c r="G14" s="99"/>
      <c r="H14" s="100"/>
      <c r="I14" s="99" t="s">
        <v>114</v>
      </c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70"/>
      <c r="X14" s="70"/>
      <c r="Y14" s="70"/>
      <c r="Z14" s="70"/>
      <c r="AA14" s="70"/>
      <c r="AB14" s="70"/>
      <c r="AC14" s="70"/>
    </row>
    <row r="15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</row>
    <row r="16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</row>
    <row r="17">
      <c r="A17" s="68"/>
      <c r="B17" s="101"/>
      <c r="C17" s="68"/>
      <c r="D17" s="68"/>
      <c r="E17" s="102"/>
      <c r="F17" s="102"/>
      <c r="G17" s="103"/>
      <c r="H17" s="103"/>
      <c r="I17" s="104"/>
      <c r="J17" s="68"/>
      <c r="K17" s="105"/>
      <c r="L17" s="68"/>
      <c r="M17" s="68"/>
      <c r="N17" s="68"/>
      <c r="O17" s="68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</row>
    <row r="18">
      <c r="A18" s="68"/>
      <c r="B18" s="68"/>
      <c r="C18" s="68"/>
      <c r="D18" s="68"/>
      <c r="E18" s="102"/>
      <c r="F18" s="102"/>
      <c r="G18" s="103"/>
      <c r="H18" s="103"/>
      <c r="I18" s="104"/>
      <c r="J18" s="68"/>
      <c r="K18" s="106"/>
      <c r="L18" s="68"/>
      <c r="M18" s="68"/>
      <c r="N18" s="68"/>
      <c r="O18" s="68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</row>
    <row r="19">
      <c r="A19" s="68"/>
      <c r="B19" s="68"/>
      <c r="C19" s="68"/>
      <c r="D19" s="101"/>
      <c r="E19" s="107"/>
      <c r="F19" s="107"/>
      <c r="G19" s="108"/>
      <c r="H19" s="108"/>
      <c r="I19" s="109"/>
      <c r="J19" s="68"/>
      <c r="K19" s="106"/>
      <c r="L19" s="68"/>
      <c r="M19" s="68"/>
      <c r="N19" s="68"/>
      <c r="O19" s="68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</row>
    <row r="20">
      <c r="A20" s="68"/>
      <c r="B20" s="68"/>
      <c r="C20" s="68"/>
      <c r="D20" s="101"/>
      <c r="E20" s="107"/>
      <c r="F20" s="107"/>
      <c r="G20" s="108"/>
      <c r="H20" s="108"/>
      <c r="I20" s="109"/>
      <c r="J20" s="68"/>
      <c r="K20" s="110"/>
      <c r="L20" s="68"/>
      <c r="M20" s="68"/>
      <c r="N20" s="68"/>
      <c r="O20" s="68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</row>
    <row r="21">
      <c r="A21" s="68"/>
      <c r="B21" s="101"/>
      <c r="C21" s="68"/>
      <c r="D21" s="101"/>
      <c r="E21" s="107"/>
      <c r="F21" s="107"/>
      <c r="G21" s="108"/>
      <c r="H21" s="108"/>
      <c r="I21" s="109"/>
      <c r="J21" s="68"/>
      <c r="K21" s="110"/>
      <c r="L21" s="68"/>
      <c r="M21" s="68"/>
      <c r="N21" s="68"/>
      <c r="O21" s="68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</row>
    <row r="22">
      <c r="A22" s="68"/>
      <c r="B22" s="101"/>
      <c r="C22" s="68"/>
      <c r="D22" s="101"/>
      <c r="E22" s="107"/>
      <c r="F22" s="107"/>
      <c r="G22" s="108"/>
      <c r="H22" s="108"/>
      <c r="I22" s="109"/>
      <c r="J22" s="68"/>
      <c r="K22" s="110"/>
      <c r="L22" s="68"/>
      <c r="M22" s="68"/>
      <c r="N22" s="68"/>
      <c r="O22" s="68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</row>
    <row r="23">
      <c r="A23" s="68"/>
      <c r="B23" s="101"/>
      <c r="C23" s="68"/>
      <c r="D23" s="101"/>
      <c r="E23" s="107"/>
      <c r="F23" s="107"/>
      <c r="G23" s="108"/>
      <c r="H23" s="108"/>
      <c r="I23" s="109"/>
      <c r="J23" s="68"/>
      <c r="K23" s="68"/>
      <c r="L23" s="68"/>
      <c r="M23" s="68"/>
      <c r="N23" s="68"/>
      <c r="O23" s="68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</row>
    <row r="24">
      <c r="A24" s="68"/>
      <c r="B24" s="101"/>
      <c r="C24" s="68"/>
      <c r="D24" s="101"/>
      <c r="E24" s="107"/>
      <c r="F24" s="107"/>
      <c r="G24" s="108"/>
      <c r="H24" s="108"/>
      <c r="I24" s="109"/>
      <c r="J24" s="68"/>
      <c r="K24" s="68"/>
      <c r="L24" s="68"/>
      <c r="M24" s="68"/>
      <c r="N24" s="68"/>
      <c r="O24" s="68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</row>
    <row r="25">
      <c r="A25" s="68"/>
      <c r="B25" s="68"/>
      <c r="C25" s="68"/>
      <c r="D25" s="68"/>
      <c r="E25" s="107"/>
      <c r="F25" s="107"/>
      <c r="G25" s="108"/>
      <c r="H25" s="108"/>
      <c r="I25" s="109"/>
      <c r="J25" s="68"/>
      <c r="K25" s="68"/>
      <c r="L25" s="68"/>
      <c r="M25" s="68"/>
      <c r="N25" s="68"/>
      <c r="O25" s="68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</row>
    <row r="26">
      <c r="A26" s="68"/>
      <c r="B26" s="68"/>
      <c r="C26" s="68"/>
      <c r="D26" s="68"/>
      <c r="E26" s="107"/>
      <c r="F26" s="107"/>
      <c r="G26" s="108"/>
      <c r="H26" s="108"/>
      <c r="I26" s="109"/>
      <c r="J26" s="68"/>
      <c r="K26" s="68"/>
      <c r="L26" s="68"/>
      <c r="M26" s="68"/>
      <c r="N26" s="68"/>
      <c r="O26" s="68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</row>
    <row r="27">
      <c r="A27" s="68"/>
      <c r="B27" s="68"/>
      <c r="C27" s="68"/>
      <c r="D27" s="68"/>
      <c r="E27" s="111"/>
      <c r="F27" s="111"/>
      <c r="G27" s="112"/>
      <c r="H27" s="113"/>
      <c r="I27" s="112"/>
      <c r="J27" s="68"/>
      <c r="K27" s="68"/>
      <c r="L27" s="68"/>
      <c r="M27" s="68"/>
      <c r="N27" s="68"/>
      <c r="O27" s="68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</row>
    <row r="28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</row>
    <row r="29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</row>
    <row r="30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</row>
    <row r="3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</row>
    <row r="32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</row>
    <row r="33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</row>
    <row r="34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</row>
    <row r="3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</row>
    <row r="36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</row>
    <row r="37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</row>
    <row r="38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</row>
    <row r="40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</row>
    <row r="4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</row>
    <row r="42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</row>
    <row r="43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</row>
    <row r="44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</row>
    <row r="4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</row>
    <row r="46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</row>
    <row r="47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</row>
    <row r="48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</row>
    <row r="49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</row>
    <row r="50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</row>
    <row r="5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</row>
    <row r="52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</row>
    <row r="5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</row>
    <row r="54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</row>
    <row r="55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</row>
    <row r="56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</row>
    <row r="57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</row>
    <row r="58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</row>
    <row r="59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</row>
    <row r="95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</row>
    <row r="96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</row>
    <row r="97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</row>
    <row r="98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F4" s="114" t="s">
        <v>115</v>
      </c>
    </row>
    <row r="7">
      <c r="H7" s="114" t="s">
        <v>115</v>
      </c>
    </row>
    <row r="8">
      <c r="G8" s="114" t="s">
        <v>115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.13"/>
    <col customWidth="1" min="4" max="4" width="12.5"/>
    <col customWidth="1" min="5" max="5" width="36.63"/>
    <col customWidth="1" min="6" max="6" width="14.75"/>
    <col customWidth="1" min="9" max="9" width="13.13"/>
    <col customWidth="1" min="10" max="10" width="4.63"/>
    <col customWidth="1" min="11" max="11" width="13.88"/>
    <col customWidth="1" min="14" max="14" width="3.0"/>
    <col customWidth="1" min="15" max="15" width="29.75"/>
    <col customWidth="1" min="16" max="16" width="7.75"/>
    <col customWidth="1" min="17" max="17" width="17.0"/>
    <col customWidth="1" min="19" max="19" width="41.38"/>
    <col customWidth="1" min="20" max="20" width="29.88"/>
  </cols>
  <sheetData>
    <row r="1">
      <c r="A1" s="115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</row>
    <row r="2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6" t="s">
        <v>65</v>
      </c>
      <c r="P2" s="116"/>
      <c r="Q2" s="116"/>
      <c r="R2" s="116"/>
      <c r="S2" s="117"/>
      <c r="T2" s="117"/>
      <c r="U2" s="117"/>
      <c r="V2" s="115"/>
      <c r="W2" s="115"/>
      <c r="X2" s="115"/>
      <c r="Y2" s="115"/>
      <c r="Z2" s="115"/>
      <c r="AA2" s="115"/>
      <c r="AB2" s="115"/>
      <c r="AC2" s="115"/>
    </row>
    <row r="3">
      <c r="A3" s="115"/>
      <c r="B3" s="118" t="s">
        <v>66</v>
      </c>
      <c r="C3" s="118" t="s">
        <v>67</v>
      </c>
      <c r="D3" s="118" t="s">
        <v>68</v>
      </c>
      <c r="E3" s="119" t="s">
        <v>116</v>
      </c>
      <c r="F3" s="119" t="s">
        <v>34</v>
      </c>
      <c r="G3" s="119" t="s">
        <v>70</v>
      </c>
      <c r="H3" s="120" t="s">
        <v>117</v>
      </c>
      <c r="I3" s="121" t="s">
        <v>118</v>
      </c>
      <c r="J3" s="122"/>
      <c r="K3" s="123"/>
      <c r="L3" s="123" t="s">
        <v>72</v>
      </c>
      <c r="M3" s="123" t="s">
        <v>73</v>
      </c>
      <c r="N3" s="115"/>
      <c r="O3" s="124" t="s">
        <v>74</v>
      </c>
      <c r="P3" s="125" t="s">
        <v>75</v>
      </c>
      <c r="Q3" s="125" t="s">
        <v>76</v>
      </c>
      <c r="R3" s="125" t="s">
        <v>77</v>
      </c>
      <c r="S3" s="125" t="s">
        <v>78</v>
      </c>
      <c r="T3" s="125" t="s">
        <v>79</v>
      </c>
      <c r="U3" s="125" t="s">
        <v>80</v>
      </c>
      <c r="V3" s="115"/>
      <c r="W3" s="115"/>
      <c r="X3" s="115"/>
      <c r="Y3" s="115"/>
      <c r="Z3" s="115"/>
      <c r="AA3" s="115"/>
      <c r="AB3" s="115"/>
      <c r="AC3" s="115"/>
    </row>
    <row r="4" ht="39.0" customHeight="1">
      <c r="A4" s="113"/>
      <c r="B4" s="126" t="s">
        <v>119</v>
      </c>
      <c r="C4" s="126" t="s">
        <v>120</v>
      </c>
      <c r="D4" s="127" t="s">
        <v>121</v>
      </c>
      <c r="E4" s="102" t="s">
        <v>122</v>
      </c>
      <c r="F4" s="102" t="s">
        <v>123</v>
      </c>
      <c r="G4" s="104">
        <v>1.0</v>
      </c>
      <c r="H4" s="128">
        <f>K4/0.75</f>
        <v>200000</v>
      </c>
      <c r="I4" s="129">
        <f t="shared" ref="I4:I5" si="1">H4/3500</f>
        <v>57.14285714</v>
      </c>
      <c r="J4" s="113"/>
      <c r="K4" s="130">
        <v>150000.0</v>
      </c>
      <c r="L4" s="128">
        <f>K4*2%</f>
        <v>3000</v>
      </c>
      <c r="M4" s="130">
        <f>K4-L4</f>
        <v>147000</v>
      </c>
      <c r="N4" s="113"/>
      <c r="O4" s="102" t="s">
        <v>124</v>
      </c>
      <c r="P4" s="113"/>
      <c r="Q4" s="131">
        <v>46129.0</v>
      </c>
      <c r="R4" s="130">
        <v>147000.0</v>
      </c>
      <c r="S4" s="132" t="s">
        <v>125</v>
      </c>
      <c r="T4" s="132" t="s">
        <v>126</v>
      </c>
      <c r="U4" s="133"/>
      <c r="V4" s="115"/>
      <c r="W4" s="115"/>
      <c r="X4" s="115"/>
      <c r="Y4" s="115"/>
      <c r="Z4" s="115"/>
      <c r="AA4" s="115"/>
      <c r="AB4" s="115"/>
      <c r="AC4" s="115"/>
    </row>
    <row r="5">
      <c r="A5" s="113"/>
      <c r="B5" s="133"/>
      <c r="C5" s="133"/>
      <c r="D5" s="134"/>
      <c r="E5" s="102" t="s">
        <v>127</v>
      </c>
      <c r="F5" s="102" t="s">
        <v>128</v>
      </c>
      <c r="G5" s="104">
        <v>1.0</v>
      </c>
      <c r="H5" s="128">
        <f>H4*6%</f>
        <v>12000</v>
      </c>
      <c r="I5" s="129">
        <f t="shared" si="1"/>
        <v>3.428571429</v>
      </c>
      <c r="J5" s="113"/>
      <c r="K5" s="134"/>
      <c r="L5" s="134"/>
      <c r="M5" s="134"/>
      <c r="N5" s="113"/>
      <c r="O5" s="134"/>
      <c r="P5" s="134"/>
      <c r="Q5" s="134"/>
      <c r="R5" s="134"/>
      <c r="S5" s="134"/>
      <c r="T5" s="134"/>
      <c r="U5" s="134"/>
      <c r="V5" s="113"/>
      <c r="W5" s="115"/>
      <c r="X5" s="115"/>
      <c r="Y5" s="115"/>
      <c r="Z5" s="115"/>
      <c r="AA5" s="115"/>
      <c r="AB5" s="115"/>
      <c r="AC5" s="115"/>
    </row>
    <row r="6">
      <c r="A6" s="113"/>
      <c r="B6" s="113"/>
      <c r="C6" s="113"/>
      <c r="D6" s="104"/>
      <c r="E6" s="135" t="s">
        <v>129</v>
      </c>
      <c r="F6" s="136"/>
      <c r="G6" s="136"/>
      <c r="H6" s="137">
        <f t="shared" ref="H6:I6" si="2">SUM(H4:H5)</f>
        <v>212000</v>
      </c>
      <c r="I6" s="138">
        <f t="shared" si="2"/>
        <v>60.57142857</v>
      </c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5"/>
      <c r="X6" s="115"/>
      <c r="Y6" s="115"/>
      <c r="Z6" s="115"/>
      <c r="AA6" s="115"/>
      <c r="AB6" s="115"/>
      <c r="AC6" s="115"/>
    </row>
    <row r="7">
      <c r="A7" s="113"/>
      <c r="B7" s="113"/>
      <c r="C7" s="113"/>
      <c r="D7" s="104"/>
      <c r="E7" s="104"/>
      <c r="F7" s="104"/>
      <c r="G7" s="104"/>
      <c r="H7" s="104"/>
      <c r="I7" s="113"/>
      <c r="J7" s="113"/>
      <c r="K7" s="128"/>
      <c r="L7" s="128"/>
      <c r="M7" s="128"/>
      <c r="N7" s="113"/>
      <c r="O7" s="113"/>
      <c r="P7" s="113"/>
      <c r="Q7" s="139"/>
      <c r="R7" s="113"/>
      <c r="S7" s="113"/>
      <c r="T7" s="113"/>
      <c r="U7" s="113"/>
      <c r="V7" s="113"/>
      <c r="W7" s="115"/>
      <c r="X7" s="115"/>
      <c r="Y7" s="115"/>
      <c r="Z7" s="115"/>
      <c r="AA7" s="115"/>
      <c r="AB7" s="115"/>
      <c r="AC7" s="115"/>
    </row>
    <row r="8">
      <c r="A8" s="113"/>
      <c r="B8" s="113"/>
      <c r="C8" s="113"/>
      <c r="D8" s="104"/>
      <c r="E8" s="104"/>
      <c r="F8" s="140"/>
      <c r="G8" s="140"/>
      <c r="H8" s="140"/>
      <c r="I8" s="113"/>
      <c r="J8" s="113"/>
      <c r="K8" s="128"/>
      <c r="L8" s="128"/>
      <c r="M8" s="128"/>
      <c r="N8" s="113"/>
      <c r="O8" s="113"/>
      <c r="P8" s="113"/>
      <c r="Q8" s="139"/>
      <c r="R8" s="128"/>
      <c r="S8" s="113"/>
      <c r="T8" s="113"/>
      <c r="U8" s="141"/>
      <c r="V8" s="113"/>
      <c r="W8" s="115"/>
      <c r="X8" s="115"/>
      <c r="Y8" s="115"/>
      <c r="Z8" s="115"/>
      <c r="AA8" s="115"/>
      <c r="AB8" s="115"/>
      <c r="AC8" s="115"/>
    </row>
    <row r="9">
      <c r="A9" s="113"/>
      <c r="B9" s="113"/>
      <c r="C9" s="113"/>
      <c r="D9" s="104"/>
      <c r="E9" s="104"/>
      <c r="F9" s="140"/>
      <c r="G9" s="140"/>
      <c r="H9" s="140"/>
      <c r="I9" s="113"/>
      <c r="J9" s="113"/>
      <c r="K9" s="128"/>
      <c r="L9" s="128"/>
      <c r="M9" s="128"/>
      <c r="N9" s="113"/>
      <c r="O9" s="113"/>
      <c r="P9" s="113"/>
      <c r="Q9" s="139"/>
      <c r="R9" s="128"/>
      <c r="S9" s="113"/>
      <c r="T9" s="113"/>
      <c r="U9" s="113"/>
      <c r="V9" s="113"/>
      <c r="W9" s="115"/>
      <c r="X9" s="115"/>
      <c r="Y9" s="115"/>
      <c r="Z9" s="115"/>
      <c r="AA9" s="115"/>
      <c r="AB9" s="115"/>
      <c r="AC9" s="115"/>
    </row>
    <row r="10">
      <c r="A10" s="113"/>
      <c r="B10" s="113"/>
      <c r="C10" s="113"/>
      <c r="D10" s="104"/>
      <c r="E10" s="104"/>
      <c r="F10" s="140"/>
      <c r="G10" s="140"/>
      <c r="H10" s="140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5"/>
      <c r="Y10" s="115"/>
      <c r="Z10" s="115"/>
      <c r="AA10" s="115"/>
      <c r="AB10" s="115"/>
      <c r="AC10" s="115"/>
    </row>
    <row r="11">
      <c r="A11" s="113"/>
      <c r="B11" s="113"/>
      <c r="C11" s="113"/>
      <c r="D11" s="104"/>
      <c r="E11" s="104"/>
      <c r="F11" s="142" t="s">
        <v>130</v>
      </c>
      <c r="G11" s="140"/>
      <c r="H11" s="140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5"/>
      <c r="Y11" s="115"/>
      <c r="Z11" s="115"/>
      <c r="AA11" s="115"/>
      <c r="AB11" s="115"/>
      <c r="AC11" s="115"/>
    </row>
    <row r="12">
      <c r="A12" s="113"/>
      <c r="B12" s="113"/>
      <c r="C12" s="113"/>
      <c r="D12" s="104"/>
      <c r="E12" s="104"/>
      <c r="F12" s="140"/>
      <c r="G12" s="140"/>
      <c r="H12" s="140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5"/>
      <c r="Y12" s="115"/>
      <c r="Z12" s="115"/>
      <c r="AA12" s="115"/>
      <c r="AB12" s="115"/>
      <c r="AC12" s="115"/>
    </row>
    <row r="13">
      <c r="A13" s="113"/>
      <c r="B13" s="113"/>
      <c r="C13" s="113"/>
      <c r="D13" s="104"/>
      <c r="E13" s="104"/>
      <c r="F13" s="140"/>
      <c r="G13" s="140"/>
      <c r="H13" s="140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5"/>
      <c r="Y13" s="115"/>
      <c r="Z13" s="115"/>
      <c r="AA13" s="115"/>
      <c r="AB13" s="115"/>
      <c r="AC13" s="115"/>
    </row>
    <row r="14">
      <c r="A14" s="113"/>
      <c r="B14" s="113"/>
      <c r="C14" s="113"/>
      <c r="D14" s="104"/>
      <c r="E14" s="104"/>
      <c r="F14" s="140"/>
      <c r="G14" s="140"/>
      <c r="H14" s="140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5"/>
      <c r="Y14" s="115"/>
      <c r="Z14" s="115"/>
      <c r="AA14" s="115"/>
      <c r="AB14" s="115"/>
      <c r="AC14" s="115"/>
    </row>
    <row r="15">
      <c r="A15" s="113"/>
      <c r="B15" s="113"/>
      <c r="C15" s="113"/>
      <c r="D15" s="104"/>
      <c r="E15" s="104"/>
      <c r="F15" s="140"/>
      <c r="G15" s="140"/>
      <c r="H15" s="140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5"/>
      <c r="Y15" s="115"/>
      <c r="Z15" s="115"/>
      <c r="AA15" s="115"/>
      <c r="AB15" s="115"/>
      <c r="AC15" s="115"/>
    </row>
    <row r="16" ht="16.5" customHeight="1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43"/>
      <c r="P16" s="143"/>
      <c r="Q16" s="143"/>
      <c r="R16" s="143"/>
      <c r="S16" s="144"/>
      <c r="T16" s="144"/>
      <c r="U16" s="144"/>
      <c r="V16" s="113"/>
      <c r="W16" s="113"/>
      <c r="X16" s="115"/>
      <c r="Y16" s="115"/>
      <c r="Z16" s="115"/>
      <c r="AA16" s="115"/>
      <c r="AB16" s="115"/>
      <c r="AC16" s="115"/>
    </row>
    <row r="17" ht="23.25" customHeight="1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43"/>
      <c r="P17" s="143"/>
      <c r="Q17" s="143"/>
      <c r="R17" s="143"/>
      <c r="S17" s="144"/>
      <c r="T17" s="144"/>
      <c r="U17" s="144"/>
      <c r="V17" s="113"/>
      <c r="W17" s="113"/>
      <c r="X17" s="115"/>
      <c r="Y17" s="115"/>
      <c r="Z17" s="115"/>
      <c r="AA17" s="115"/>
      <c r="AB17" s="115"/>
      <c r="AC17" s="115"/>
    </row>
    <row r="18">
      <c r="A18" s="113"/>
      <c r="B18" s="145"/>
      <c r="C18" s="145"/>
      <c r="D18" s="145"/>
      <c r="E18" s="146"/>
      <c r="F18" s="146"/>
      <c r="G18" s="146"/>
      <c r="H18" s="145"/>
      <c r="I18" s="145"/>
      <c r="J18" s="144"/>
      <c r="K18" s="145"/>
      <c r="L18" s="145"/>
      <c r="M18" s="145"/>
      <c r="N18" s="113"/>
      <c r="O18" s="147"/>
      <c r="P18" s="148"/>
      <c r="Q18" s="148"/>
      <c r="R18" s="148"/>
      <c r="S18" s="148"/>
      <c r="T18" s="148"/>
      <c r="U18" s="148"/>
      <c r="V18" s="113"/>
      <c r="W18" s="113"/>
      <c r="X18" s="115"/>
      <c r="Y18" s="115"/>
      <c r="Z18" s="115"/>
      <c r="AA18" s="115"/>
      <c r="AB18" s="115"/>
      <c r="AC18" s="115"/>
    </row>
    <row r="19" ht="24.0" customHeight="1">
      <c r="A19" s="113"/>
      <c r="B19" s="113"/>
      <c r="C19" s="113"/>
      <c r="D19" s="149"/>
      <c r="E19" s="150"/>
      <c r="F19" s="150"/>
      <c r="G19" s="149"/>
      <c r="H19" s="149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5"/>
      <c r="Y19" s="115"/>
      <c r="Z19" s="115"/>
      <c r="AA19" s="115"/>
      <c r="AB19" s="115"/>
      <c r="AC19" s="115"/>
    </row>
    <row r="20">
      <c r="A20" s="113"/>
      <c r="B20" s="113"/>
      <c r="C20" s="113"/>
      <c r="D20" s="149"/>
      <c r="E20" s="150"/>
      <c r="F20" s="150"/>
      <c r="G20" s="149"/>
      <c r="H20" s="149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5"/>
      <c r="Y20" s="115"/>
      <c r="Z20" s="115"/>
      <c r="AA20" s="115"/>
      <c r="AB20" s="115"/>
      <c r="AC20" s="115"/>
    </row>
    <row r="21">
      <c r="A21" s="113"/>
      <c r="B21" s="113"/>
      <c r="C21" s="113"/>
      <c r="D21" s="113"/>
      <c r="E21" s="150"/>
      <c r="F21" s="150"/>
      <c r="G21" s="151"/>
      <c r="H21" s="151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5"/>
      <c r="Y21" s="115"/>
      <c r="Z21" s="115"/>
      <c r="AA21" s="115"/>
      <c r="AB21" s="115"/>
      <c r="AC21" s="115"/>
    </row>
    <row r="22">
      <c r="A22" s="113"/>
      <c r="B22" s="113"/>
      <c r="C22" s="113"/>
      <c r="D22" s="113"/>
      <c r="E22" s="150"/>
      <c r="F22" s="150"/>
      <c r="G22" s="151"/>
      <c r="H22" s="151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5"/>
      <c r="Y22" s="115"/>
      <c r="Z22" s="115"/>
      <c r="AA22" s="115"/>
      <c r="AB22" s="115"/>
      <c r="AC22" s="115"/>
    </row>
    <row r="23">
      <c r="A23" s="113"/>
      <c r="B23" s="113"/>
      <c r="C23" s="113"/>
      <c r="D23" s="113"/>
      <c r="E23" s="150"/>
      <c r="F23" s="150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5"/>
      <c r="Y23" s="115"/>
      <c r="Z23" s="115"/>
      <c r="AA23" s="115"/>
      <c r="AB23" s="115"/>
      <c r="AC23" s="115"/>
    </row>
    <row r="24">
      <c r="A24" s="113"/>
      <c r="B24" s="113"/>
      <c r="C24" s="113"/>
      <c r="D24" s="113"/>
      <c r="E24" s="150"/>
      <c r="F24" s="150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5"/>
      <c r="Y24" s="115"/>
      <c r="Z24" s="115"/>
      <c r="AA24" s="115"/>
      <c r="AB24" s="115"/>
      <c r="AC24" s="115"/>
    </row>
    <row r="25">
      <c r="A25" s="113"/>
      <c r="B25" s="113"/>
      <c r="C25" s="113"/>
      <c r="D25" s="113"/>
      <c r="E25" s="150"/>
      <c r="F25" s="150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5"/>
      <c r="Y25" s="115"/>
      <c r="Z25" s="115"/>
      <c r="AA25" s="115"/>
      <c r="AB25" s="115"/>
      <c r="AC25" s="115"/>
    </row>
    <row r="26">
      <c r="A26" s="113"/>
      <c r="B26" s="113"/>
      <c r="C26" s="113"/>
      <c r="D26" s="113"/>
      <c r="E26" s="150"/>
      <c r="F26" s="152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5"/>
      <c r="Y26" s="115"/>
      <c r="Z26" s="115"/>
      <c r="AA26" s="115"/>
      <c r="AB26" s="115"/>
      <c r="AC26" s="115"/>
    </row>
    <row r="27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5"/>
      <c r="Y27" s="115"/>
      <c r="Z27" s="115"/>
      <c r="AA27" s="115"/>
      <c r="AB27" s="115"/>
      <c r="AC27" s="115"/>
    </row>
    <row r="28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5"/>
      <c r="Y28" s="115"/>
      <c r="Z28" s="115"/>
      <c r="AA28" s="115"/>
      <c r="AB28" s="115"/>
      <c r="AC28" s="115"/>
    </row>
    <row r="29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5"/>
      <c r="Y29" s="115"/>
      <c r="Z29" s="115"/>
      <c r="AA29" s="115"/>
      <c r="AB29" s="115"/>
      <c r="AC29" s="115"/>
    </row>
    <row r="30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5"/>
      <c r="Y30" s="115"/>
      <c r="Z30" s="115"/>
      <c r="AA30" s="115"/>
      <c r="AB30" s="115"/>
      <c r="AC30" s="115"/>
    </row>
    <row r="31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5"/>
      <c r="Y31" s="115"/>
      <c r="Z31" s="115"/>
      <c r="AA31" s="115"/>
      <c r="AB31" s="115"/>
      <c r="AC31" s="115"/>
    </row>
    <row r="32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5"/>
      <c r="Y32" s="115"/>
      <c r="Z32" s="115"/>
      <c r="AA32" s="115"/>
      <c r="AB32" s="115"/>
      <c r="AC32" s="115"/>
    </row>
    <row r="33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5"/>
      <c r="Y33" s="115"/>
      <c r="Z33" s="115"/>
      <c r="AA33" s="115"/>
      <c r="AB33" s="115"/>
      <c r="AC33" s="115"/>
    </row>
    <row r="34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5"/>
      <c r="Y34" s="115"/>
      <c r="Z34" s="115"/>
      <c r="AA34" s="115"/>
      <c r="AB34" s="115"/>
      <c r="AC34" s="115"/>
    </row>
    <row r="35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5"/>
      <c r="Y35" s="115"/>
      <c r="Z35" s="115"/>
      <c r="AA35" s="115"/>
      <c r="AB35" s="115"/>
      <c r="AC35" s="115"/>
    </row>
    <row r="36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5"/>
      <c r="Y36" s="115"/>
      <c r="Z36" s="115"/>
      <c r="AA36" s="115"/>
      <c r="AB36" s="115"/>
      <c r="AC36" s="115"/>
    </row>
    <row r="37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5"/>
      <c r="Y37" s="115"/>
      <c r="Z37" s="115"/>
      <c r="AA37" s="115"/>
      <c r="AB37" s="115"/>
      <c r="AC37" s="115"/>
    </row>
    <row r="38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5"/>
      <c r="Y38" s="115"/>
      <c r="Z38" s="115"/>
      <c r="AA38" s="115"/>
      <c r="AB38" s="115"/>
      <c r="AC38" s="115"/>
    </row>
    <row r="39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5"/>
      <c r="Y39" s="115"/>
      <c r="Z39" s="115"/>
      <c r="AA39" s="115"/>
      <c r="AB39" s="115"/>
      <c r="AC39" s="115"/>
    </row>
    <row r="40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5"/>
      <c r="Y40" s="115"/>
      <c r="Z40" s="115"/>
      <c r="AA40" s="115"/>
      <c r="AB40" s="115"/>
      <c r="AC40" s="115"/>
    </row>
    <row r="41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5"/>
      <c r="Y41" s="115"/>
      <c r="Z41" s="115"/>
      <c r="AA41" s="115"/>
      <c r="AB41" s="115"/>
      <c r="AC41" s="115"/>
    </row>
    <row r="42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5"/>
      <c r="Y42" s="115"/>
      <c r="Z42" s="115"/>
      <c r="AA42" s="115"/>
      <c r="AB42" s="115"/>
      <c r="AC42" s="115"/>
    </row>
    <row r="43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5"/>
      <c r="Y43" s="115"/>
      <c r="Z43" s="115"/>
      <c r="AA43" s="115"/>
      <c r="AB43" s="115"/>
      <c r="AC43" s="115"/>
    </row>
    <row r="44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5"/>
      <c r="Y44" s="115"/>
      <c r="Z44" s="115"/>
      <c r="AA44" s="115"/>
      <c r="AB44" s="115"/>
      <c r="AC44" s="115"/>
    </row>
    <row r="45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5"/>
      <c r="Y45" s="115"/>
      <c r="Z45" s="115"/>
      <c r="AA45" s="115"/>
      <c r="AB45" s="115"/>
      <c r="AC45" s="115"/>
    </row>
    <row r="46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5"/>
      <c r="Y46" s="115"/>
      <c r="Z46" s="115"/>
      <c r="AA46" s="115"/>
      <c r="AB46" s="115"/>
      <c r="AC46" s="115"/>
    </row>
    <row r="47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5"/>
      <c r="Y47" s="115"/>
      <c r="Z47" s="115"/>
      <c r="AA47" s="115"/>
      <c r="AB47" s="115"/>
      <c r="AC47" s="115"/>
    </row>
    <row r="48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5"/>
      <c r="Y48" s="115"/>
      <c r="Z48" s="115"/>
      <c r="AA48" s="115"/>
      <c r="AB48" s="115"/>
      <c r="AC48" s="115"/>
    </row>
    <row r="49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5"/>
      <c r="Y49" s="115"/>
      <c r="Z49" s="115"/>
      <c r="AA49" s="115"/>
      <c r="AB49" s="115"/>
      <c r="AC49" s="115"/>
    </row>
    <row r="50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5"/>
      <c r="Y50" s="115"/>
      <c r="Z50" s="115"/>
      <c r="AA50" s="115"/>
      <c r="AB50" s="115"/>
      <c r="AC50" s="115"/>
    </row>
    <row r="51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5"/>
      <c r="Y51" s="115"/>
      <c r="Z51" s="115"/>
      <c r="AA51" s="115"/>
      <c r="AB51" s="115"/>
      <c r="AC51" s="115"/>
    </row>
    <row r="52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5"/>
      <c r="Y52" s="115"/>
      <c r="Z52" s="115"/>
      <c r="AA52" s="115"/>
      <c r="AB52" s="115"/>
      <c r="AC52" s="115"/>
    </row>
    <row r="53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5"/>
      <c r="Y53" s="115"/>
      <c r="Z53" s="115"/>
      <c r="AA53" s="115"/>
      <c r="AB53" s="115"/>
      <c r="AC53" s="115"/>
    </row>
    <row r="54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5"/>
      <c r="Y54" s="115"/>
      <c r="Z54" s="115"/>
      <c r="AA54" s="115"/>
      <c r="AB54" s="115"/>
      <c r="AC54" s="115"/>
    </row>
    <row r="55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5"/>
      <c r="Y55" s="115"/>
      <c r="Z55" s="115"/>
      <c r="AA55" s="115"/>
      <c r="AB55" s="115"/>
      <c r="AC55" s="115"/>
    </row>
    <row r="56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5"/>
      <c r="Y56" s="115"/>
      <c r="Z56" s="115"/>
      <c r="AA56" s="115"/>
      <c r="AB56" s="115"/>
      <c r="AC56" s="115"/>
    </row>
    <row r="57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5"/>
      <c r="Y57" s="115"/>
      <c r="Z57" s="115"/>
      <c r="AA57" s="115"/>
      <c r="AB57" s="115"/>
      <c r="AC57" s="115"/>
    </row>
    <row r="58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5"/>
      <c r="Y58" s="115"/>
      <c r="Z58" s="115"/>
      <c r="AA58" s="115"/>
      <c r="AB58" s="115"/>
      <c r="AC58" s="115"/>
    </row>
    <row r="59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5"/>
      <c r="Y59" s="115"/>
      <c r="Z59" s="115"/>
      <c r="AA59" s="115"/>
      <c r="AB59" s="115"/>
      <c r="AC59" s="115"/>
    </row>
    <row r="60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5"/>
      <c r="Y60" s="115"/>
      <c r="Z60" s="115"/>
      <c r="AA60" s="115"/>
      <c r="AB60" s="115"/>
      <c r="AC60" s="115"/>
    </row>
    <row r="61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5"/>
      <c r="Y61" s="115"/>
      <c r="Z61" s="115"/>
      <c r="AA61" s="115"/>
      <c r="AB61" s="115"/>
      <c r="AC61" s="115"/>
    </row>
    <row r="62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5"/>
      <c r="Y62" s="115"/>
      <c r="Z62" s="115"/>
      <c r="AA62" s="115"/>
      <c r="AB62" s="115"/>
      <c r="AC62" s="115"/>
    </row>
    <row r="63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5"/>
      <c r="Y63" s="115"/>
      <c r="Z63" s="115"/>
      <c r="AA63" s="115"/>
      <c r="AB63" s="115"/>
      <c r="AC63" s="115"/>
    </row>
    <row r="64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5"/>
      <c r="Y64" s="115"/>
      <c r="Z64" s="115"/>
      <c r="AA64" s="115"/>
      <c r="AB64" s="115"/>
      <c r="AC64" s="115"/>
    </row>
    <row r="65">
      <c r="A65" s="115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5"/>
      <c r="Y65" s="115"/>
      <c r="Z65" s="115"/>
      <c r="AA65" s="115"/>
      <c r="AB65" s="115"/>
      <c r="AC65" s="115"/>
    </row>
    <row r="66">
      <c r="A66" s="115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5"/>
      <c r="Y66" s="115"/>
      <c r="Z66" s="115"/>
      <c r="AA66" s="115"/>
      <c r="AB66" s="115"/>
      <c r="AC66" s="115"/>
    </row>
    <row r="67">
      <c r="A67" s="115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5"/>
      <c r="Y67" s="115"/>
      <c r="Z67" s="115"/>
      <c r="AA67" s="115"/>
      <c r="AB67" s="115"/>
      <c r="AC67" s="115"/>
    </row>
    <row r="68">
      <c r="A68" s="115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5"/>
      <c r="Y68" s="115"/>
      <c r="Z68" s="115"/>
      <c r="AA68" s="115"/>
      <c r="AB68" s="115"/>
      <c r="AC68" s="115"/>
    </row>
    <row r="69">
      <c r="A69" s="115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5"/>
      <c r="Y69" s="115"/>
      <c r="Z69" s="115"/>
      <c r="AA69" s="115"/>
      <c r="AB69" s="115"/>
      <c r="AC69" s="115"/>
    </row>
    <row r="70">
      <c r="A70" s="115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5"/>
      <c r="Y70" s="115"/>
      <c r="Z70" s="115"/>
      <c r="AA70" s="115"/>
      <c r="AB70" s="115"/>
      <c r="AC70" s="115"/>
    </row>
    <row r="71">
      <c r="A71" s="115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5"/>
      <c r="Y71" s="115"/>
      <c r="Z71" s="115"/>
      <c r="AA71" s="115"/>
      <c r="AB71" s="115"/>
      <c r="AC71" s="115"/>
    </row>
    <row r="72">
      <c r="A72" s="115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5"/>
      <c r="Y72" s="115"/>
      <c r="Z72" s="115"/>
      <c r="AA72" s="115"/>
      <c r="AB72" s="115"/>
      <c r="AC72" s="115"/>
    </row>
    <row r="73">
      <c r="A73" s="115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5"/>
      <c r="Y73" s="115"/>
      <c r="Z73" s="115"/>
      <c r="AA73" s="115"/>
      <c r="AB73" s="115"/>
      <c r="AC73" s="115"/>
    </row>
    <row r="74">
      <c r="A74" s="115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5"/>
      <c r="Y74" s="115"/>
      <c r="Z74" s="115"/>
      <c r="AA74" s="115"/>
      <c r="AB74" s="115"/>
      <c r="AC74" s="115"/>
    </row>
    <row r="75">
      <c r="A75" s="115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5"/>
      <c r="Y75" s="115"/>
      <c r="Z75" s="115"/>
      <c r="AA75" s="115"/>
      <c r="AB75" s="115"/>
      <c r="AC75" s="115"/>
    </row>
    <row r="76">
      <c r="A76" s="115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5"/>
      <c r="Y76" s="115"/>
      <c r="Z76" s="115"/>
      <c r="AA76" s="115"/>
      <c r="AB76" s="115"/>
      <c r="AC76" s="115"/>
    </row>
    <row r="77">
      <c r="A77" s="115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5"/>
      <c r="Y77" s="115"/>
      <c r="Z77" s="115"/>
      <c r="AA77" s="115"/>
      <c r="AB77" s="115"/>
      <c r="AC77" s="115"/>
    </row>
    <row r="78">
      <c r="A78" s="115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5"/>
      <c r="Y78" s="115"/>
      <c r="Z78" s="115"/>
      <c r="AA78" s="115"/>
      <c r="AB78" s="115"/>
      <c r="AC78" s="115"/>
    </row>
    <row r="79">
      <c r="A79" s="115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5"/>
      <c r="Y79" s="115"/>
      <c r="Z79" s="115"/>
      <c r="AA79" s="115"/>
      <c r="AB79" s="115"/>
      <c r="AC79" s="115"/>
    </row>
    <row r="80">
      <c r="A80" s="115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5"/>
      <c r="Y80" s="115"/>
      <c r="Z80" s="115"/>
      <c r="AA80" s="115"/>
      <c r="AB80" s="115"/>
      <c r="AC80" s="115"/>
    </row>
    <row r="81">
      <c r="A81" s="115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5"/>
      <c r="Y81" s="115"/>
      <c r="Z81" s="115"/>
      <c r="AA81" s="115"/>
      <c r="AB81" s="115"/>
      <c r="AC81" s="115"/>
    </row>
    <row r="82">
      <c r="A82" s="115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5"/>
      <c r="Y82" s="115"/>
      <c r="Z82" s="115"/>
      <c r="AA82" s="115"/>
      <c r="AB82" s="115"/>
      <c r="AC82" s="115"/>
    </row>
    <row r="83">
      <c r="A83" s="115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5"/>
      <c r="Y83" s="115"/>
      <c r="Z83" s="115"/>
      <c r="AA83" s="115"/>
      <c r="AB83" s="115"/>
      <c r="AC83" s="115"/>
    </row>
    <row r="84">
      <c r="A84" s="115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5"/>
      <c r="Y84" s="115"/>
      <c r="Z84" s="115"/>
      <c r="AA84" s="115"/>
      <c r="AB84" s="115"/>
      <c r="AC84" s="115"/>
    </row>
    <row r="85">
      <c r="A85" s="115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5"/>
      <c r="Y85" s="115"/>
      <c r="Z85" s="115"/>
      <c r="AA85" s="115"/>
      <c r="AB85" s="115"/>
      <c r="AC85" s="115"/>
    </row>
    <row r="86">
      <c r="A86" s="115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5"/>
      <c r="Y86" s="115"/>
      <c r="Z86" s="115"/>
      <c r="AA86" s="115"/>
      <c r="AB86" s="115"/>
      <c r="AC86" s="115"/>
    </row>
    <row r="87">
      <c r="A87" s="115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5"/>
      <c r="Y87" s="115"/>
      <c r="Z87" s="115"/>
      <c r="AA87" s="115"/>
      <c r="AB87" s="115"/>
      <c r="AC87" s="115"/>
    </row>
    <row r="88">
      <c r="A88" s="115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5"/>
      <c r="Y88" s="115"/>
      <c r="Z88" s="115"/>
      <c r="AA88" s="115"/>
      <c r="AB88" s="115"/>
      <c r="AC88" s="115"/>
    </row>
    <row r="89">
      <c r="A89" s="115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5"/>
      <c r="Y89" s="115"/>
      <c r="Z89" s="115"/>
      <c r="AA89" s="115"/>
      <c r="AB89" s="115"/>
      <c r="AC89" s="115"/>
    </row>
    <row r="90">
      <c r="A90" s="115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5"/>
      <c r="Y90" s="115"/>
      <c r="Z90" s="115"/>
      <c r="AA90" s="115"/>
      <c r="AB90" s="115"/>
      <c r="AC90" s="115"/>
    </row>
    <row r="91">
      <c r="A91" s="115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5"/>
      <c r="Y91" s="115"/>
      <c r="Z91" s="115"/>
      <c r="AA91" s="115"/>
      <c r="AB91" s="115"/>
      <c r="AC91" s="115"/>
    </row>
    <row r="92">
      <c r="A92" s="115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5"/>
      <c r="Y92" s="115"/>
      <c r="Z92" s="115"/>
      <c r="AA92" s="115"/>
      <c r="AB92" s="115"/>
      <c r="AC92" s="115"/>
    </row>
    <row r="93">
      <c r="A93" s="115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5"/>
      <c r="Y93" s="115"/>
      <c r="Z93" s="115"/>
      <c r="AA93" s="115"/>
      <c r="AB93" s="115"/>
      <c r="AC93" s="115"/>
    </row>
    <row r="94">
      <c r="A94" s="115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5"/>
      <c r="Y94" s="115"/>
      <c r="Z94" s="115"/>
      <c r="AA94" s="115"/>
      <c r="AB94" s="115"/>
      <c r="AC94" s="115"/>
    </row>
    <row r="95">
      <c r="A95" s="115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5"/>
      <c r="Y95" s="115"/>
      <c r="Z95" s="115"/>
      <c r="AA95" s="115"/>
      <c r="AB95" s="115"/>
      <c r="AC95" s="115"/>
    </row>
    <row r="96">
      <c r="A96" s="115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5"/>
      <c r="Y96" s="115"/>
      <c r="Z96" s="115"/>
      <c r="AA96" s="115"/>
      <c r="AB96" s="115"/>
      <c r="AC96" s="115"/>
    </row>
    <row r="97">
      <c r="A97" s="115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5"/>
      <c r="Y97" s="115"/>
      <c r="Z97" s="115"/>
      <c r="AA97" s="115"/>
      <c r="AB97" s="115"/>
      <c r="AC97" s="115"/>
    </row>
    <row r="98">
      <c r="A98" s="115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5"/>
      <c r="Y98" s="115"/>
      <c r="Z98" s="115"/>
      <c r="AA98" s="115"/>
      <c r="AB98" s="115"/>
      <c r="AC98" s="115"/>
    </row>
    <row r="99">
      <c r="A99" s="115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5"/>
      <c r="Y99" s="115"/>
      <c r="Z99" s="115"/>
      <c r="AA99" s="115"/>
      <c r="AB99" s="115"/>
      <c r="AC99" s="115"/>
    </row>
    <row r="100">
      <c r="A100" s="115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5"/>
      <c r="Y100" s="115"/>
      <c r="Z100" s="115"/>
      <c r="AA100" s="115"/>
      <c r="AB100" s="115"/>
      <c r="AC100" s="115"/>
    </row>
    <row r="101">
      <c r="A101" s="115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5"/>
      <c r="Y101" s="115"/>
      <c r="Z101" s="115"/>
      <c r="AA101" s="115"/>
      <c r="AB101" s="115"/>
      <c r="AC101" s="115"/>
    </row>
    <row r="102">
      <c r="A102" s="115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5"/>
      <c r="Y102" s="115"/>
      <c r="Z102" s="115"/>
      <c r="AA102" s="115"/>
      <c r="AB102" s="115"/>
      <c r="AC102" s="115"/>
    </row>
    <row r="103">
      <c r="A103" s="115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5"/>
      <c r="Y103" s="115"/>
      <c r="Z103" s="115"/>
      <c r="AA103" s="115"/>
      <c r="AB103" s="115"/>
      <c r="AC103" s="115"/>
    </row>
    <row r="104">
      <c r="A104" s="115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5"/>
      <c r="Y104" s="115"/>
      <c r="Z104" s="115"/>
      <c r="AA104" s="115"/>
      <c r="AB104" s="115"/>
      <c r="AC104" s="115"/>
    </row>
    <row r="105">
      <c r="A105" s="115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5"/>
      <c r="Y105" s="115"/>
      <c r="Z105" s="115"/>
      <c r="AA105" s="115"/>
      <c r="AB105" s="115"/>
      <c r="AC105" s="115"/>
    </row>
    <row r="106">
      <c r="A106" s="115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5"/>
      <c r="Y106" s="115"/>
      <c r="Z106" s="115"/>
      <c r="AA106" s="115"/>
      <c r="AB106" s="115"/>
      <c r="AC106" s="115"/>
    </row>
    <row r="107">
      <c r="A107" s="115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5"/>
      <c r="Y107" s="115"/>
      <c r="Z107" s="115"/>
      <c r="AA107" s="115"/>
      <c r="AB107" s="115"/>
      <c r="AC107" s="115"/>
    </row>
    <row r="108">
      <c r="A108" s="115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5"/>
      <c r="Y108" s="115"/>
      <c r="Z108" s="115"/>
      <c r="AA108" s="115"/>
      <c r="AB108" s="115"/>
      <c r="AC108" s="115"/>
    </row>
    <row r="109">
      <c r="A109" s="115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5"/>
      <c r="Y109" s="115"/>
      <c r="Z109" s="115"/>
      <c r="AA109" s="115"/>
      <c r="AB109" s="115"/>
      <c r="AC109" s="115"/>
    </row>
    <row r="110">
      <c r="A110" s="115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5"/>
      <c r="Y110" s="115"/>
      <c r="Z110" s="115"/>
      <c r="AA110" s="115"/>
      <c r="AB110" s="115"/>
      <c r="AC110" s="115"/>
    </row>
    <row r="111">
      <c r="A111" s="115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5"/>
      <c r="Y111" s="115"/>
      <c r="Z111" s="115"/>
      <c r="AA111" s="115"/>
      <c r="AB111" s="115"/>
      <c r="AC111" s="115"/>
    </row>
    <row r="112">
      <c r="A112" s="115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5"/>
      <c r="Y112" s="115"/>
      <c r="Z112" s="115"/>
      <c r="AA112" s="115"/>
      <c r="AB112" s="115"/>
      <c r="AC112" s="115"/>
    </row>
    <row r="113">
      <c r="A113" s="115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5"/>
      <c r="Y113" s="115"/>
      <c r="Z113" s="115"/>
      <c r="AA113" s="115"/>
      <c r="AB113" s="115"/>
      <c r="AC113" s="115"/>
    </row>
    <row r="114">
      <c r="A114" s="115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5"/>
      <c r="Y114" s="115"/>
      <c r="Z114" s="115"/>
      <c r="AA114" s="115"/>
      <c r="AB114" s="115"/>
      <c r="AC114" s="115"/>
    </row>
    <row r="115">
      <c r="A115" s="115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5"/>
      <c r="Y115" s="115"/>
      <c r="Z115" s="115"/>
      <c r="AA115" s="115"/>
      <c r="AB115" s="115"/>
      <c r="AC115" s="115"/>
    </row>
    <row r="116">
      <c r="A116" s="115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5"/>
      <c r="Y116" s="115"/>
      <c r="Z116" s="115"/>
      <c r="AA116" s="115"/>
      <c r="AB116" s="115"/>
      <c r="AC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7.88"/>
    <col customWidth="1" min="5" max="5" width="36.63"/>
    <col customWidth="1" min="6" max="6" width="14.75"/>
    <col customWidth="1" min="9" max="9" width="13.13"/>
    <col customWidth="1" min="10" max="10" width="4.63"/>
    <col customWidth="1" min="11" max="11" width="13.88"/>
    <col customWidth="1" min="14" max="14" width="3.0"/>
    <col customWidth="1" min="15" max="15" width="29.75"/>
    <col customWidth="1" min="16" max="16" width="7.75"/>
    <col customWidth="1" min="17" max="17" width="17.0"/>
    <col customWidth="1" min="19" max="19" width="41.38"/>
    <col customWidth="1" min="20" max="20" width="29.88"/>
  </cols>
  <sheetData>
    <row r="1">
      <c r="A1" s="115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</row>
    <row r="2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6" t="s">
        <v>65</v>
      </c>
      <c r="P2" s="116"/>
      <c r="Q2" s="116"/>
      <c r="R2" s="116"/>
      <c r="S2" s="117"/>
      <c r="T2" s="117"/>
      <c r="U2" s="117"/>
      <c r="V2" s="115"/>
      <c r="W2" s="115"/>
      <c r="X2" s="115"/>
      <c r="Y2" s="115"/>
      <c r="Z2" s="115"/>
      <c r="AA2" s="115"/>
      <c r="AB2" s="115"/>
      <c r="AC2" s="115"/>
    </row>
    <row r="3">
      <c r="A3" s="115"/>
      <c r="B3" s="118" t="s">
        <v>66</v>
      </c>
      <c r="C3" s="118" t="s">
        <v>67</v>
      </c>
      <c r="D3" s="118" t="s">
        <v>68</v>
      </c>
      <c r="E3" s="119" t="s">
        <v>116</v>
      </c>
      <c r="F3" s="119" t="s">
        <v>34</v>
      </c>
      <c r="G3" s="119" t="s">
        <v>70</v>
      </c>
      <c r="H3" s="118" t="s">
        <v>1</v>
      </c>
      <c r="I3" s="118"/>
      <c r="J3" s="122"/>
      <c r="K3" s="123"/>
      <c r="L3" s="123" t="s">
        <v>72</v>
      </c>
      <c r="M3" s="123" t="s">
        <v>73</v>
      </c>
      <c r="N3" s="115"/>
      <c r="O3" s="124" t="s">
        <v>74</v>
      </c>
      <c r="P3" s="125" t="s">
        <v>75</v>
      </c>
      <c r="Q3" s="125" t="s">
        <v>76</v>
      </c>
      <c r="R3" s="125" t="s">
        <v>77</v>
      </c>
      <c r="S3" s="125" t="s">
        <v>78</v>
      </c>
      <c r="T3" s="125" t="s">
        <v>79</v>
      </c>
      <c r="U3" s="125" t="s">
        <v>80</v>
      </c>
      <c r="V3" s="115"/>
      <c r="W3" s="115"/>
      <c r="X3" s="115"/>
      <c r="Y3" s="115"/>
      <c r="Z3" s="115"/>
      <c r="AA3" s="115"/>
      <c r="AB3" s="115"/>
      <c r="AC3" s="115"/>
    </row>
    <row r="4" ht="24.75" customHeight="1">
      <c r="A4" s="113"/>
      <c r="B4" s="153"/>
      <c r="C4" s="153" t="s">
        <v>131</v>
      </c>
      <c r="D4" s="154" t="s">
        <v>121</v>
      </c>
      <c r="E4" s="104" t="s">
        <v>132</v>
      </c>
      <c r="F4" s="104" t="s">
        <v>133</v>
      </c>
      <c r="G4" s="104">
        <v>1.0</v>
      </c>
      <c r="H4" s="128">
        <v>80.0</v>
      </c>
      <c r="I4" s="113"/>
      <c r="J4" s="113"/>
      <c r="K4" s="128">
        <v>50000.0</v>
      </c>
      <c r="L4" s="128">
        <v>0.0</v>
      </c>
      <c r="M4" s="128">
        <v>50000.0</v>
      </c>
      <c r="N4" s="113"/>
      <c r="O4" s="104" t="s">
        <v>133</v>
      </c>
      <c r="P4" s="113"/>
      <c r="Q4" s="155">
        <v>46112.0</v>
      </c>
      <c r="R4" s="128">
        <v>50000.0</v>
      </c>
      <c r="S4" s="113" t="s">
        <v>134</v>
      </c>
      <c r="T4" s="133" t="s">
        <v>126</v>
      </c>
      <c r="U4" s="133"/>
      <c r="V4" s="115"/>
      <c r="W4" s="115"/>
      <c r="X4" s="115"/>
      <c r="Y4" s="115"/>
      <c r="Z4" s="115"/>
      <c r="AA4" s="115"/>
      <c r="AB4" s="115"/>
      <c r="AC4" s="115"/>
    </row>
    <row r="5">
      <c r="A5" s="113"/>
      <c r="B5" s="113"/>
      <c r="C5" s="113"/>
      <c r="D5" s="104"/>
      <c r="E5" s="104"/>
      <c r="F5" s="104"/>
      <c r="G5" s="104"/>
      <c r="H5" s="104"/>
      <c r="I5" s="113"/>
      <c r="J5" s="113"/>
      <c r="K5" s="128"/>
      <c r="L5" s="128"/>
      <c r="M5" s="128"/>
      <c r="N5" s="113"/>
      <c r="O5" s="104"/>
      <c r="P5" s="141"/>
      <c r="Q5" s="139"/>
      <c r="R5" s="128"/>
      <c r="S5" s="113"/>
      <c r="T5" s="113"/>
      <c r="U5" s="141"/>
      <c r="V5" s="113"/>
      <c r="W5" s="115"/>
      <c r="X5" s="115"/>
      <c r="Y5" s="115"/>
      <c r="Z5" s="115"/>
      <c r="AA5" s="115"/>
      <c r="AB5" s="115"/>
      <c r="AC5" s="115"/>
    </row>
    <row r="6">
      <c r="A6" s="113"/>
      <c r="B6" s="113"/>
      <c r="C6" s="113"/>
      <c r="D6" s="104"/>
      <c r="E6" s="104"/>
      <c r="F6" s="104"/>
      <c r="G6" s="104"/>
      <c r="H6" s="104"/>
      <c r="I6" s="113"/>
      <c r="J6" s="113"/>
      <c r="K6" s="128"/>
      <c r="L6" s="128"/>
      <c r="M6" s="128"/>
      <c r="N6" s="113"/>
      <c r="O6" s="113"/>
      <c r="P6" s="113"/>
      <c r="Q6" s="139"/>
      <c r="R6" s="113"/>
      <c r="S6" s="113"/>
      <c r="T6" s="113"/>
      <c r="U6" s="113"/>
      <c r="V6" s="113"/>
      <c r="W6" s="115"/>
      <c r="X6" s="115"/>
      <c r="Y6" s="115"/>
      <c r="Z6" s="115"/>
      <c r="AA6" s="115"/>
      <c r="AB6" s="115"/>
      <c r="AC6" s="115"/>
    </row>
    <row r="7">
      <c r="A7" s="113"/>
      <c r="B7" s="113"/>
      <c r="C7" s="113"/>
      <c r="D7" s="104"/>
      <c r="E7" s="104"/>
      <c r="F7" s="140"/>
      <c r="G7" s="140"/>
      <c r="H7" s="140"/>
      <c r="I7" s="113"/>
      <c r="J7" s="113"/>
      <c r="K7" s="128"/>
      <c r="L7" s="128"/>
      <c r="M7" s="128"/>
      <c r="N7" s="113"/>
      <c r="O7" s="113"/>
      <c r="P7" s="113"/>
      <c r="Q7" s="139"/>
      <c r="R7" s="128"/>
      <c r="S7" s="113"/>
      <c r="T7" s="113"/>
      <c r="U7" s="141"/>
      <c r="V7" s="113"/>
      <c r="W7" s="115"/>
      <c r="X7" s="115"/>
      <c r="Y7" s="115"/>
      <c r="Z7" s="115"/>
      <c r="AA7" s="115"/>
      <c r="AB7" s="115"/>
      <c r="AC7" s="115"/>
    </row>
    <row r="8">
      <c r="A8" s="113"/>
      <c r="B8" s="113"/>
      <c r="C8" s="113"/>
      <c r="D8" s="104"/>
      <c r="E8" s="104"/>
      <c r="F8" s="140"/>
      <c r="G8" s="140"/>
      <c r="H8" s="140"/>
      <c r="I8" s="113"/>
      <c r="J8" s="113"/>
      <c r="K8" s="128"/>
      <c r="L8" s="128"/>
      <c r="M8" s="128"/>
      <c r="N8" s="113"/>
      <c r="O8" s="113"/>
      <c r="P8" s="113"/>
      <c r="Q8" s="139"/>
      <c r="R8" s="128"/>
      <c r="S8" s="113"/>
      <c r="T8" s="113"/>
      <c r="U8" s="113"/>
      <c r="V8" s="113"/>
      <c r="W8" s="115"/>
      <c r="X8" s="115"/>
      <c r="Y8" s="115"/>
      <c r="Z8" s="115"/>
      <c r="AA8" s="115"/>
      <c r="AB8" s="115"/>
      <c r="AC8" s="115"/>
    </row>
    <row r="9">
      <c r="A9" s="113"/>
      <c r="B9" s="113"/>
      <c r="C9" s="113"/>
      <c r="D9" s="104"/>
      <c r="E9" s="104"/>
      <c r="F9" s="140"/>
      <c r="G9" s="140"/>
      <c r="H9" s="140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5"/>
      <c r="X9" s="115"/>
      <c r="Y9" s="115"/>
      <c r="Z9" s="115"/>
      <c r="AA9" s="115"/>
      <c r="AB9" s="115"/>
      <c r="AC9" s="115"/>
    </row>
    <row r="10">
      <c r="A10" s="113"/>
      <c r="B10" s="113"/>
      <c r="C10" s="113"/>
      <c r="D10" s="104"/>
      <c r="E10" s="104"/>
      <c r="F10" s="140"/>
      <c r="G10" s="140"/>
      <c r="H10" s="140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5"/>
      <c r="X10" s="115"/>
      <c r="Y10" s="115"/>
      <c r="Z10" s="115"/>
      <c r="AA10" s="115"/>
      <c r="AB10" s="115"/>
      <c r="AC10" s="115"/>
    </row>
    <row r="11">
      <c r="A11" s="113"/>
      <c r="B11" s="113"/>
      <c r="C11" s="113"/>
      <c r="D11" s="104"/>
      <c r="E11" s="104"/>
      <c r="F11" s="140"/>
      <c r="G11" s="140"/>
      <c r="H11" s="140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5"/>
      <c r="X11" s="115"/>
      <c r="Y11" s="115"/>
      <c r="Z11" s="115"/>
      <c r="AA11" s="115"/>
      <c r="AB11" s="115"/>
      <c r="AC11" s="115"/>
    </row>
    <row r="12">
      <c r="A12" s="113"/>
      <c r="B12" s="113"/>
      <c r="C12" s="113"/>
      <c r="D12" s="104"/>
      <c r="E12" s="104"/>
      <c r="F12" s="140"/>
      <c r="G12" s="140"/>
      <c r="H12" s="140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5"/>
      <c r="Y12" s="115"/>
      <c r="Z12" s="115"/>
      <c r="AA12" s="115"/>
      <c r="AB12" s="115"/>
      <c r="AC12" s="115"/>
    </row>
    <row r="13">
      <c r="A13" s="113"/>
      <c r="B13" s="113"/>
      <c r="C13" s="113"/>
      <c r="D13" s="104"/>
      <c r="E13" s="104"/>
      <c r="F13" s="140"/>
      <c r="G13" s="140"/>
      <c r="H13" s="140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5"/>
      <c r="Y13" s="115"/>
      <c r="Z13" s="115"/>
      <c r="AA13" s="115"/>
      <c r="AB13" s="115"/>
      <c r="AC13" s="115"/>
    </row>
    <row r="14">
      <c r="A14" s="113"/>
      <c r="B14" s="113"/>
      <c r="C14" s="113"/>
      <c r="D14" s="104"/>
      <c r="E14" s="104"/>
      <c r="F14" s="140"/>
      <c r="G14" s="140"/>
      <c r="H14" s="140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5"/>
      <c r="Y14" s="115"/>
      <c r="Z14" s="115"/>
      <c r="AA14" s="115"/>
      <c r="AB14" s="115"/>
      <c r="AC14" s="115"/>
    </row>
    <row r="15" ht="16.5" customHeight="1">
      <c r="A15" s="113"/>
      <c r="B15" s="115"/>
      <c r="C15" s="115"/>
      <c r="D15" s="115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43"/>
      <c r="P15" s="143"/>
      <c r="Q15" s="143"/>
      <c r="R15" s="143"/>
      <c r="S15" s="144"/>
      <c r="T15" s="144"/>
      <c r="U15" s="144"/>
      <c r="V15" s="113"/>
      <c r="W15" s="113"/>
      <c r="X15" s="115"/>
      <c r="Y15" s="115"/>
      <c r="Z15" s="115"/>
      <c r="AA15" s="115"/>
      <c r="AB15" s="115"/>
      <c r="AC15" s="115"/>
    </row>
    <row r="16" ht="23.25" customHeight="1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43"/>
      <c r="P16" s="143"/>
      <c r="Q16" s="143"/>
      <c r="R16" s="143"/>
      <c r="S16" s="144"/>
      <c r="T16" s="144"/>
      <c r="U16" s="144"/>
      <c r="V16" s="113"/>
      <c r="W16" s="113"/>
      <c r="X16" s="115"/>
      <c r="Y16" s="115"/>
      <c r="Z16" s="115"/>
      <c r="AA16" s="115"/>
      <c r="AB16" s="115"/>
      <c r="AC16" s="115"/>
    </row>
    <row r="17">
      <c r="A17" s="113"/>
      <c r="B17" s="145" t="s">
        <v>66</v>
      </c>
      <c r="C17" s="145" t="s">
        <v>67</v>
      </c>
      <c r="D17" s="145" t="s">
        <v>68</v>
      </c>
      <c r="E17" s="146"/>
      <c r="F17" s="146"/>
      <c r="G17" s="146"/>
      <c r="H17" s="145"/>
      <c r="I17" s="145"/>
      <c r="J17" s="144"/>
      <c r="K17" s="145"/>
      <c r="L17" s="145"/>
      <c r="M17" s="145"/>
      <c r="N17" s="113"/>
      <c r="O17" s="147"/>
      <c r="P17" s="148"/>
      <c r="Q17" s="148"/>
      <c r="R17" s="148"/>
      <c r="S17" s="148"/>
      <c r="T17" s="148"/>
      <c r="U17" s="148"/>
      <c r="V17" s="113"/>
      <c r="W17" s="113"/>
      <c r="X17" s="115"/>
      <c r="Y17" s="115"/>
      <c r="Z17" s="115"/>
      <c r="AA17" s="115"/>
      <c r="AB17" s="115"/>
      <c r="AC17" s="115"/>
    </row>
    <row r="18" ht="24.0" customHeight="1">
      <c r="A18" s="113"/>
      <c r="B18" s="113"/>
      <c r="C18" s="113"/>
      <c r="D18" s="149"/>
      <c r="E18" s="150"/>
      <c r="F18" s="150"/>
      <c r="G18" s="149"/>
      <c r="H18" s="149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5"/>
      <c r="Y18" s="115"/>
      <c r="Z18" s="115"/>
      <c r="AA18" s="115"/>
      <c r="AB18" s="115"/>
      <c r="AC18" s="115"/>
    </row>
    <row r="19">
      <c r="A19" s="113"/>
      <c r="B19" s="113"/>
      <c r="C19" s="113"/>
      <c r="D19" s="149"/>
      <c r="E19" s="150"/>
      <c r="F19" s="150"/>
      <c r="G19" s="149"/>
      <c r="H19" s="149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5"/>
      <c r="Y19" s="115"/>
      <c r="Z19" s="115"/>
      <c r="AA19" s="115"/>
      <c r="AB19" s="115"/>
      <c r="AC19" s="115"/>
    </row>
    <row r="20">
      <c r="A20" s="113"/>
      <c r="B20" s="113"/>
      <c r="C20" s="113"/>
      <c r="D20" s="113"/>
      <c r="E20" s="150"/>
      <c r="F20" s="150"/>
      <c r="G20" s="151"/>
      <c r="H20" s="151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5"/>
      <c r="Y20" s="115"/>
      <c r="Z20" s="115"/>
      <c r="AA20" s="115"/>
      <c r="AB20" s="115"/>
      <c r="AC20" s="115"/>
    </row>
    <row r="21">
      <c r="A21" s="113"/>
      <c r="B21" s="113"/>
      <c r="C21" s="113"/>
      <c r="D21" s="113"/>
      <c r="E21" s="150"/>
      <c r="F21" s="150"/>
      <c r="G21" s="151"/>
      <c r="H21" s="151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5"/>
      <c r="Y21" s="115"/>
      <c r="Z21" s="115"/>
      <c r="AA21" s="115"/>
      <c r="AB21" s="115"/>
      <c r="AC21" s="115"/>
    </row>
    <row r="22">
      <c r="A22" s="113"/>
      <c r="B22" s="113"/>
      <c r="C22" s="113"/>
      <c r="D22" s="113"/>
      <c r="E22" s="150"/>
      <c r="F22" s="150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5"/>
      <c r="Y22" s="115"/>
      <c r="Z22" s="115"/>
      <c r="AA22" s="115"/>
      <c r="AB22" s="115"/>
      <c r="AC22" s="115"/>
    </row>
    <row r="23">
      <c r="A23" s="113"/>
      <c r="B23" s="113"/>
      <c r="C23" s="113"/>
      <c r="D23" s="113"/>
      <c r="E23" s="150"/>
      <c r="F23" s="150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5"/>
      <c r="Y23" s="115"/>
      <c r="Z23" s="115"/>
      <c r="AA23" s="115"/>
      <c r="AB23" s="115"/>
      <c r="AC23" s="115"/>
    </row>
    <row r="24">
      <c r="A24" s="113"/>
      <c r="B24" s="113"/>
      <c r="C24" s="113"/>
      <c r="D24" s="113"/>
      <c r="E24" s="150"/>
      <c r="F24" s="150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5"/>
      <c r="Y24" s="115"/>
      <c r="Z24" s="115"/>
      <c r="AA24" s="115"/>
      <c r="AB24" s="115"/>
      <c r="AC24" s="115"/>
    </row>
    <row r="25">
      <c r="A25" s="113"/>
      <c r="B25" s="113"/>
      <c r="C25" s="113"/>
      <c r="D25" s="113"/>
      <c r="E25" s="150"/>
      <c r="F25" s="152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5"/>
      <c r="Y25" s="115"/>
      <c r="Z25" s="115"/>
      <c r="AA25" s="115"/>
      <c r="AB25" s="115"/>
      <c r="AC25" s="115"/>
    </row>
    <row r="26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5"/>
      <c r="Y26" s="115"/>
      <c r="Z26" s="115"/>
      <c r="AA26" s="115"/>
      <c r="AB26" s="115"/>
      <c r="AC26" s="115"/>
    </row>
    <row r="27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5"/>
      <c r="Y27" s="115"/>
      <c r="Z27" s="115"/>
      <c r="AA27" s="115"/>
      <c r="AB27" s="115"/>
      <c r="AC27" s="115"/>
    </row>
    <row r="28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5"/>
      <c r="Y28" s="115"/>
      <c r="Z28" s="115"/>
      <c r="AA28" s="115"/>
      <c r="AB28" s="115"/>
      <c r="AC28" s="115"/>
    </row>
    <row r="29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5"/>
      <c r="Y29" s="115"/>
      <c r="Z29" s="115"/>
      <c r="AA29" s="115"/>
      <c r="AB29" s="115"/>
      <c r="AC29" s="115"/>
    </row>
    <row r="30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5"/>
      <c r="Y30" s="115"/>
      <c r="Z30" s="115"/>
      <c r="AA30" s="115"/>
      <c r="AB30" s="115"/>
      <c r="AC30" s="115"/>
    </row>
    <row r="31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5"/>
      <c r="Y31" s="115"/>
      <c r="Z31" s="115"/>
      <c r="AA31" s="115"/>
      <c r="AB31" s="115"/>
      <c r="AC31" s="115"/>
    </row>
    <row r="32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5"/>
      <c r="Y32" s="115"/>
      <c r="Z32" s="115"/>
      <c r="AA32" s="115"/>
      <c r="AB32" s="115"/>
      <c r="AC32" s="115"/>
    </row>
    <row r="33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5"/>
      <c r="Y33" s="115"/>
      <c r="Z33" s="115"/>
      <c r="AA33" s="115"/>
      <c r="AB33" s="115"/>
      <c r="AC33" s="115"/>
    </row>
    <row r="34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5"/>
      <c r="Y34" s="115"/>
      <c r="Z34" s="115"/>
      <c r="AA34" s="115"/>
      <c r="AB34" s="115"/>
      <c r="AC34" s="115"/>
    </row>
    <row r="35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5"/>
      <c r="Y35" s="115"/>
      <c r="Z35" s="115"/>
      <c r="AA35" s="115"/>
      <c r="AB35" s="115"/>
      <c r="AC35" s="115"/>
    </row>
    <row r="36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5"/>
      <c r="Y36" s="115"/>
      <c r="Z36" s="115"/>
      <c r="AA36" s="115"/>
      <c r="AB36" s="115"/>
      <c r="AC36" s="115"/>
    </row>
    <row r="37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5"/>
      <c r="Y37" s="115"/>
      <c r="Z37" s="115"/>
      <c r="AA37" s="115"/>
      <c r="AB37" s="115"/>
      <c r="AC37" s="115"/>
    </row>
    <row r="38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5"/>
      <c r="Y38" s="115"/>
      <c r="Z38" s="115"/>
      <c r="AA38" s="115"/>
      <c r="AB38" s="115"/>
      <c r="AC38" s="115"/>
    </row>
    <row r="39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5"/>
      <c r="Y39" s="115"/>
      <c r="Z39" s="115"/>
      <c r="AA39" s="115"/>
      <c r="AB39" s="115"/>
      <c r="AC39" s="115"/>
    </row>
    <row r="40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5"/>
      <c r="Y40" s="115"/>
      <c r="Z40" s="115"/>
      <c r="AA40" s="115"/>
      <c r="AB40" s="115"/>
      <c r="AC40" s="115"/>
    </row>
    <row r="41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5"/>
      <c r="Y41" s="115"/>
      <c r="Z41" s="115"/>
      <c r="AA41" s="115"/>
      <c r="AB41" s="115"/>
      <c r="AC41" s="115"/>
    </row>
    <row r="42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5"/>
      <c r="Y42" s="115"/>
      <c r="Z42" s="115"/>
      <c r="AA42" s="115"/>
      <c r="AB42" s="115"/>
      <c r="AC42" s="115"/>
    </row>
    <row r="43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5"/>
      <c r="Y43" s="115"/>
      <c r="Z43" s="115"/>
      <c r="AA43" s="115"/>
      <c r="AB43" s="115"/>
      <c r="AC43" s="115"/>
    </row>
    <row r="44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5"/>
      <c r="Y44" s="115"/>
      <c r="Z44" s="115"/>
      <c r="AA44" s="115"/>
      <c r="AB44" s="115"/>
      <c r="AC44" s="115"/>
    </row>
    <row r="45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5"/>
      <c r="Y45" s="115"/>
      <c r="Z45" s="115"/>
      <c r="AA45" s="115"/>
      <c r="AB45" s="115"/>
      <c r="AC45" s="115"/>
    </row>
    <row r="46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5"/>
      <c r="Y46" s="115"/>
      <c r="Z46" s="115"/>
      <c r="AA46" s="115"/>
      <c r="AB46" s="115"/>
      <c r="AC46" s="115"/>
    </row>
    <row r="47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5"/>
      <c r="Y47" s="115"/>
      <c r="Z47" s="115"/>
      <c r="AA47" s="115"/>
      <c r="AB47" s="115"/>
      <c r="AC47" s="115"/>
    </row>
    <row r="48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5"/>
      <c r="Y48" s="115"/>
      <c r="Z48" s="115"/>
      <c r="AA48" s="115"/>
      <c r="AB48" s="115"/>
      <c r="AC48" s="115"/>
    </row>
    <row r="49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5"/>
      <c r="Y49" s="115"/>
      <c r="Z49" s="115"/>
      <c r="AA49" s="115"/>
      <c r="AB49" s="115"/>
      <c r="AC49" s="115"/>
    </row>
    <row r="50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5"/>
      <c r="Y50" s="115"/>
      <c r="Z50" s="115"/>
      <c r="AA50" s="115"/>
      <c r="AB50" s="115"/>
      <c r="AC50" s="115"/>
    </row>
    <row r="51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5"/>
      <c r="Y51" s="115"/>
      <c r="Z51" s="115"/>
      <c r="AA51" s="115"/>
      <c r="AB51" s="115"/>
      <c r="AC51" s="115"/>
    </row>
    <row r="52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5"/>
      <c r="Y52" s="115"/>
      <c r="Z52" s="115"/>
      <c r="AA52" s="115"/>
      <c r="AB52" s="115"/>
      <c r="AC52" s="115"/>
    </row>
    <row r="53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5"/>
      <c r="Y53" s="115"/>
      <c r="Z53" s="115"/>
      <c r="AA53" s="115"/>
      <c r="AB53" s="115"/>
      <c r="AC53" s="115"/>
    </row>
    <row r="54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</row>
    <row r="55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</row>
    <row r="56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</row>
    <row r="57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</row>
    <row r="58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</row>
    <row r="59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</row>
    <row r="60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</row>
    <row r="61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</row>
    <row r="62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</row>
    <row r="63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7.88"/>
    <col customWidth="1" min="5" max="5" width="57.38"/>
    <col customWidth="1" min="6" max="6" width="14.75"/>
    <col customWidth="1" min="9" max="9" width="13.13"/>
    <col customWidth="1" min="10" max="10" width="4.63"/>
    <col customWidth="1" min="11" max="11" width="13.88"/>
    <col customWidth="1" min="14" max="14" width="3.0"/>
    <col customWidth="1" min="15" max="15" width="29.75"/>
    <col customWidth="1" min="16" max="16" width="7.75"/>
    <col customWidth="1" min="17" max="17" width="17.0"/>
    <col customWidth="1" min="19" max="19" width="41.38"/>
    <col customWidth="1" min="20" max="20" width="29.88"/>
  </cols>
  <sheetData>
    <row r="1">
      <c r="A1" s="113"/>
      <c r="B1" s="113"/>
      <c r="C1" s="113"/>
      <c r="D1" s="104"/>
      <c r="E1" s="104"/>
      <c r="F1" s="140"/>
      <c r="G1" s="140"/>
      <c r="H1" s="140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5"/>
      <c r="X1" s="115"/>
      <c r="Y1" s="115"/>
      <c r="Z1" s="115"/>
      <c r="AA1" s="115"/>
      <c r="AB1" s="115"/>
      <c r="AC1" s="115"/>
    </row>
    <row r="2">
      <c r="A2" s="113"/>
      <c r="B2" s="113"/>
      <c r="C2" s="113"/>
      <c r="D2" s="104"/>
      <c r="E2" s="104"/>
      <c r="F2" s="140"/>
      <c r="G2" s="140"/>
      <c r="H2" s="140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5"/>
      <c r="X2" s="115"/>
      <c r="Y2" s="115"/>
      <c r="Z2" s="115"/>
      <c r="AA2" s="115"/>
      <c r="AB2" s="115"/>
      <c r="AC2" s="115"/>
    </row>
    <row r="3">
      <c r="A3" s="113"/>
      <c r="B3" s="113"/>
      <c r="C3" s="113"/>
      <c r="D3" s="104"/>
      <c r="E3" s="104"/>
      <c r="F3" s="140"/>
      <c r="G3" s="140"/>
      <c r="H3" s="140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5"/>
      <c r="X3" s="115"/>
      <c r="Y3" s="115"/>
      <c r="Z3" s="115"/>
      <c r="AA3" s="115"/>
      <c r="AB3" s="115"/>
      <c r="AC3" s="115"/>
    </row>
    <row r="4">
      <c r="A4" s="113"/>
      <c r="B4" s="113"/>
      <c r="C4" s="113"/>
      <c r="D4" s="104"/>
      <c r="E4" s="156" t="s">
        <v>135</v>
      </c>
      <c r="F4" s="140"/>
      <c r="G4" s="140"/>
      <c r="H4" s="140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5"/>
      <c r="X4" s="115"/>
      <c r="Y4" s="115"/>
      <c r="Z4" s="115"/>
      <c r="AA4" s="115"/>
      <c r="AB4" s="115"/>
      <c r="AC4" s="115"/>
    </row>
    <row r="5">
      <c r="A5" s="113"/>
      <c r="B5" s="113"/>
      <c r="C5" s="113"/>
      <c r="D5" s="104"/>
      <c r="E5" s="156" t="s">
        <v>136</v>
      </c>
      <c r="F5" s="140"/>
      <c r="G5" s="140"/>
      <c r="H5" s="140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5"/>
      <c r="X5" s="115"/>
      <c r="Y5" s="115"/>
      <c r="Z5" s="115"/>
      <c r="AA5" s="115"/>
      <c r="AB5" s="115"/>
      <c r="AC5" s="115"/>
    </row>
    <row r="6">
      <c r="A6" s="113"/>
      <c r="B6" s="113"/>
      <c r="C6" s="113"/>
      <c r="D6" s="104"/>
      <c r="E6" s="156" t="s">
        <v>137</v>
      </c>
      <c r="F6" s="140"/>
      <c r="G6" s="140"/>
      <c r="H6" s="140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5"/>
      <c r="X6" s="115"/>
      <c r="Y6" s="115"/>
      <c r="Z6" s="115"/>
      <c r="AA6" s="115"/>
      <c r="AB6" s="115"/>
      <c r="AC6" s="115"/>
    </row>
    <row r="7" ht="16.5" customHeight="1">
      <c r="A7" s="113"/>
      <c r="B7" s="115"/>
      <c r="C7" s="115"/>
      <c r="D7" s="115"/>
      <c r="E7" s="157" t="s">
        <v>138</v>
      </c>
      <c r="F7" s="115"/>
      <c r="G7" s="115"/>
      <c r="H7" s="115"/>
      <c r="I7" s="115"/>
      <c r="J7" s="115"/>
      <c r="K7" s="115"/>
      <c r="L7" s="115"/>
      <c r="M7" s="115"/>
      <c r="N7" s="115"/>
      <c r="O7" s="116" t="s">
        <v>65</v>
      </c>
      <c r="P7" s="116"/>
      <c r="Q7" s="116"/>
      <c r="R7" s="116"/>
      <c r="S7" s="117"/>
      <c r="T7" s="117"/>
      <c r="U7" s="117"/>
      <c r="V7" s="113"/>
      <c r="W7" s="115"/>
      <c r="X7" s="115"/>
      <c r="Y7" s="115"/>
      <c r="Z7" s="115"/>
      <c r="AA7" s="115"/>
      <c r="AB7" s="115"/>
      <c r="AC7" s="115"/>
    </row>
    <row r="8" ht="23.25" customHeight="1">
      <c r="A8" s="113"/>
      <c r="B8" s="115"/>
      <c r="C8" s="115"/>
      <c r="D8" s="115"/>
      <c r="E8" s="157" t="s">
        <v>139</v>
      </c>
      <c r="F8" s="115"/>
      <c r="G8" s="115"/>
      <c r="H8" s="115"/>
      <c r="I8" s="115"/>
      <c r="J8" s="115"/>
      <c r="K8" s="115"/>
      <c r="L8" s="115"/>
      <c r="M8" s="115"/>
      <c r="N8" s="115"/>
      <c r="O8" s="158"/>
      <c r="P8" s="158"/>
      <c r="Q8" s="158"/>
      <c r="R8" s="158"/>
      <c r="S8" s="159"/>
      <c r="T8" s="159"/>
      <c r="U8" s="159"/>
      <c r="V8" s="113"/>
      <c r="W8" s="115"/>
      <c r="X8" s="115"/>
      <c r="Y8" s="115"/>
      <c r="Z8" s="115"/>
      <c r="AA8" s="115"/>
      <c r="AB8" s="115"/>
      <c r="AC8" s="115"/>
    </row>
    <row r="9">
      <c r="A9" s="113"/>
      <c r="B9" s="118" t="s">
        <v>66</v>
      </c>
      <c r="C9" s="118" t="s">
        <v>67</v>
      </c>
      <c r="D9" s="118" t="s">
        <v>68</v>
      </c>
      <c r="E9" s="119" t="s">
        <v>69</v>
      </c>
      <c r="F9" s="119" t="s">
        <v>34</v>
      </c>
      <c r="G9" s="119" t="s">
        <v>70</v>
      </c>
      <c r="H9" s="118" t="s">
        <v>1</v>
      </c>
      <c r="I9" s="118"/>
      <c r="J9" s="122"/>
      <c r="K9" s="123"/>
      <c r="L9" s="123" t="s">
        <v>72</v>
      </c>
      <c r="M9" s="123" t="s">
        <v>73</v>
      </c>
      <c r="N9" s="115"/>
      <c r="O9" s="124" t="s">
        <v>74</v>
      </c>
      <c r="P9" s="125" t="s">
        <v>75</v>
      </c>
      <c r="Q9" s="125" t="s">
        <v>76</v>
      </c>
      <c r="R9" s="125" t="s">
        <v>77</v>
      </c>
      <c r="S9" s="125" t="s">
        <v>78</v>
      </c>
      <c r="T9" s="125" t="s">
        <v>79</v>
      </c>
      <c r="U9" s="125" t="s">
        <v>80</v>
      </c>
      <c r="V9" s="113"/>
      <c r="W9" s="115"/>
      <c r="X9" s="115"/>
      <c r="Y9" s="115"/>
      <c r="Z9" s="115"/>
      <c r="AA9" s="115"/>
      <c r="AB9" s="115"/>
      <c r="AC9" s="115"/>
    </row>
    <row r="10" ht="24.0" customHeight="1">
      <c r="A10" s="113"/>
      <c r="B10" s="113"/>
      <c r="C10" s="113"/>
      <c r="D10" s="149"/>
      <c r="E10" s="160" t="s">
        <v>87</v>
      </c>
      <c r="F10" s="160" t="s">
        <v>140</v>
      </c>
      <c r="G10" s="149"/>
      <c r="H10" s="149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5"/>
      <c r="X10" s="115"/>
      <c r="Y10" s="115"/>
      <c r="Z10" s="115"/>
      <c r="AA10" s="115"/>
      <c r="AB10" s="115"/>
      <c r="AC10" s="115"/>
    </row>
    <row r="11">
      <c r="A11" s="113"/>
      <c r="B11" s="113"/>
      <c r="C11" s="113"/>
      <c r="D11" s="149"/>
      <c r="E11" s="160" t="s">
        <v>141</v>
      </c>
      <c r="F11" s="160" t="s">
        <v>142</v>
      </c>
      <c r="G11" s="149"/>
      <c r="H11" s="149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5"/>
      <c r="X11" s="115"/>
      <c r="Y11" s="115"/>
      <c r="Z11" s="115"/>
      <c r="AA11" s="115"/>
      <c r="AB11" s="115"/>
      <c r="AC11" s="115"/>
    </row>
    <row r="12">
      <c r="A12" s="113"/>
      <c r="B12" s="113"/>
      <c r="C12" s="113"/>
      <c r="D12" s="113"/>
      <c r="E12" s="160" t="s">
        <v>143</v>
      </c>
      <c r="F12" s="160" t="s">
        <v>144</v>
      </c>
      <c r="G12" s="151"/>
      <c r="H12" s="151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5"/>
      <c r="X12" s="115"/>
      <c r="Y12" s="115"/>
      <c r="Z12" s="115"/>
      <c r="AA12" s="115"/>
      <c r="AB12" s="115"/>
      <c r="AC12" s="115"/>
    </row>
    <row r="13">
      <c r="A13" s="113"/>
      <c r="B13" s="113"/>
      <c r="C13" s="113"/>
      <c r="D13" s="113"/>
      <c r="E13" s="160" t="s">
        <v>145</v>
      </c>
      <c r="F13" s="160" t="s">
        <v>146</v>
      </c>
      <c r="G13" s="151"/>
      <c r="H13" s="151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5"/>
      <c r="X13" s="115"/>
      <c r="Y13" s="115"/>
      <c r="Z13" s="115"/>
      <c r="AA13" s="115"/>
      <c r="AB13" s="115"/>
      <c r="AC13" s="115"/>
    </row>
    <row r="14">
      <c r="A14" s="113"/>
      <c r="B14" s="113"/>
      <c r="C14" s="113"/>
      <c r="D14" s="113"/>
      <c r="E14" s="160" t="s">
        <v>147</v>
      </c>
      <c r="F14" s="160" t="s">
        <v>148</v>
      </c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5"/>
      <c r="X14" s="115"/>
      <c r="Y14" s="115"/>
      <c r="Z14" s="115"/>
      <c r="AA14" s="115"/>
      <c r="AB14" s="115"/>
      <c r="AC14" s="115"/>
    </row>
    <row r="15">
      <c r="A15" s="113"/>
      <c r="B15" s="113"/>
      <c r="C15" s="113"/>
      <c r="D15" s="113"/>
      <c r="E15" s="160" t="s">
        <v>149</v>
      </c>
      <c r="F15" s="160" t="s">
        <v>150</v>
      </c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5"/>
      <c r="X15" s="115"/>
      <c r="Y15" s="115"/>
      <c r="Z15" s="115"/>
      <c r="AA15" s="115"/>
      <c r="AB15" s="115"/>
      <c r="AC15" s="115"/>
    </row>
    <row r="16">
      <c r="A16" s="113"/>
      <c r="B16" s="113"/>
      <c r="C16" s="113"/>
      <c r="D16" s="113"/>
      <c r="E16" s="160" t="s">
        <v>151</v>
      </c>
      <c r="F16" s="160" t="s">
        <v>150</v>
      </c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5"/>
      <c r="X16" s="115"/>
      <c r="Y16" s="115"/>
      <c r="Z16" s="115"/>
      <c r="AA16" s="115"/>
      <c r="AB16" s="115"/>
      <c r="AC16" s="115"/>
    </row>
    <row r="17">
      <c r="A17" s="113"/>
      <c r="B17" s="113"/>
      <c r="C17" s="113"/>
      <c r="D17" s="113"/>
      <c r="E17" s="160" t="s">
        <v>152</v>
      </c>
      <c r="F17" s="161" t="s">
        <v>153</v>
      </c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5"/>
      <c r="X17" s="115"/>
      <c r="Y17" s="115"/>
      <c r="Z17" s="115"/>
      <c r="AA17" s="115"/>
      <c r="AB17" s="115"/>
      <c r="AC17" s="115"/>
    </row>
    <row r="18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</row>
    <row r="19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</row>
    <row r="20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</row>
    <row r="21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</row>
    <row r="22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</row>
    <row r="23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</row>
    <row r="24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</row>
    <row r="25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</row>
    <row r="26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</row>
    <row r="27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</row>
    <row r="28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</row>
    <row r="29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</row>
    <row r="30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</row>
    <row r="31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</row>
    <row r="32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</row>
    <row r="33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</row>
    <row r="34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</row>
    <row r="35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</row>
    <row r="36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</row>
    <row r="37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</row>
    <row r="38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</row>
    <row r="39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</row>
    <row r="40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</row>
    <row r="41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</row>
    <row r="42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</row>
    <row r="43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</row>
    <row r="44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</row>
    <row r="45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</row>
    <row r="46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</row>
    <row r="47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</row>
    <row r="48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</row>
    <row r="49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</row>
    <row r="50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</row>
    <row r="51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</row>
    <row r="52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</row>
    <row r="53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</row>
    <row r="54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</row>
    <row r="55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3" max="3" width="18.0"/>
    <col customWidth="1" min="4" max="4" width="23.88"/>
    <col customWidth="1" min="7" max="7" width="12.25"/>
    <col customWidth="1" min="8" max="8" width="11.0"/>
    <col customWidth="1" min="9" max="9" width="48.25"/>
  </cols>
  <sheetData>
    <row r="1">
      <c r="A1" s="162" t="s">
        <v>154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>
      <c r="A2" s="70"/>
      <c r="B2" s="70"/>
      <c r="C2" s="163" t="s">
        <v>31</v>
      </c>
      <c r="D2" s="163" t="s">
        <v>32</v>
      </c>
      <c r="E2" s="164" t="s">
        <v>33</v>
      </c>
      <c r="F2" s="163" t="s">
        <v>34</v>
      </c>
      <c r="G2" s="163" t="s">
        <v>155</v>
      </c>
      <c r="H2" s="163" t="s">
        <v>35</v>
      </c>
      <c r="I2" s="163" t="s">
        <v>156</v>
      </c>
      <c r="J2" s="163" t="s">
        <v>157</v>
      </c>
      <c r="K2" s="165"/>
      <c r="L2" s="165"/>
      <c r="M2" s="70"/>
    </row>
    <row r="3">
      <c r="A3" s="70"/>
      <c r="B3" s="70"/>
      <c r="C3" s="166"/>
      <c r="D3" s="167"/>
      <c r="E3" s="167"/>
      <c r="F3" s="168"/>
      <c r="G3" s="167"/>
      <c r="H3" s="169"/>
      <c r="I3" s="170" t="s">
        <v>37</v>
      </c>
      <c r="J3" s="171"/>
      <c r="K3" s="31"/>
      <c r="L3" s="31"/>
      <c r="M3" s="70"/>
    </row>
    <row r="4">
      <c r="A4" s="70"/>
      <c r="B4" s="70"/>
      <c r="C4" s="167"/>
      <c r="D4" s="167"/>
      <c r="E4" s="167"/>
      <c r="F4" s="167"/>
      <c r="G4" s="167"/>
      <c r="H4" s="167"/>
      <c r="I4" s="172" t="s">
        <v>158</v>
      </c>
      <c r="J4" s="169">
        <v>1.0</v>
      </c>
      <c r="K4" s="167"/>
      <c r="L4" s="173"/>
      <c r="M4" s="70"/>
    </row>
    <row r="5">
      <c r="A5" s="70"/>
      <c r="B5" s="70"/>
      <c r="C5" s="100"/>
      <c r="D5" s="100"/>
      <c r="E5" s="100"/>
      <c r="F5" s="100"/>
      <c r="G5" s="100"/>
      <c r="H5" s="100"/>
      <c r="I5" s="174" t="s">
        <v>159</v>
      </c>
      <c r="J5" s="100"/>
      <c r="K5" s="175"/>
      <c r="L5" s="176"/>
      <c r="M5" s="70"/>
    </row>
    <row r="6" ht="14.25" customHeight="1">
      <c r="A6" s="70"/>
      <c r="B6" s="70"/>
      <c r="C6" s="177"/>
      <c r="D6" s="178"/>
      <c r="E6" s="100"/>
      <c r="F6" s="178"/>
      <c r="G6" s="179"/>
      <c r="H6" s="180"/>
      <c r="I6" s="181" t="s">
        <v>44</v>
      </c>
      <c r="J6" s="100"/>
      <c r="K6" s="182"/>
      <c r="L6" s="100"/>
      <c r="M6" s="70"/>
    </row>
    <row r="7" ht="15.0" customHeight="1">
      <c r="A7" s="70"/>
      <c r="B7" s="70"/>
      <c r="C7" s="100"/>
      <c r="D7" s="180"/>
      <c r="E7" s="100"/>
      <c r="F7" s="178"/>
      <c r="G7" s="179"/>
      <c r="H7" s="180"/>
      <c r="I7" s="100" t="s">
        <v>46</v>
      </c>
      <c r="J7" s="100"/>
      <c r="K7" s="100"/>
      <c r="L7" s="183"/>
      <c r="M7" s="70"/>
    </row>
    <row r="8" ht="15.75" customHeight="1">
      <c r="A8" s="70"/>
      <c r="B8" s="70"/>
      <c r="C8" s="167"/>
      <c r="D8" s="167"/>
      <c r="E8" s="167"/>
      <c r="F8" s="167"/>
      <c r="G8" s="167"/>
      <c r="H8" s="184"/>
      <c r="I8" s="169" t="s">
        <v>160</v>
      </c>
      <c r="J8" s="169">
        <v>2.0</v>
      </c>
      <c r="K8" s="168"/>
      <c r="L8" s="185"/>
      <c r="M8" s="70"/>
    </row>
    <row r="9" ht="14.25" customHeight="1">
      <c r="A9" s="70"/>
      <c r="B9" s="70"/>
      <c r="C9" s="177"/>
      <c r="D9" s="100"/>
      <c r="E9" s="186"/>
      <c r="F9" s="178"/>
      <c r="G9" s="179"/>
      <c r="H9" s="187"/>
      <c r="I9" s="97" t="s">
        <v>161</v>
      </c>
      <c r="J9" s="100"/>
      <c r="K9" s="100"/>
      <c r="L9" s="188"/>
      <c r="M9" s="70"/>
    </row>
    <row r="10" ht="14.25" customHeight="1">
      <c r="A10" s="70"/>
      <c r="B10" s="70"/>
      <c r="C10" s="177"/>
      <c r="D10" s="100"/>
      <c r="E10" s="186"/>
      <c r="F10" s="178"/>
      <c r="G10" s="179"/>
      <c r="H10" s="187"/>
      <c r="I10" s="181" t="s">
        <v>51</v>
      </c>
      <c r="J10" s="100"/>
      <c r="K10" s="182">
        <v>1.0</v>
      </c>
      <c r="L10" s="188"/>
      <c r="M10" s="70"/>
    </row>
    <row r="11" ht="29.25" customHeight="1">
      <c r="A11" s="70"/>
      <c r="B11" s="70"/>
      <c r="C11" s="177"/>
      <c r="D11" s="100"/>
      <c r="E11" s="100"/>
      <c r="F11" s="178"/>
      <c r="G11" s="179"/>
      <c r="H11" s="187"/>
      <c r="I11" s="189" t="s">
        <v>162</v>
      </c>
      <c r="J11" s="100"/>
      <c r="K11" s="100"/>
      <c r="L11" s="188"/>
      <c r="M11" s="70"/>
    </row>
    <row r="12" ht="16.5" customHeight="1">
      <c r="A12" s="70"/>
      <c r="B12" s="70"/>
      <c r="C12" s="177"/>
      <c r="D12" s="100"/>
      <c r="E12" s="186"/>
      <c r="F12" s="178"/>
      <c r="G12" s="179"/>
      <c r="H12" s="180"/>
      <c r="I12" s="181" t="s">
        <v>57</v>
      </c>
      <c r="J12" s="100"/>
      <c r="K12" s="190"/>
      <c r="L12" s="188"/>
      <c r="M12" s="70"/>
    </row>
    <row r="13">
      <c r="A13" s="70"/>
      <c r="B13" s="70"/>
      <c r="C13" s="100"/>
      <c r="D13" s="100"/>
      <c r="E13" s="100"/>
      <c r="F13" s="178"/>
      <c r="G13" s="179"/>
      <c r="H13" s="100"/>
      <c r="I13" s="97" t="s">
        <v>48</v>
      </c>
      <c r="J13" s="100"/>
      <c r="K13" s="100"/>
      <c r="L13" s="188"/>
      <c r="M13" s="70"/>
    </row>
    <row r="14">
      <c r="A14" s="70"/>
      <c r="B14" s="70"/>
      <c r="C14" s="100"/>
      <c r="D14" s="100"/>
      <c r="E14" s="100"/>
      <c r="F14" s="100"/>
      <c r="G14" s="100"/>
      <c r="H14" s="100"/>
      <c r="I14" s="181" t="s">
        <v>51</v>
      </c>
      <c r="J14" s="180"/>
      <c r="K14" s="182">
        <v>1.0</v>
      </c>
      <c r="L14" s="191"/>
      <c r="M14" s="70"/>
    </row>
    <row r="15">
      <c r="A15" s="70"/>
      <c r="B15" s="70"/>
      <c r="C15" s="100"/>
      <c r="D15" s="100"/>
      <c r="E15" s="100"/>
      <c r="F15" s="100"/>
      <c r="G15" s="100"/>
      <c r="H15" s="100"/>
      <c r="I15" s="192" t="s">
        <v>163</v>
      </c>
      <c r="J15" s="180"/>
      <c r="K15" s="191"/>
      <c r="L15" s="191"/>
      <c r="M15" s="70"/>
    </row>
    <row r="16">
      <c r="A16" s="70"/>
      <c r="B16" s="70"/>
      <c r="C16" s="177"/>
      <c r="D16" s="100"/>
      <c r="E16" s="100"/>
      <c r="F16" s="100"/>
      <c r="G16" s="100"/>
      <c r="H16" s="180"/>
      <c r="I16" s="181" t="s">
        <v>164</v>
      </c>
      <c r="J16" s="100"/>
      <c r="K16" s="182"/>
      <c r="L16" s="191"/>
      <c r="M16" s="70"/>
    </row>
    <row r="17">
      <c r="A17" s="70"/>
      <c r="B17" s="70"/>
      <c r="C17" s="193"/>
      <c r="D17" s="167"/>
      <c r="E17" s="167"/>
      <c r="F17" s="166"/>
      <c r="G17" s="167"/>
      <c r="H17" s="184"/>
      <c r="I17" s="169" t="s">
        <v>165</v>
      </c>
      <c r="J17" s="169">
        <v>3.0</v>
      </c>
      <c r="K17" s="194"/>
      <c r="L17" s="173"/>
      <c r="M17" s="70"/>
    </row>
    <row r="18">
      <c r="A18" s="70"/>
      <c r="B18" s="70"/>
      <c r="C18" s="177"/>
      <c r="D18" s="100"/>
      <c r="E18" s="100"/>
      <c r="F18" s="100"/>
      <c r="G18" s="195"/>
      <c r="H18" s="100"/>
      <c r="I18" s="97" t="s">
        <v>48</v>
      </c>
      <c r="J18" s="100"/>
      <c r="K18" s="188"/>
      <c r="L18" s="191"/>
      <c r="M18" s="70"/>
    </row>
    <row r="19">
      <c r="A19" s="70"/>
      <c r="B19" s="70"/>
      <c r="C19" s="97"/>
      <c r="D19" s="97"/>
      <c r="E19" s="97"/>
      <c r="F19" s="97"/>
      <c r="G19" s="97"/>
      <c r="H19" s="97"/>
      <c r="I19" s="181" t="s">
        <v>51</v>
      </c>
      <c r="J19" s="97"/>
      <c r="K19" s="182">
        <v>1.0</v>
      </c>
      <c r="L19" s="97"/>
      <c r="M19" s="70"/>
    </row>
    <row r="20">
      <c r="A20" s="70"/>
      <c r="B20" s="70"/>
      <c r="C20" s="97"/>
      <c r="D20" s="97"/>
      <c r="E20" s="97"/>
      <c r="F20" s="97"/>
      <c r="G20" s="97"/>
      <c r="H20" s="97"/>
      <c r="I20" s="192" t="s">
        <v>166</v>
      </c>
      <c r="J20" s="97"/>
      <c r="K20" s="97"/>
      <c r="L20" s="97"/>
      <c r="M20" s="70"/>
    </row>
    <row r="21">
      <c r="A21" s="70"/>
      <c r="B21" s="70"/>
      <c r="C21" s="97"/>
      <c r="D21" s="97"/>
      <c r="E21" s="97"/>
      <c r="F21" s="97"/>
      <c r="G21" s="97"/>
      <c r="H21" s="97"/>
      <c r="I21" s="181" t="s">
        <v>57</v>
      </c>
      <c r="J21" s="196"/>
      <c r="K21" s="196"/>
      <c r="L21" s="196"/>
      <c r="M21" s="70"/>
    </row>
    <row r="22">
      <c r="A22" s="70"/>
      <c r="B22" s="70"/>
      <c r="C22" s="196"/>
      <c r="D22" s="196"/>
      <c r="E22" s="196"/>
      <c r="F22" s="196"/>
      <c r="G22" s="196"/>
      <c r="H22" s="196"/>
      <c r="I22" s="100" t="s">
        <v>167</v>
      </c>
      <c r="J22" s="196"/>
      <c r="K22" s="196"/>
      <c r="L22" s="196"/>
      <c r="M22" s="70"/>
    </row>
    <row r="23">
      <c r="A23" s="70"/>
      <c r="B23" s="70"/>
      <c r="C23" s="197"/>
      <c r="D23" s="197"/>
      <c r="E23" s="197"/>
      <c r="F23" s="197"/>
      <c r="G23" s="197"/>
      <c r="H23" s="197"/>
      <c r="I23" s="169" t="s">
        <v>168</v>
      </c>
      <c r="J23" s="169">
        <v>4.0</v>
      </c>
      <c r="K23" s="197"/>
      <c r="L23" s="197"/>
      <c r="M23" s="70"/>
    </row>
    <row r="24">
      <c r="A24" s="70"/>
      <c r="B24" s="70"/>
      <c r="C24" s="196"/>
      <c r="D24" s="196"/>
      <c r="E24" s="196"/>
      <c r="F24" s="196"/>
      <c r="G24" s="196"/>
      <c r="H24" s="196"/>
      <c r="I24" s="97" t="s">
        <v>161</v>
      </c>
      <c r="J24" s="196"/>
      <c r="K24" s="196"/>
      <c r="L24" s="196"/>
      <c r="M24" s="70"/>
    </row>
    <row r="25">
      <c r="A25" s="70"/>
      <c r="B25" s="70"/>
      <c r="C25" s="196"/>
      <c r="D25" s="196"/>
      <c r="E25" s="196"/>
      <c r="F25" s="196"/>
      <c r="G25" s="196"/>
      <c r="H25" s="196"/>
      <c r="I25" s="181" t="s">
        <v>51</v>
      </c>
      <c r="J25" s="196"/>
      <c r="K25" s="182">
        <v>1.0</v>
      </c>
      <c r="L25" s="196"/>
      <c r="M25" s="70"/>
    </row>
    <row r="26">
      <c r="A26" s="70"/>
      <c r="B26" s="70"/>
      <c r="C26" s="196"/>
      <c r="D26" s="196"/>
      <c r="E26" s="196"/>
      <c r="F26" s="196"/>
      <c r="G26" s="196"/>
      <c r="H26" s="196"/>
      <c r="I26" s="198" t="s">
        <v>169</v>
      </c>
      <c r="J26" s="196"/>
      <c r="K26" s="196"/>
      <c r="L26" s="196"/>
      <c r="M26" s="70"/>
    </row>
    <row r="27">
      <c r="A27" s="70"/>
      <c r="B27" s="70"/>
      <c r="C27" s="196"/>
      <c r="D27" s="196"/>
      <c r="E27" s="196"/>
      <c r="F27" s="196"/>
      <c r="G27" s="196"/>
      <c r="H27" s="196"/>
      <c r="I27" s="181" t="s">
        <v>57</v>
      </c>
      <c r="J27" s="196"/>
      <c r="K27" s="196"/>
      <c r="L27" s="196"/>
      <c r="M27" s="70"/>
    </row>
    <row r="28">
      <c r="A28" s="70"/>
      <c r="B28" s="70"/>
      <c r="C28" s="197"/>
      <c r="D28" s="197"/>
      <c r="E28" s="197"/>
      <c r="F28" s="197"/>
      <c r="G28" s="197"/>
      <c r="H28" s="197"/>
      <c r="I28" s="169" t="s">
        <v>170</v>
      </c>
      <c r="J28" s="169">
        <v>5.0</v>
      </c>
      <c r="K28" s="197"/>
      <c r="L28" s="197"/>
      <c r="M28" s="70"/>
    </row>
    <row r="29">
      <c r="A29" s="70"/>
      <c r="B29" s="70"/>
      <c r="C29" s="197"/>
      <c r="D29" s="197"/>
      <c r="E29" s="197"/>
      <c r="F29" s="197"/>
      <c r="G29" s="197"/>
      <c r="H29" s="197"/>
      <c r="I29" s="169" t="s">
        <v>171</v>
      </c>
      <c r="J29" s="169">
        <v>6.0</v>
      </c>
      <c r="K29" s="197"/>
      <c r="L29" s="197"/>
      <c r="M29" s="70"/>
    </row>
    <row r="30">
      <c r="A30" s="70"/>
      <c r="B30" s="70"/>
      <c r="C30" s="197"/>
      <c r="D30" s="197"/>
      <c r="E30" s="197"/>
      <c r="F30" s="197"/>
      <c r="G30" s="197"/>
      <c r="H30" s="197"/>
      <c r="I30" s="169" t="s">
        <v>172</v>
      </c>
      <c r="J30" s="169">
        <v>7.0</v>
      </c>
      <c r="K30" s="197"/>
      <c r="L30" s="197"/>
      <c r="M30" s="70"/>
    </row>
    <row r="31">
      <c r="A31" s="70"/>
      <c r="B31" s="70"/>
      <c r="C31" s="197"/>
      <c r="D31" s="197"/>
      <c r="E31" s="197"/>
      <c r="F31" s="197"/>
      <c r="G31" s="197"/>
      <c r="H31" s="197"/>
      <c r="I31" s="169" t="s">
        <v>158</v>
      </c>
      <c r="J31" s="169">
        <v>8.0</v>
      </c>
      <c r="K31" s="197"/>
      <c r="L31" s="197"/>
      <c r="M31" s="70"/>
    </row>
    <row r="32">
      <c r="A32" s="70"/>
      <c r="B32" s="70"/>
      <c r="C32" s="197"/>
      <c r="D32" s="197"/>
      <c r="E32" s="197"/>
      <c r="F32" s="197"/>
      <c r="G32" s="197"/>
      <c r="H32" s="197"/>
      <c r="I32" s="169" t="s">
        <v>160</v>
      </c>
      <c r="J32" s="169">
        <v>9.0</v>
      </c>
      <c r="K32" s="197"/>
      <c r="L32" s="197"/>
      <c r="M32" s="70"/>
    </row>
    <row r="33">
      <c r="A33" s="70"/>
      <c r="B33" s="70"/>
      <c r="C33" s="196"/>
      <c r="D33" s="196"/>
      <c r="E33" s="196"/>
      <c r="F33" s="196"/>
      <c r="G33" s="196"/>
      <c r="H33" s="199"/>
      <c r="I33" s="200" t="s">
        <v>173</v>
      </c>
      <c r="J33" s="196"/>
      <c r="K33" s="196"/>
      <c r="L33" s="196"/>
      <c r="M33" s="70"/>
    </row>
    <row r="34">
      <c r="A34" s="70"/>
      <c r="B34" s="70"/>
      <c r="C34" s="196"/>
      <c r="D34" s="196"/>
      <c r="E34" s="196"/>
      <c r="F34" s="196"/>
      <c r="G34" s="196"/>
      <c r="H34" s="196"/>
      <c r="I34" s="201" t="s">
        <v>51</v>
      </c>
      <c r="J34" s="196"/>
      <c r="K34" s="182">
        <v>1.0</v>
      </c>
      <c r="L34" s="196"/>
      <c r="M34" s="70"/>
    </row>
    <row r="35">
      <c r="A35" s="70"/>
      <c r="B35" s="70"/>
      <c r="C35" s="202"/>
      <c r="D35" s="196"/>
      <c r="E35" s="196"/>
      <c r="F35" s="196"/>
      <c r="G35" s="196"/>
      <c r="H35" s="196"/>
      <c r="I35" s="203" t="s">
        <v>174</v>
      </c>
      <c r="J35" s="196"/>
      <c r="K35" s="196"/>
      <c r="L35" s="196"/>
      <c r="M35" s="70"/>
    </row>
    <row r="36">
      <c r="A36" s="70"/>
      <c r="B36" s="70"/>
      <c r="C36" s="196"/>
      <c r="D36" s="196"/>
      <c r="E36" s="196"/>
      <c r="F36" s="196"/>
      <c r="G36" s="196"/>
      <c r="H36" s="196"/>
      <c r="I36" s="201" t="s">
        <v>57</v>
      </c>
      <c r="J36" s="196"/>
      <c r="K36" s="196"/>
      <c r="L36" s="196"/>
      <c r="M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</row>
    <row r="48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</row>
    <row r="49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</row>
    <row r="50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</row>
    <row r="5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</row>
    <row r="52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</row>
    <row r="5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</row>
    <row r="54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</row>
    <row r="55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</row>
    <row r="56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</row>
    <row r="57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</row>
    <row r="58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</row>
    <row r="59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</row>
    <row r="6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</row>
    <row r="62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</row>
    <row r="6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</row>
    <row r="66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</row>
    <row r="67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</row>
    <row r="68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</row>
    <row r="69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</row>
    <row r="72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</row>
    <row r="7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</row>
    <row r="74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</row>
    <row r="75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</row>
    <row r="76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</row>
    <row r="77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</row>
    <row r="78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</row>
    <row r="84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</row>
    <row r="85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</row>
    <row r="87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</row>
    <row r="88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</row>
    <row r="89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</row>
    <row r="90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</row>
    <row r="9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</row>
    <row r="92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</row>
    <row r="9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</row>
    <row r="94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</row>
    <row r="95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</row>
    <row r="96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</row>
    <row r="97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</row>
    <row r="98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</row>
    <row r="1001">
      <c r="A1001" s="70"/>
      <c r="B1001" s="70"/>
      <c r="C1001" s="70"/>
      <c r="D1001" s="70"/>
      <c r="E1001" s="70"/>
      <c r="F1001" s="70"/>
      <c r="G1001" s="70"/>
      <c r="H1001" s="70"/>
      <c r="I1001" s="70"/>
      <c r="J1001" s="70"/>
      <c r="K1001" s="70"/>
      <c r="L1001" s="70"/>
      <c r="M1001" s="70"/>
    </row>
    <row r="1002">
      <c r="A1002" s="70"/>
      <c r="B1002" s="70"/>
      <c r="C1002" s="70"/>
      <c r="D1002" s="70"/>
      <c r="E1002" s="70"/>
      <c r="F1002" s="70"/>
      <c r="G1002" s="70"/>
      <c r="H1002" s="70"/>
      <c r="I1002" s="70"/>
      <c r="J1002" s="70"/>
      <c r="K1002" s="70"/>
      <c r="L1002" s="70"/>
      <c r="M1002" s="70"/>
    </row>
    <row r="1003">
      <c r="A1003" s="70"/>
      <c r="B1003" s="70"/>
      <c r="C1003" s="70"/>
      <c r="D1003" s="70"/>
      <c r="E1003" s="70"/>
      <c r="F1003" s="70"/>
      <c r="G1003" s="70"/>
      <c r="H1003" s="70"/>
      <c r="I1003" s="70"/>
      <c r="J1003" s="70"/>
      <c r="K1003" s="70"/>
      <c r="L1003" s="70"/>
      <c r="M1003" s="70"/>
    </row>
    <row r="1004">
      <c r="A1004" s="70"/>
      <c r="B1004" s="70"/>
      <c r="C1004" s="70"/>
      <c r="D1004" s="70"/>
      <c r="E1004" s="70"/>
      <c r="F1004" s="70"/>
      <c r="G1004" s="70"/>
      <c r="H1004" s="70"/>
      <c r="I1004" s="70"/>
      <c r="J1004" s="70"/>
      <c r="K1004" s="70"/>
      <c r="L1004" s="70"/>
      <c r="M1004" s="70"/>
    </row>
    <row r="1005">
      <c r="A1005" s="70"/>
      <c r="B1005" s="70"/>
      <c r="C1005" s="70"/>
      <c r="D1005" s="70"/>
      <c r="E1005" s="70"/>
      <c r="F1005" s="70"/>
      <c r="G1005" s="70"/>
      <c r="H1005" s="70"/>
      <c r="I1005" s="70"/>
      <c r="J1005" s="70"/>
      <c r="K1005" s="70"/>
      <c r="L1005" s="70"/>
      <c r="M1005" s="70"/>
    </row>
    <row r="1006">
      <c r="A1006" s="70"/>
      <c r="B1006" s="70"/>
      <c r="C1006" s="70"/>
      <c r="D1006" s="70"/>
      <c r="E1006" s="70"/>
      <c r="F1006" s="70"/>
      <c r="G1006" s="70"/>
      <c r="H1006" s="70"/>
      <c r="I1006" s="70"/>
      <c r="J1006" s="70"/>
      <c r="K1006" s="70"/>
      <c r="L1006" s="70"/>
      <c r="M1006" s="7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