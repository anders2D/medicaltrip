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 ITINERARIO " sheetId="2" r:id="rId5"/>
    <sheet state="visible" name="COSTEO Raishel" sheetId="3" r:id="rId6"/>
    <sheet state="visible" name="VUELO" sheetId="4" r:id="rId7"/>
    <sheet state="visible" name="PRÓXIMO VIAJE" sheetId="5" r:id="rId8"/>
  </sheets>
  <definedNames/>
  <calcPr/>
  <extLst>
    <ext uri="GoogleSheetsCustomDataVersion2">
      <go:sheetsCustomData xmlns:go="http://customooxmlschemas.google.com/" r:id="rId9" roundtripDataChecksum="KDUTYpqd1G6ZRsxoP6MP/FTSLQuwno/L/suxBFz1O8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">
      <text>
        <t xml:space="preserve">======
ID#AAAB11srhyc
MEDICAL RESERVAS    (2026-03-18 19:14:54)
excedente del pago total de Laboratorios</t>
      </text>
    </comment>
    <comment authorId="0" ref="L8">
      <text>
        <t xml:space="preserve">======
ID#AAAB3jxtHNU
Medical Trip Colombia SAS    (2026-03-18 13:19:43)
DOMICILIO EN BOGOTA</t>
      </text>
    </comment>
  </commentList>
  <extLst>
    <ext uri="GoogleSheetsCustomDataVersion2">
      <go:sheetsCustomData xmlns:go="http://customooxmlschemas.google.com/" r:id="rId1" roundtripDataSignature="AMtx7mh3tX+SjH+1z+HpsbbLdM3CFsT+0w=="/>
    </ext>
  </extLst>
</comments>
</file>

<file path=xl/sharedStrings.xml><?xml version="1.0" encoding="utf-8"?>
<sst xmlns="http://schemas.openxmlformats.org/spreadsheetml/2006/main" count="305" uniqueCount="149">
  <si>
    <t>Nombre</t>
  </si>
  <si>
    <t>Raishel</t>
  </si>
  <si>
    <t>Apellido</t>
  </si>
  <si>
    <t>Girigorie</t>
  </si>
  <si>
    <t>Género:  .</t>
  </si>
  <si>
    <t xml:space="preserve">Masculino </t>
  </si>
  <si>
    <t>Pasaporte</t>
  </si>
  <si>
    <t>NYFKP2241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</si>
  <si>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</si>
  <si>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</si>
  <si>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</si>
  <si>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</si>
  <si>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</si>
  <si>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</si>
  <si>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Raishelgirigorie@outlook.com</t>
  </si>
  <si>
    <t>Teléfono</t>
  </si>
  <si>
    <t xml:space="preserve">Profesión </t>
  </si>
  <si>
    <t>RH</t>
  </si>
  <si>
    <t>Seguro</t>
  </si>
  <si>
    <t>(Además del SVB) panamericano curacao</t>
  </si>
  <si>
    <t>Peso</t>
  </si>
  <si>
    <t>100 kg</t>
  </si>
  <si>
    <t>Altura</t>
  </si>
  <si>
    <t>1,75</t>
  </si>
  <si>
    <t>Idioma</t>
  </si>
  <si>
    <t>espanol&amp;papiamentu&amp;hulandes</t>
  </si>
  <si>
    <t>CONFIRMACIÓN</t>
  </si>
  <si>
    <t>DIRECCIÓN</t>
  </si>
  <si>
    <t>SEDE</t>
  </si>
  <si>
    <t>PROVEEDOR</t>
  </si>
  <si>
    <t>ITINERARIO:  18-19 Marzo - 2026</t>
  </si>
  <si>
    <t>PAGOS</t>
  </si>
  <si>
    <t>PASAJERO</t>
  </si>
  <si>
    <t>Hora</t>
  </si>
  <si>
    <t>Actividad</t>
  </si>
  <si>
    <t>Dia</t>
  </si>
  <si>
    <t>ACP horas</t>
  </si>
  <si>
    <t>Traslado cerca</t>
  </si>
  <si>
    <t>Traslado lejos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</si>
  <si>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</si>
  <si>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</si>
  <si>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</si>
  <si>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</si>
  <si>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</si>
  <si>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</si>
  <si>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</si>
  <si>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</si>
  <si>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</si>
  <si>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MIERCOLES 18 de Marzo </t>
  </si>
  <si>
    <t>No desayunar</t>
  </si>
  <si>
    <t>Confirmado</t>
  </si>
  <si>
    <t>Hilton double tree Bogota Salitre</t>
  </si>
  <si>
    <t>ECHAVARRIA</t>
  </si>
  <si>
    <t>06:30 am</t>
  </si>
  <si>
    <t>Toma de muestras de laboratorio clínico- En el hotel</t>
  </si>
  <si>
    <t>Johanns Acosta</t>
  </si>
  <si>
    <t>7:00 am</t>
  </si>
  <si>
    <t xml:space="preserve">Traslado hotel-Centro médico </t>
  </si>
  <si>
    <t>CL 95 # 23 61</t>
  </si>
  <si>
    <t>NOGALES</t>
  </si>
  <si>
    <t>08:00 am</t>
  </si>
  <si>
    <t>Ecografia de abdomen y pélvis - simple</t>
  </si>
  <si>
    <t>Ecografía de mama</t>
  </si>
  <si>
    <t>08:30 am</t>
  </si>
  <si>
    <t>Radiografía de tórax</t>
  </si>
  <si>
    <t>09:00 am</t>
  </si>
  <si>
    <t>Electrocardiograma</t>
  </si>
  <si>
    <t>Traslado centro médico- Hotel</t>
  </si>
  <si>
    <t>Tiempo para desayunar</t>
  </si>
  <si>
    <t>Tiempo esperar resultados</t>
  </si>
  <si>
    <t>05:00 pm</t>
  </si>
  <si>
    <t>Consulta con especialista en Medicina Interna</t>
  </si>
  <si>
    <t>JUEVES 19 de Marzo</t>
  </si>
  <si>
    <t>Día de vuelo</t>
  </si>
  <si>
    <t>Libro diario contable</t>
  </si>
  <si>
    <t>ARCHIVO DE DOCUMENTOS</t>
  </si>
  <si>
    <t>PAGOS-FACTURA</t>
  </si>
  <si>
    <t>RESERVAS  Y CONFIRMACION</t>
  </si>
  <si>
    <t>SERVICIOS</t>
  </si>
  <si>
    <t>VALOR UNITARIO</t>
  </si>
  <si>
    <t xml:space="preserve">PASAJERO 1 </t>
  </si>
  <si>
    <t>APP</t>
  </si>
  <si>
    <t>PRE COMPRA</t>
  </si>
  <si>
    <t>Emitido</t>
  </si>
  <si>
    <t>Poliza de asistencia medical</t>
  </si>
  <si>
    <t>CHEQUEO MÉDICO EJECUTIVO PREVENTIVO-HOMBRE</t>
  </si>
  <si>
    <t>1,00</t>
  </si>
  <si>
    <t>Unidades</t>
  </si>
  <si>
    <t>485,00</t>
  </si>
  <si>
    <t>FACTURADO</t>
  </si>
  <si>
    <t>CONFIRMADO</t>
  </si>
  <si>
    <t>LABORATORIOS CLÍNICOS</t>
  </si>
  <si>
    <t>JURIDICA BANCOLOMBIA</t>
  </si>
  <si>
    <t>TRANSFERENCIA BANCARIA</t>
  </si>
  <si>
    <t>Tarro fecal y orina / Domicilio</t>
  </si>
  <si>
    <t xml:space="preserve">Echavarria </t>
  </si>
  <si>
    <t>Archivado</t>
  </si>
  <si>
    <t>Antígeno de próstata</t>
  </si>
  <si>
    <t>Coprológico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</si>
  <si>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</si>
  <si>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</si>
  <si>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</si>
  <si>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</si>
  <si>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</si>
  <si>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</si>
  <si>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</si>
  <si>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</si>
  <si>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</si>
  <si>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</si>
  <si>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</si>
  <si>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</si>
  <si>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</si>
  <si>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</si>
  <si>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</si>
  <si>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</si>
  <si>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</si>
  <si>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</si>
  <si>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</si>
  <si>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</si>
  <si>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 xml:space="preserve">Perfil Hormonal </t>
  </si>
  <si>
    <t>Testosterona Libre</t>
  </si>
  <si>
    <t>$ 18,00</t>
  </si>
  <si>
    <t>Testosterona Total</t>
  </si>
  <si>
    <t>LH-Hormona Luteinizante</t>
  </si>
  <si>
    <t>$ 19,00</t>
  </si>
  <si>
    <t>FSH-Hormona Folículo Estimulante</t>
  </si>
  <si>
    <t>Estradiol</t>
  </si>
  <si>
    <t>Prolactina</t>
  </si>
  <si>
    <t>Fosfata Alcalina</t>
  </si>
  <si>
    <t>$ 7,00</t>
  </si>
  <si>
    <t>Bilirrubina total y directa</t>
  </si>
  <si>
    <t>Enfermedades de transmisión sexual</t>
  </si>
  <si>
    <t>VDRL serología</t>
  </si>
  <si>
    <t xml:space="preserve">VIH 1 Y 2, Anticuerpos </t>
  </si>
  <si>
    <t>IMÁGENES DIAGNÓSTICAS</t>
  </si>
  <si>
    <t>CLÍNICA LOS NOGALES</t>
  </si>
  <si>
    <t>JURÍDICA BANCOLOMBIA</t>
  </si>
  <si>
    <t xml:space="preserve">Nogales </t>
  </si>
  <si>
    <t>Ecografia de mama</t>
  </si>
  <si>
    <t>ESPECIALISTAS</t>
  </si>
  <si>
    <t>Servicios Medical Trip colombia</t>
  </si>
  <si>
    <t>Acompañamiento virtual</t>
  </si>
  <si>
    <t xml:space="preserve">Jennifer </t>
  </si>
  <si>
    <t>DMS 352</t>
  </si>
  <si>
    <t>Acompañamiento presencial para 06 horas</t>
  </si>
  <si>
    <t>Johanns</t>
  </si>
  <si>
    <t>4 traslados ida y regreso</t>
  </si>
  <si>
    <t>PAGADO</t>
  </si>
  <si>
    <t xml:space="preserve">Caja menor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</si>
</sst>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d-mm-yyyy"/>
    <numFmt numFmtId="167" formatCode="[$cop]#,##0"/>
    <numFmt numFmtId="168" formatCode="d/MM/yyyy"/>
    <numFmt numFmtId="169" formatCode="d mmmm"/>
    <numFmt numFmtId="170" formatCode="&quot;$&quot;#,##0"/>
    <numFmt numFmtId="171" formatCode="dd-mm-yy"/>
    <numFmt numFmtId="172" formatCode="dd mmmm"/>
    <numFmt numFmtId="173" formatCode="[$$]#,##0.00"/>
    <numFmt numFmtId="174" formatCode="&quot;$&quot;#,##0.00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1.0"/>
      <color rgb="FFFFFFFF"/>
      <name val="Lexend"/>
    </font>
    <font/>
    <font>
      <sz val="11.0"/>
      <color theme="1"/>
      <name val="Arial"/>
    </font>
    <font>
      <sz val="11.0"/>
      <color theme="1"/>
      <name val="Arial"/>
      <scheme val="minor"/>
    </font>
    <font>
      <sz val="10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>
      <b/>
      <color rgb="FFFFFFFF"/>
      <name val="Lexend"/>
    </font>
    <font>
      <b/>
      <sz val="9.0"/>
      <color rgb="FFFFFFFF"/>
      <name val="Lexend"/>
    </font>
    <font>
      <b/>
      <sz val="10.0"/>
      <color rgb="FFFFFFFF"/>
      <name val="Lexend"/>
    </font>
    <font>
      <sz val="12.0"/>
      <color theme="1"/>
      <name val="Lexend"/>
    </font>
    <font>
      <color theme="1"/>
      <name val="Lexend"/>
    </font>
    <font>
      <b/>
      <sz val="8.0"/>
      <color theme="1"/>
      <name val="Lexend"/>
    </font>
    <font>
      <b/>
      <sz val="9.0"/>
      <color theme="1"/>
      <name val="Lexend"/>
    </font>
    <font>
      <sz val="8.0"/>
      <color theme="1"/>
      <name val="Lexend"/>
    </font>
    <font>
      <b/>
      <sz val="11.0"/>
      <color rgb="FF212529"/>
      <name val="Lexend"/>
    </font>
    <font>
      <sz val="11.0"/>
      <color rgb="FF212529"/>
      <name val="Lexend"/>
    </font>
    <font>
      <sz val="11.0"/>
      <color rgb="FF212529"/>
      <name val="-apple-system"/>
    </font>
    <font>
      <sz val="11.0"/>
      <color theme="1"/>
      <name val="-apple-system"/>
    </font>
    <font>
      <sz val="11.0"/>
      <color rgb="FF111827"/>
      <name val="-apple-system"/>
    </font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7" fillId="4" fontId="5" numFmtId="0" xfId="0" applyAlignment="1" applyBorder="1" applyFont="1">
      <alignment horizontal="center" shrinkToFit="0" wrapText="1"/>
    </xf>
    <xf borderId="1" fillId="4" fontId="7" numFmtId="167" xfId="0" applyBorder="1" applyFont="1" applyNumberFormat="1"/>
    <xf borderId="1" fillId="4" fontId="7" numFmtId="0" xfId="0" applyBorder="1" applyFont="1"/>
    <xf borderId="0" fillId="0" fontId="7" numFmtId="167" xfId="0" applyFont="1" applyNumberFormat="1"/>
    <xf borderId="6" fillId="4" fontId="5" numFmtId="167" xfId="0" applyAlignment="1" applyBorder="1" applyFont="1" applyNumberFormat="1">
      <alignment horizontal="center" shrinkToFit="0" wrapText="1"/>
    </xf>
    <xf borderId="6" fillId="4" fontId="7" numFmtId="167" xfId="0" applyBorder="1" applyFont="1" applyNumberFormat="1"/>
    <xf borderId="1" fillId="5" fontId="3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8" fillId="6" fontId="3" numFmtId="167" xfId="0" applyAlignment="1" applyBorder="1" applyFill="1" applyFont="1" applyNumberFormat="1">
      <alignment horizontal="center" shrinkToFit="0" wrapText="1"/>
    </xf>
    <xf borderId="3" fillId="6" fontId="3" numFmtId="167" xfId="0" applyAlignment="1" applyBorder="1" applyFont="1" applyNumberFormat="1">
      <alignment horizontal="center" shrinkToFit="0" wrapText="1"/>
    </xf>
    <xf borderId="0" fillId="0" fontId="7" numFmtId="0" xfId="0" applyFont="1"/>
    <xf borderId="9" fillId="7" fontId="5" numFmtId="167" xfId="0" applyAlignment="1" applyBorder="1" applyFill="1" applyFont="1" applyNumberFormat="1">
      <alignment horizontal="center" shrinkToFit="0" wrapText="1"/>
    </xf>
    <xf borderId="9" fillId="7" fontId="5" numFmtId="168" xfId="0" applyAlignment="1" applyBorder="1" applyFont="1" applyNumberFormat="1">
      <alignment horizontal="center" shrinkToFit="0" wrapText="1"/>
    </xf>
    <xf borderId="0" fillId="3" fontId="8" numFmtId="0" xfId="0" applyFont="1"/>
    <xf borderId="1" fillId="5" fontId="3" numFmtId="169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6" fontId="1" numFmtId="170" xfId="0" applyAlignment="1" applyFont="1" applyNumberFormat="1">
      <alignment horizontal="center" shrinkToFit="0" wrapText="1"/>
    </xf>
    <xf borderId="0" fillId="3" fontId="7" numFmtId="0" xfId="0" applyFont="1"/>
    <xf borderId="0" fillId="8" fontId="1" numFmtId="0" xfId="0" applyAlignment="1" applyFill="1" applyFont="1">
      <alignment horizontal="center"/>
    </xf>
    <xf borderId="0" fillId="8" fontId="7" numFmtId="0" xfId="0" applyFont="1"/>
    <xf borderId="1" fillId="3" fontId="3" numFmtId="0" xfId="0" applyAlignment="1" applyBorder="1" applyFont="1">
      <alignment horizontal="center" vertical="center"/>
    </xf>
    <xf borderId="1" fillId="3" fontId="3" numFmtId="169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0" fillId="6" fontId="7" numFmtId="167" xfId="0" applyFont="1" applyNumberFormat="1"/>
    <xf borderId="1" fillId="9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0" fillId="8" fontId="7" numFmtId="166" xfId="0" applyFont="1" applyNumberFormat="1"/>
    <xf borderId="0" fillId="8" fontId="7" numFmtId="170" xfId="0" applyFont="1" applyNumberFormat="1"/>
    <xf borderId="1" fillId="11" fontId="1" numFmtId="0" xfId="0" applyAlignment="1" applyBorder="1" applyFill="1" applyFont="1">
      <alignment horizontal="center" readingOrder="0" vertical="center"/>
    </xf>
    <xf borderId="0" fillId="8" fontId="1" numFmtId="0" xfId="0" applyAlignment="1" applyFont="1">
      <alignment horizontal="center" shrinkToFit="0" wrapText="1"/>
    </xf>
    <xf borderId="0" fillId="8" fontId="1" numFmtId="171" xfId="0" applyAlignment="1" applyFont="1" applyNumberFormat="1">
      <alignment horizontal="center" shrinkToFit="0" wrapText="1"/>
    </xf>
    <xf borderId="0" fillId="8" fontId="1" numFmtId="170" xfId="0" applyAlignment="1" applyFont="1" applyNumberFormat="1">
      <alignment horizontal="center" shrinkToFit="0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1" fillId="5" fontId="3" numFmtId="172" xfId="0" applyAlignment="1" applyBorder="1" applyFont="1" applyNumberFormat="1">
      <alignment horizontal="center" vertical="center"/>
    </xf>
    <xf borderId="1" fillId="5" fontId="1" numFmtId="172" xfId="0" applyAlignment="1" applyBorder="1" applyFont="1" applyNumberFormat="1">
      <alignment horizontal="center" vertical="center"/>
    </xf>
    <xf borderId="1" fillId="3" fontId="3" numFmtId="172" xfId="0" applyAlignment="1" applyBorder="1" applyFont="1" applyNumberFormat="1">
      <alignment horizontal="center" vertical="center"/>
    </xf>
    <xf borderId="1" fillId="3" fontId="1" numFmtId="172" xfId="0" applyAlignment="1" applyBorder="1" applyFont="1" applyNumberFormat="1">
      <alignment horizontal="center" vertical="center"/>
    </xf>
    <xf borderId="0" fillId="3" fontId="1" numFmtId="0" xfId="0" applyAlignment="1" applyFont="1">
      <alignment horizontal="center" shrinkToFit="0" vertical="center" wrapText="1"/>
    </xf>
    <xf borderId="0" fillId="3" fontId="7" numFmtId="167" xfId="0" applyFont="1" applyNumberFormat="1"/>
    <xf borderId="0" fillId="3" fontId="1" numFmtId="169" xfId="0" applyAlignment="1" applyFont="1" applyNumberFormat="1">
      <alignment horizontal="center" vertical="center"/>
    </xf>
    <xf borderId="0" fillId="3" fontId="1" numFmtId="172" xfId="0" applyAlignment="1" applyFont="1" applyNumberFormat="1">
      <alignment horizontal="center" vertical="center"/>
    </xf>
    <xf borderId="0" fillId="3" fontId="3" numFmtId="172" xfId="0" applyAlignment="1" applyFont="1" applyNumberFormat="1">
      <alignment horizontal="center" vertical="center"/>
    </xf>
    <xf borderId="0" fillId="3" fontId="7" numFmtId="172" xfId="0" applyFont="1" applyNumberFormat="1"/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9" numFmtId="173" xfId="0" applyAlignment="1" applyFont="1" applyNumberFormat="1">
      <alignment horizontal="center" vertical="center"/>
    </xf>
    <xf borderId="6" fillId="0" fontId="10" numFmtId="0" xfId="0" applyAlignment="1" applyBorder="1" applyFont="1">
      <alignment horizontal="center" shrinkToFit="0" vertical="center" wrapText="0"/>
    </xf>
    <xf borderId="2" fillId="4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1" fillId="4" fontId="4" numFmtId="167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6" fillId="4" fontId="14" numFmtId="0" xfId="0" applyAlignment="1" applyBorder="1" applyFont="1">
      <alignment horizontal="center" shrinkToFit="0" vertical="center" wrapText="1"/>
    </xf>
    <xf borderId="6" fillId="4" fontId="9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vertical="center"/>
    </xf>
    <xf borderId="1" fillId="6" fontId="17" numFmtId="167" xfId="0" applyAlignment="1" applyBorder="1" applyFont="1" applyNumberFormat="1">
      <alignment horizontal="center" shrinkToFit="0" vertical="center" wrapText="1"/>
    </xf>
    <xf borderId="1" fillId="6" fontId="18" numFmtId="167" xfId="0" applyAlignment="1" applyBorder="1" applyFont="1" applyNumberFormat="1">
      <alignment horizontal="center" shrinkToFit="0" vertical="center" wrapText="1"/>
    </xf>
    <xf borderId="9" fillId="7" fontId="11" numFmtId="167" xfId="0" applyAlignment="1" applyBorder="1" applyFont="1" applyNumberFormat="1">
      <alignment horizontal="center" shrinkToFit="0" vertical="center" wrapText="1"/>
    </xf>
    <xf borderId="9" fillId="7" fontId="11" numFmtId="168" xfId="0" applyAlignment="1" applyBorder="1" applyFont="1" applyNumberFormat="1">
      <alignment horizontal="center" shrinkToFit="0" vertical="center" wrapText="1"/>
    </xf>
    <xf borderId="1" fillId="9" fontId="4" numFmtId="0" xfId="0" applyAlignment="1" applyBorder="1" applyFont="1">
      <alignment horizontal="center" readingOrder="0" vertical="center"/>
    </xf>
    <xf borderId="1" fillId="9" fontId="15" numFmtId="0" xfId="0" applyAlignment="1" applyBorder="1" applyFont="1">
      <alignment horizontal="center" readingOrder="0" vertical="center"/>
    </xf>
    <xf borderId="1" fillId="10" fontId="16" numFmtId="0" xfId="0" applyAlignment="1" applyBorder="1" applyFont="1">
      <alignment horizontal="center" readingOrder="0" vertical="center"/>
    </xf>
    <xf borderId="1" fillId="6" fontId="19" numFmtId="170" xfId="0" applyAlignment="1" applyBorder="1" applyFont="1" applyNumberFormat="1">
      <alignment horizontal="center" readingOrder="0" shrinkToFit="0" vertical="center" wrapText="1"/>
    </xf>
    <xf borderId="0" fillId="7" fontId="11" numFmtId="167" xfId="0" applyAlignment="1" applyFont="1" applyNumberFormat="1">
      <alignment horizontal="center" shrinkToFit="0" vertical="center" wrapText="1"/>
    </xf>
    <xf borderId="0" fillId="7" fontId="11" numFmtId="168" xfId="0" applyAlignment="1" applyFont="1" applyNumberFormat="1">
      <alignment horizontal="center" shrinkToFit="0" vertical="center" wrapText="1"/>
    </xf>
    <xf borderId="1" fillId="12" fontId="9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1" fillId="3" fontId="1" numFmtId="17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1" fillId="9" fontId="9" numFmtId="0" xfId="0" applyAlignment="1" applyBorder="1" applyFont="1">
      <alignment horizontal="center" readingOrder="0" vertical="center"/>
    </xf>
    <xf borderId="1" fillId="13" fontId="3" numFmtId="0" xfId="0" applyAlignment="1" applyBorder="1" applyFill="1" applyFont="1">
      <alignment horizontal="center" shrinkToFit="0" vertical="center" wrapText="1"/>
    </xf>
    <xf borderId="1" fillId="13" fontId="20" numFmtId="0" xfId="0" applyAlignment="1" applyBorder="1" applyFont="1">
      <alignment horizontal="center" shrinkToFit="0" vertical="center" wrapText="1"/>
    </xf>
    <xf borderId="1" fillId="13" fontId="16" numFmtId="0" xfId="0" applyAlignment="1" applyBorder="1" applyFont="1">
      <alignment horizontal="center" vertical="center"/>
    </xf>
    <xf borderId="1" fillId="13" fontId="16" numFmtId="0" xfId="0" applyAlignment="1" applyBorder="1" applyFont="1">
      <alignment horizontal="center" vertical="center"/>
    </xf>
    <xf borderId="1" fillId="6" fontId="19" numFmtId="170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171" xfId="0" applyAlignment="1" applyFont="1" applyNumberFormat="1">
      <alignment horizontal="center" readingOrder="0" vertical="center"/>
    </xf>
    <xf borderId="0" fillId="0" fontId="9" numFmtId="170" xfId="0" applyAlignment="1" applyFont="1" applyNumberFormat="1">
      <alignment horizontal="center" readingOrder="0" vertical="center"/>
    </xf>
    <xf borderId="1" fillId="10" fontId="21" numFmtId="0" xfId="0" applyAlignment="1" applyBorder="1" applyFont="1">
      <alignment horizontal="center" shrinkToFit="0" vertical="center" wrapText="1"/>
    </xf>
    <xf borderId="1" fillId="10" fontId="21" numFmtId="174" xfId="0" applyAlignment="1" applyBorder="1" applyFont="1" applyNumberFormat="1">
      <alignment horizontal="center" shrinkToFit="0" vertical="center" wrapText="1"/>
    </xf>
    <xf borderId="1" fillId="3" fontId="9" numFmtId="170" xfId="0" applyAlignment="1" applyBorder="1" applyFont="1" applyNumberFormat="1">
      <alignment horizontal="center" readingOrder="0" vertical="center"/>
    </xf>
    <xf borderId="1" fillId="10" fontId="16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shrinkToFit="0" vertical="center" wrapText="1"/>
    </xf>
    <xf borderId="1" fillId="14" fontId="16" numFmtId="0" xfId="0" applyAlignment="1" applyBorder="1" applyFont="1">
      <alignment horizontal="center" readingOrder="0" vertical="center"/>
    </xf>
    <xf borderId="1" fillId="14" fontId="9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shrinkToFit="0" vertical="bottom" wrapText="1"/>
    </xf>
    <xf borderId="0" fillId="15" fontId="22" numFmtId="0" xfId="0" applyAlignment="1" applyFill="1" applyFont="1">
      <alignment vertical="top"/>
    </xf>
    <xf borderId="1" fillId="13" fontId="9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center" readingOrder="0" vertical="center"/>
    </xf>
    <xf borderId="0" fillId="12" fontId="9" numFmtId="0" xfId="0" applyAlignment="1" applyFont="1">
      <alignment horizontal="center" vertical="center"/>
    </xf>
    <xf borderId="0" fillId="3" fontId="23" numFmtId="0" xfId="0" applyAlignment="1" applyFont="1">
      <alignment horizontal="right" readingOrder="0" shrinkToFit="0" vertical="center" wrapText="0"/>
    </xf>
    <xf borderId="0" fillId="13" fontId="24" numFmtId="0" xfId="0" applyAlignment="1" applyFont="1">
      <alignment vertical="center"/>
    </xf>
    <xf borderId="0" fillId="3" fontId="9" numFmtId="0" xfId="0" applyAlignment="1" applyFont="1">
      <alignment horizontal="center" readingOrder="0" vertical="center"/>
    </xf>
    <xf borderId="0" fillId="3" fontId="9" numFmtId="0" xfId="0" applyAlignment="1" applyFont="1">
      <alignment horizontal="center" vertical="center"/>
    </xf>
    <xf borderId="0" fillId="3" fontId="9" numFmtId="171" xfId="0" applyAlignment="1" applyFont="1" applyNumberFormat="1">
      <alignment horizontal="center" readingOrder="0" vertical="center"/>
    </xf>
    <xf borderId="0" fillId="3" fontId="9" numFmtId="170" xfId="0" applyAlignment="1" applyFont="1" applyNumberFormat="1">
      <alignment horizontal="center" readingOrder="0" vertical="center"/>
    </xf>
    <xf borderId="1" fillId="12" fontId="9" numFmtId="0" xfId="0" applyAlignment="1" applyBorder="1" applyFont="1">
      <alignment horizontal="center" readingOrder="0" vertical="center"/>
    </xf>
    <xf borderId="0" fillId="9" fontId="9" numFmtId="0" xfId="0" applyAlignment="1" applyFont="1">
      <alignment horizontal="center" readingOrder="0" vertical="center"/>
    </xf>
    <xf borderId="0" fillId="0" fontId="2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3"/>
      <c r="E18" s="1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2</v>
      </c>
      <c r="B19" s="4" t="s">
        <v>3</v>
      </c>
      <c r="C19" s="2"/>
      <c r="D19" s="3"/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4</v>
      </c>
      <c r="B20" s="4" t="s">
        <v>5</v>
      </c>
      <c r="C20" s="2"/>
      <c r="D20" s="3"/>
      <c r="E20" s="1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6</v>
      </c>
      <c r="B21" s="4" t="s">
        <v>7</v>
      </c>
      <c r="C21" s="2"/>
      <c r="D21" s="3"/>
      <c r="E21" s="1"/>
      <c r="F21" s="2"/>
      <c r="G21" s="3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8</v>
      </c>
      <c r="B22" s="5">
        <v>34178.0</v>
      </c>
      <c r="C22" s="2"/>
      <c r="D22" s="3"/>
      <c r="E22" s="6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9</v>
      </c>
      <c r="B23" s="4">
        <v>32.0</v>
      </c>
      <c r="C23" s="2"/>
      <c r="D23" s="3"/>
      <c r="E23" s="1"/>
      <c r="F23" s="2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10</v>
      </c>
      <c r="B24" s="1"/>
      <c r="C24" s="2"/>
      <c r="D24" s="3"/>
      <c r="E24" s="1"/>
      <c r="F24" s="2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11</v>
      </c>
      <c r="B25" s="1"/>
      <c r="C25" s="2"/>
      <c r="D25" s="3"/>
      <c r="E25" s="1"/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12</v>
      </c>
      <c r="B26" s="1"/>
      <c r="C26" s="2"/>
      <c r="D26" s="3"/>
      <c r="E26" s="1"/>
      <c r="F26" s="2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13</v>
      </c>
      <c r="B27" s="4" t="s">
        <v>14</v>
      </c>
      <c r="C27" s="2"/>
      <c r="D27" s="3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15</v>
      </c>
      <c r="B28" s="1"/>
      <c r="C28" s="2"/>
      <c r="D28" s="3"/>
      <c r="E28" s="1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16</v>
      </c>
      <c r="B29" s="1"/>
      <c r="C29" s="2"/>
      <c r="D29" s="3"/>
      <c r="E29" s="1"/>
      <c r="F29" s="2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17</v>
      </c>
      <c r="B30" s="1"/>
      <c r="C30" s="2"/>
      <c r="D30" s="3"/>
      <c r="E30" s="1"/>
      <c r="F30" s="2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18</v>
      </c>
      <c r="B31" s="4" t="s">
        <v>19</v>
      </c>
      <c r="C31" s="2"/>
      <c r="D31" s="3"/>
      <c r="E31" s="1"/>
      <c r="F31" s="2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20</v>
      </c>
      <c r="B32" s="4" t="s">
        <v>21</v>
      </c>
      <c r="C32" s="2"/>
      <c r="D32" s="3"/>
      <c r="E32" s="1"/>
      <c r="F32" s="2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22</v>
      </c>
      <c r="B33" s="4" t="s">
        <v>23</v>
      </c>
      <c r="C33" s="2"/>
      <c r="D33" s="3"/>
      <c r="E33" s="1"/>
      <c r="F33" s="2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24</v>
      </c>
      <c r="B34" s="4" t="s">
        <v>25</v>
      </c>
      <c r="C34" s="2"/>
      <c r="D34" s="3"/>
      <c r="E34" s="1"/>
      <c r="F34" s="2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9"/>
      <c r="B35" s="9"/>
      <c r="C35" s="2"/>
      <c r="D35" s="9"/>
      <c r="E35" s="1"/>
      <c r="F35" s="2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0"/>
      <c r="C36" s="2"/>
      <c r="D36" s="1"/>
      <c r="E36" s="1"/>
      <c r="F36" s="2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2"/>
      <c r="D37" s="1"/>
      <c r="E37" s="1"/>
      <c r="F37" s="2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5"/>
    <col customWidth="1" min="2" max="2" width="18.13"/>
    <col customWidth="1" min="3" max="3" width="24.13"/>
    <col customWidth="1" min="4" max="4" width="20.0"/>
    <col customWidth="1" min="5" max="5" width="18.75"/>
    <col customWidth="1" min="6" max="6" width="12.38"/>
    <col customWidth="1" min="7" max="7" width="10.75"/>
    <col customWidth="1" min="8" max="8" width="49.13"/>
    <col customWidth="1" min="9" max="9" width="5.38"/>
    <col customWidth="1" min="10" max="10" width="6.63"/>
    <col customWidth="1" min="11" max="11" width="8.13"/>
    <col customWidth="1" min="12" max="12" width="7.63"/>
    <col customWidth="1" min="13" max="13" width="5.13"/>
    <col customWidth="1" min="14" max="16" width="11.0"/>
    <col customWidth="1" min="17" max="17" width="6.88"/>
    <col customWidth="1" min="18" max="18" width="27.38"/>
    <col customWidth="1" min="19" max="19" width="5.75"/>
    <col customWidth="1" min="20" max="20" width="10.25"/>
    <col customWidth="1" min="21" max="21" width="9.75"/>
    <col customWidth="1" min="22" max="22" width="18.13"/>
    <col customWidth="1" min="23" max="23" width="14.0"/>
    <col customWidth="1" min="24" max="24" width="10.63"/>
  </cols>
  <sheetData>
    <row r="1" ht="23.25" customHeight="1">
      <c r="A1" s="11"/>
      <c r="B1" s="12"/>
      <c r="C1" s="13"/>
      <c r="D1" s="13"/>
      <c r="E1" s="13"/>
      <c r="F1" s="13"/>
      <c r="G1" s="13"/>
      <c r="H1" s="13"/>
      <c r="I1" s="13"/>
      <c r="J1" s="13"/>
      <c r="K1" s="13"/>
      <c r="L1" s="14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23.25" customHeight="1">
      <c r="A2" s="15"/>
      <c r="B2" s="12"/>
      <c r="C2" s="13"/>
      <c r="D2" s="13"/>
      <c r="E2" s="13"/>
      <c r="F2" s="13"/>
      <c r="G2" s="13"/>
      <c r="H2" s="13"/>
      <c r="I2" s="13"/>
      <c r="J2" s="13"/>
      <c r="K2" s="13"/>
      <c r="L2" s="14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23.25" customHeight="1">
      <c r="A3" s="16"/>
      <c r="B3" s="17" t="s">
        <v>26</v>
      </c>
      <c r="C3" s="18" t="s">
        <v>27</v>
      </c>
      <c r="D3" s="18" t="s">
        <v>28</v>
      </c>
      <c r="E3" s="18" t="s">
        <v>29</v>
      </c>
      <c r="F3" s="18"/>
      <c r="G3" s="19"/>
      <c r="H3" s="20" t="s">
        <v>30</v>
      </c>
      <c r="I3" s="19"/>
      <c r="J3" s="21"/>
      <c r="K3" s="22"/>
      <c r="L3" s="23"/>
      <c r="M3" s="14"/>
      <c r="N3" s="24" t="s">
        <v>31</v>
      </c>
      <c r="O3" s="25"/>
      <c r="P3" s="26"/>
      <c r="Q3" s="27"/>
      <c r="R3" s="28" t="s">
        <v>31</v>
      </c>
      <c r="S3" s="22"/>
      <c r="T3" s="22"/>
      <c r="U3" s="22"/>
      <c r="V3" s="29"/>
      <c r="W3" s="29"/>
      <c r="X3" s="29"/>
    </row>
    <row r="4">
      <c r="A4" s="14"/>
      <c r="B4" s="30"/>
      <c r="C4" s="31"/>
      <c r="D4" s="31"/>
      <c r="E4" s="30"/>
      <c r="F4" s="30" t="s">
        <v>32</v>
      </c>
      <c r="G4" s="32" t="s">
        <v>33</v>
      </c>
      <c r="H4" s="30" t="s">
        <v>34</v>
      </c>
      <c r="I4" s="32" t="s">
        <v>35</v>
      </c>
      <c r="J4" s="30" t="s">
        <v>36</v>
      </c>
      <c r="K4" s="30" t="s">
        <v>37</v>
      </c>
      <c r="L4" s="30" t="s">
        <v>38</v>
      </c>
      <c r="M4" s="14"/>
      <c r="N4" s="33" t="s">
        <v>32</v>
      </c>
      <c r="O4" s="34" t="s">
        <v>39</v>
      </c>
      <c r="P4" s="34" t="s">
        <v>40</v>
      </c>
      <c r="Q4" s="35"/>
      <c r="R4" s="36" t="s">
        <v>41</v>
      </c>
      <c r="S4" s="37" t="s">
        <v>42</v>
      </c>
      <c r="T4" s="37" t="s">
        <v>43</v>
      </c>
      <c r="U4" s="37" t="s">
        <v>44</v>
      </c>
      <c r="V4" s="37" t="s">
        <v>45</v>
      </c>
      <c r="W4" s="37" t="s">
        <v>46</v>
      </c>
      <c r="X4" s="37" t="s">
        <v>47</v>
      </c>
    </row>
    <row r="5">
      <c r="A5" s="38"/>
      <c r="B5" s="32"/>
      <c r="C5" s="32"/>
      <c r="D5" s="32"/>
      <c r="E5" s="32"/>
      <c r="F5" s="39"/>
      <c r="G5" s="32"/>
      <c r="H5" s="40" t="s">
        <v>48</v>
      </c>
      <c r="I5" s="32">
        <v>1.0</v>
      </c>
      <c r="J5" s="32"/>
      <c r="K5" s="32"/>
      <c r="L5" s="32"/>
      <c r="M5" s="41"/>
      <c r="N5" s="42"/>
      <c r="O5" s="42"/>
      <c r="P5" s="42"/>
      <c r="Q5" s="43"/>
      <c r="R5" s="44"/>
      <c r="S5" s="45"/>
      <c r="T5" s="45"/>
      <c r="U5" s="45"/>
      <c r="V5" s="45"/>
      <c r="W5" s="45"/>
      <c r="X5" s="45"/>
    </row>
    <row r="6">
      <c r="A6" s="38"/>
      <c r="B6" s="46"/>
      <c r="C6" s="46"/>
      <c r="D6" s="46"/>
      <c r="E6" s="46"/>
      <c r="F6" s="47"/>
      <c r="G6" s="46"/>
      <c r="H6" s="48" t="s">
        <v>49</v>
      </c>
      <c r="I6" s="46"/>
      <c r="J6" s="46"/>
      <c r="K6" s="46"/>
      <c r="L6" s="46"/>
      <c r="M6" s="41"/>
      <c r="N6" s="49"/>
      <c r="O6" s="49"/>
      <c r="P6" s="49"/>
      <c r="Q6" s="43"/>
      <c r="R6" s="45"/>
      <c r="S6" s="45"/>
      <c r="T6" s="45"/>
      <c r="U6" s="45"/>
      <c r="V6" s="45"/>
      <c r="W6" s="45"/>
      <c r="X6" s="45"/>
    </row>
    <row r="7">
      <c r="A7" s="38"/>
      <c r="B7" s="50" t="s">
        <v>50</v>
      </c>
      <c r="C7" s="51" t="s">
        <v>51</v>
      </c>
      <c r="D7" s="48"/>
      <c r="E7" s="48" t="s">
        <v>52</v>
      </c>
      <c r="F7" s="52" t="s">
        <v>1</v>
      </c>
      <c r="G7" s="53" t="s">
        <v>53</v>
      </c>
      <c r="H7" s="54" t="s">
        <v>54</v>
      </c>
      <c r="I7" s="46"/>
      <c r="J7" s="46"/>
      <c r="K7" s="46"/>
      <c r="L7" s="46"/>
      <c r="M7" s="41"/>
      <c r="N7" s="49"/>
      <c r="O7" s="49"/>
      <c r="P7" s="49"/>
      <c r="Q7" s="43"/>
      <c r="R7" s="45"/>
      <c r="S7" s="45"/>
      <c r="T7" s="55"/>
      <c r="U7" s="56"/>
      <c r="V7" s="45"/>
      <c r="W7" s="45"/>
      <c r="X7" s="45"/>
    </row>
    <row r="8">
      <c r="A8" s="38"/>
      <c r="B8" s="46"/>
      <c r="C8" s="46"/>
      <c r="D8" s="46"/>
      <c r="E8" s="48" t="s">
        <v>55</v>
      </c>
      <c r="F8" s="48"/>
      <c r="G8" s="53" t="s">
        <v>56</v>
      </c>
      <c r="H8" s="57" t="s">
        <v>57</v>
      </c>
      <c r="I8" s="46"/>
      <c r="J8" s="53">
        <v>0.5</v>
      </c>
      <c r="K8" s="53">
        <v>1.0</v>
      </c>
      <c r="L8" s="46"/>
      <c r="M8" s="41"/>
      <c r="N8" s="42"/>
      <c r="O8" s="42"/>
      <c r="P8" s="42"/>
      <c r="Q8" s="43"/>
      <c r="R8" s="58"/>
      <c r="S8" s="45"/>
      <c r="T8" s="59"/>
      <c r="U8" s="60"/>
      <c r="V8" s="58"/>
      <c r="W8" s="58"/>
      <c r="X8" s="45"/>
    </row>
    <row r="9">
      <c r="A9" s="38"/>
      <c r="B9" s="50" t="s">
        <v>50</v>
      </c>
      <c r="C9" s="11" t="s">
        <v>58</v>
      </c>
      <c r="D9" s="46"/>
      <c r="E9" s="48" t="s">
        <v>59</v>
      </c>
      <c r="F9" s="53"/>
      <c r="G9" s="53" t="s">
        <v>60</v>
      </c>
      <c r="H9" s="61" t="s">
        <v>61</v>
      </c>
      <c r="I9" s="46"/>
      <c r="J9" s="46"/>
      <c r="K9" s="46"/>
      <c r="L9" s="46"/>
      <c r="M9" s="41"/>
      <c r="N9" s="49"/>
      <c r="O9" s="49"/>
      <c r="P9" s="49"/>
      <c r="Q9" s="43"/>
      <c r="R9" s="45"/>
      <c r="S9" s="45"/>
      <c r="T9" s="45"/>
      <c r="U9" s="45"/>
      <c r="V9" s="45"/>
      <c r="W9" s="45"/>
      <c r="X9" s="45"/>
    </row>
    <row r="10">
      <c r="A10" s="38"/>
      <c r="B10" s="11"/>
      <c r="C10" s="11"/>
      <c r="D10" s="46"/>
      <c r="E10" s="48"/>
      <c r="F10" s="47"/>
      <c r="G10" s="53"/>
      <c r="H10" s="61" t="s">
        <v>62</v>
      </c>
      <c r="I10" s="46"/>
      <c r="J10" s="46"/>
      <c r="K10" s="46"/>
      <c r="L10" s="46"/>
      <c r="M10" s="41"/>
      <c r="N10" s="49"/>
      <c r="O10" s="49"/>
      <c r="P10" s="49"/>
      <c r="Q10" s="43"/>
      <c r="R10" s="58"/>
      <c r="S10" s="45"/>
      <c r="T10" s="59"/>
      <c r="U10" s="60"/>
      <c r="V10" s="58"/>
      <c r="W10" s="58"/>
      <c r="X10" s="45"/>
    </row>
    <row r="11">
      <c r="A11" s="38"/>
      <c r="B11" s="50" t="s">
        <v>50</v>
      </c>
      <c r="C11" s="11" t="s">
        <v>58</v>
      </c>
      <c r="D11" s="46"/>
      <c r="E11" s="48" t="s">
        <v>59</v>
      </c>
      <c r="F11" s="47"/>
      <c r="G11" s="53" t="s">
        <v>63</v>
      </c>
      <c r="H11" s="62" t="s">
        <v>64</v>
      </c>
      <c r="I11" s="46"/>
      <c r="J11" s="46"/>
      <c r="K11" s="46"/>
      <c r="L11" s="46"/>
      <c r="M11" s="41"/>
      <c r="N11" s="49"/>
      <c r="O11" s="49"/>
      <c r="P11" s="49"/>
      <c r="Q11" s="43"/>
      <c r="R11" s="58"/>
      <c r="S11" s="45"/>
      <c r="T11" s="59"/>
      <c r="U11" s="60"/>
      <c r="V11" s="58"/>
      <c r="W11" s="58"/>
      <c r="X11" s="45"/>
    </row>
    <row r="12">
      <c r="A12" s="38"/>
      <c r="B12" s="50" t="s">
        <v>50</v>
      </c>
      <c r="C12" s="11" t="s">
        <v>58</v>
      </c>
      <c r="D12" s="46"/>
      <c r="E12" s="48" t="s">
        <v>59</v>
      </c>
      <c r="F12" s="47"/>
      <c r="G12" s="53" t="s">
        <v>65</v>
      </c>
      <c r="H12" s="62" t="s">
        <v>66</v>
      </c>
      <c r="I12" s="46"/>
      <c r="J12" s="46"/>
      <c r="K12" s="46"/>
      <c r="L12" s="46"/>
      <c r="M12" s="41"/>
      <c r="N12" s="49"/>
      <c r="O12" s="49"/>
      <c r="P12" s="49"/>
      <c r="Q12" s="43"/>
      <c r="R12" s="45"/>
      <c r="S12" s="45"/>
      <c r="T12" s="45"/>
      <c r="U12" s="45"/>
      <c r="V12" s="45"/>
      <c r="W12" s="45"/>
      <c r="X12" s="45"/>
    </row>
    <row r="13">
      <c r="A13" s="38"/>
      <c r="B13" s="46"/>
      <c r="C13" s="46"/>
      <c r="D13" s="46"/>
      <c r="E13" s="46"/>
      <c r="F13" s="47"/>
      <c r="G13" s="46"/>
      <c r="H13" s="57" t="s">
        <v>67</v>
      </c>
      <c r="I13" s="46"/>
      <c r="J13" s="46"/>
      <c r="K13" s="53">
        <v>1.0</v>
      </c>
      <c r="L13" s="46"/>
      <c r="M13" s="41"/>
      <c r="N13" s="49"/>
      <c r="O13" s="49"/>
      <c r="P13" s="49"/>
      <c r="Q13" s="43"/>
      <c r="R13" s="45"/>
      <c r="S13" s="45"/>
      <c r="T13" s="45"/>
      <c r="U13" s="45"/>
      <c r="V13" s="45"/>
      <c r="W13" s="45"/>
      <c r="X13" s="45"/>
    </row>
    <row r="14">
      <c r="A14" s="14"/>
      <c r="B14" s="46"/>
      <c r="C14" s="46"/>
      <c r="D14" s="46"/>
      <c r="E14" s="46"/>
      <c r="F14" s="46"/>
      <c r="G14" s="46"/>
      <c r="H14" s="48" t="s">
        <v>68</v>
      </c>
      <c r="I14" s="46"/>
      <c r="J14" s="46"/>
      <c r="K14" s="46"/>
      <c r="L14" s="46"/>
      <c r="M14" s="14"/>
      <c r="N14" s="49"/>
      <c r="O14" s="49"/>
      <c r="P14" s="49"/>
      <c r="Q14" s="43"/>
      <c r="R14" s="45"/>
      <c r="S14" s="45"/>
      <c r="T14" s="45"/>
      <c r="U14" s="45"/>
      <c r="V14" s="45"/>
      <c r="W14" s="45"/>
      <c r="X14" s="45"/>
    </row>
    <row r="15">
      <c r="A15" s="14"/>
      <c r="B15" s="46"/>
      <c r="C15" s="46"/>
      <c r="D15" s="46"/>
      <c r="E15" s="46"/>
      <c r="F15" s="46"/>
      <c r="G15" s="46"/>
      <c r="H15" s="48" t="s">
        <v>69</v>
      </c>
      <c r="I15" s="46"/>
      <c r="J15" s="46"/>
      <c r="K15" s="46"/>
      <c r="L15" s="46"/>
      <c r="M15" s="14"/>
      <c r="N15" s="49"/>
      <c r="O15" s="49"/>
      <c r="P15" s="49"/>
      <c r="Q15" s="43"/>
      <c r="R15" s="45"/>
      <c r="S15" s="45"/>
      <c r="T15" s="45"/>
      <c r="U15" s="45"/>
      <c r="V15" s="45"/>
      <c r="W15" s="45"/>
      <c r="X15" s="45"/>
    </row>
    <row r="16">
      <c r="A16" s="14"/>
      <c r="B16" s="46"/>
      <c r="C16" s="46"/>
      <c r="D16" s="46"/>
      <c r="E16" s="46"/>
      <c r="F16" s="46"/>
      <c r="G16" s="46"/>
      <c r="H16" s="57" t="s">
        <v>57</v>
      </c>
      <c r="I16" s="63"/>
      <c r="J16" s="52">
        <v>0.25</v>
      </c>
      <c r="K16" s="53">
        <v>1.0</v>
      </c>
      <c r="L16" s="46"/>
      <c r="M16" s="14"/>
      <c r="N16" s="49"/>
      <c r="O16" s="49"/>
      <c r="P16" s="49"/>
      <c r="Q16" s="43"/>
      <c r="R16" s="45"/>
      <c r="S16" s="45"/>
      <c r="T16" s="45"/>
      <c r="U16" s="45"/>
      <c r="V16" s="45"/>
      <c r="W16" s="45"/>
      <c r="X16" s="45"/>
    </row>
    <row r="17">
      <c r="A17" s="14"/>
      <c r="B17" s="46"/>
      <c r="C17" s="11" t="s">
        <v>58</v>
      </c>
      <c r="D17" s="46"/>
      <c r="E17" s="48" t="s">
        <v>59</v>
      </c>
      <c r="F17" s="53"/>
      <c r="G17" s="53" t="s">
        <v>70</v>
      </c>
      <c r="H17" s="62" t="s">
        <v>71</v>
      </c>
      <c r="I17" s="46"/>
      <c r="J17" s="46"/>
      <c r="K17" s="46"/>
      <c r="L17" s="46"/>
      <c r="M17" s="14"/>
      <c r="N17" s="49"/>
      <c r="O17" s="49"/>
      <c r="P17" s="49"/>
      <c r="Q17" s="43"/>
      <c r="R17" s="45"/>
      <c r="S17" s="45"/>
      <c r="T17" s="45"/>
      <c r="U17" s="45"/>
      <c r="V17" s="45"/>
      <c r="W17" s="45"/>
      <c r="X17" s="45"/>
    </row>
    <row r="18">
      <c r="A18" s="14"/>
      <c r="B18" s="46"/>
      <c r="C18" s="46"/>
      <c r="D18" s="46"/>
      <c r="E18" s="46"/>
      <c r="F18" s="46"/>
      <c r="G18" s="46"/>
      <c r="H18" s="57" t="s">
        <v>67</v>
      </c>
      <c r="I18" s="63"/>
      <c r="J18" s="63"/>
      <c r="K18" s="53">
        <v>1.0</v>
      </c>
      <c r="L18" s="46"/>
      <c r="M18" s="14"/>
      <c r="N18" s="49"/>
      <c r="O18" s="49"/>
      <c r="P18" s="49"/>
      <c r="Q18" s="43"/>
      <c r="R18" s="45"/>
      <c r="S18" s="45"/>
      <c r="T18" s="45"/>
      <c r="U18" s="45"/>
      <c r="V18" s="45"/>
      <c r="W18" s="45"/>
      <c r="X18" s="45"/>
    </row>
    <row r="19">
      <c r="A19" s="14"/>
      <c r="B19" s="31"/>
      <c r="C19" s="31"/>
      <c r="D19" s="31"/>
      <c r="E19" s="31"/>
      <c r="F19" s="31"/>
      <c r="G19" s="64"/>
      <c r="H19" s="40" t="s">
        <v>72</v>
      </c>
      <c r="I19" s="40">
        <v>2.0</v>
      </c>
      <c r="J19" s="65"/>
      <c r="K19" s="65"/>
      <c r="L19" s="65"/>
      <c r="M19" s="14"/>
      <c r="N19" s="49"/>
      <c r="O19" s="49"/>
      <c r="P19" s="49"/>
      <c r="Q19" s="43"/>
      <c r="R19" s="45"/>
      <c r="S19" s="45"/>
      <c r="T19" s="45"/>
      <c r="U19" s="45"/>
      <c r="V19" s="45"/>
      <c r="W19" s="45"/>
      <c r="X19" s="45"/>
    </row>
    <row r="20">
      <c r="A20" s="14"/>
      <c r="B20" s="63"/>
      <c r="C20" s="63"/>
      <c r="D20" s="63"/>
      <c r="E20" s="63"/>
      <c r="F20" s="63"/>
      <c r="G20" s="66"/>
      <c r="H20" s="52" t="s">
        <v>73</v>
      </c>
      <c r="I20" s="67"/>
      <c r="J20" s="67"/>
      <c r="K20" s="67"/>
      <c r="L20" s="67"/>
      <c r="M20" s="14"/>
      <c r="N20" s="49"/>
      <c r="O20" s="49"/>
      <c r="P20" s="49"/>
      <c r="Q20" s="43"/>
      <c r="R20" s="45"/>
      <c r="S20" s="45"/>
      <c r="T20" s="45"/>
      <c r="U20" s="45"/>
      <c r="V20" s="45"/>
      <c r="W20" s="45"/>
      <c r="X20" s="45"/>
    </row>
    <row r="21" ht="28.5" customHeight="1">
      <c r="A21" s="14"/>
      <c r="B21" s="14"/>
      <c r="C21" s="14"/>
      <c r="D21" s="14"/>
      <c r="E21" s="68"/>
      <c r="F21" s="68"/>
      <c r="G21" s="41"/>
      <c r="H21" s="14"/>
      <c r="I21" s="14"/>
      <c r="J21" s="14">
        <f t="shared" ref="J21:K21" si="1">SUM(J5:J20)</f>
        <v>0.75</v>
      </c>
      <c r="K21" s="14">
        <f t="shared" si="1"/>
        <v>4</v>
      </c>
      <c r="L21" s="14"/>
      <c r="M21" s="14"/>
      <c r="N21" s="69"/>
      <c r="O21" s="69"/>
      <c r="P21" s="69"/>
      <c r="Q21" s="43"/>
      <c r="R21" s="43"/>
      <c r="S21" s="43"/>
      <c r="T21" s="43"/>
      <c r="U21" s="43"/>
      <c r="V21" s="43"/>
      <c r="W21" s="43"/>
      <c r="X21" s="43"/>
    </row>
    <row r="22" ht="28.5" customHeight="1">
      <c r="A22" s="14"/>
      <c r="B22" s="14"/>
      <c r="C22" s="14"/>
      <c r="D22" s="14"/>
      <c r="E22" s="68"/>
      <c r="F22" s="68"/>
      <c r="G22" s="41"/>
      <c r="H22" s="14"/>
      <c r="I22" s="14"/>
      <c r="J22" s="14"/>
      <c r="K22" s="14"/>
      <c r="L22" s="14"/>
      <c r="M22" s="14"/>
      <c r="N22" s="69"/>
      <c r="O22" s="69"/>
      <c r="P22" s="69"/>
      <c r="Q22" s="43"/>
      <c r="R22" s="43"/>
      <c r="S22" s="43"/>
      <c r="T22" s="43"/>
      <c r="U22" s="43"/>
      <c r="V22" s="43"/>
      <c r="W22" s="43"/>
      <c r="X22" s="43"/>
    </row>
    <row r="23" ht="29.25" customHeight="1">
      <c r="A23" s="14"/>
      <c r="B23" s="14"/>
      <c r="C23" s="14"/>
      <c r="D23" s="14"/>
      <c r="E23" s="68"/>
      <c r="F23" s="14"/>
      <c r="G23" s="41"/>
      <c r="H23" s="14"/>
      <c r="I23" s="14"/>
      <c r="J23" s="14"/>
      <c r="K23" s="14"/>
      <c r="L23" s="14"/>
      <c r="M23" s="14"/>
      <c r="N23" s="69"/>
      <c r="O23" s="69"/>
      <c r="P23" s="69"/>
      <c r="Q23" s="43"/>
      <c r="R23" s="43"/>
      <c r="S23" s="43"/>
      <c r="T23" s="43"/>
      <c r="U23" s="43"/>
      <c r="V23" s="43"/>
      <c r="W23" s="43"/>
      <c r="X23" s="43"/>
    </row>
    <row r="24" ht="29.25" customHeight="1">
      <c r="A24" s="14"/>
      <c r="B24" s="14"/>
      <c r="C24" s="14"/>
      <c r="D24" s="14"/>
      <c r="E24" s="68"/>
      <c r="F24" s="68"/>
      <c r="G24" s="41"/>
      <c r="H24" s="14"/>
      <c r="I24" s="14"/>
      <c r="J24" s="14"/>
      <c r="K24" s="14"/>
      <c r="L24" s="14"/>
      <c r="M24" s="14"/>
      <c r="N24" s="69"/>
      <c r="O24" s="69"/>
      <c r="P24" s="69"/>
      <c r="Q24" s="43"/>
      <c r="R24" s="43"/>
      <c r="S24" s="43"/>
      <c r="T24" s="43"/>
      <c r="U24" s="43"/>
      <c r="V24" s="43"/>
      <c r="W24" s="43"/>
      <c r="X24" s="43"/>
    </row>
    <row r="25">
      <c r="A25" s="14"/>
      <c r="B25" s="14"/>
      <c r="C25" s="14"/>
      <c r="D25" s="14"/>
      <c r="E25" s="68"/>
      <c r="F25" s="14"/>
      <c r="G25" s="41"/>
      <c r="H25" s="14"/>
      <c r="I25" s="14"/>
      <c r="J25" s="14"/>
      <c r="K25" s="14"/>
      <c r="L25" s="14"/>
      <c r="M25" s="14"/>
      <c r="N25" s="69"/>
      <c r="O25" s="69"/>
      <c r="P25" s="69"/>
      <c r="Q25" s="43"/>
      <c r="R25" s="43"/>
      <c r="S25" s="43"/>
      <c r="T25" s="43"/>
      <c r="U25" s="43"/>
      <c r="V25" s="43"/>
      <c r="W25" s="43"/>
      <c r="X25" s="43"/>
    </row>
    <row r="26">
      <c r="A26" s="14"/>
      <c r="B26" s="14"/>
      <c r="C26" s="14"/>
      <c r="D26" s="14"/>
      <c r="E26" s="14"/>
      <c r="F26" s="14"/>
      <c r="G26" s="41"/>
      <c r="H26" s="14"/>
      <c r="I26" s="14"/>
      <c r="J26" s="14"/>
      <c r="K26" s="14"/>
      <c r="L26" s="14"/>
      <c r="M26" s="14"/>
      <c r="N26" s="69"/>
      <c r="O26" s="69"/>
      <c r="P26" s="69"/>
      <c r="Q26" s="43"/>
      <c r="R26" s="43"/>
      <c r="S26" s="43"/>
      <c r="T26" s="43"/>
      <c r="U26" s="43"/>
      <c r="V26" s="43"/>
      <c r="W26" s="43"/>
      <c r="X26" s="43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69"/>
      <c r="O27" s="69"/>
      <c r="P27" s="69"/>
      <c r="Q27" s="43"/>
      <c r="R27" s="43"/>
      <c r="S27" s="43"/>
      <c r="T27" s="43"/>
      <c r="U27" s="43"/>
      <c r="V27" s="43"/>
      <c r="W27" s="43"/>
      <c r="X27" s="43"/>
    </row>
    <row r="28">
      <c r="A28" s="14"/>
      <c r="B28" s="14"/>
      <c r="C28" s="14"/>
      <c r="D28" s="14"/>
      <c r="E28" s="14"/>
      <c r="F28" s="70"/>
      <c r="G28" s="41"/>
      <c r="H28" s="41"/>
      <c r="I28" s="14"/>
      <c r="J28" s="14"/>
      <c r="K28" s="14"/>
      <c r="L28" s="14"/>
      <c r="M28" s="14"/>
      <c r="N28" s="69"/>
      <c r="O28" s="69"/>
      <c r="P28" s="69"/>
      <c r="Q28" s="43"/>
      <c r="R28" s="43"/>
      <c r="S28" s="43"/>
      <c r="T28" s="43"/>
      <c r="U28" s="43"/>
      <c r="V28" s="43"/>
      <c r="W28" s="43"/>
      <c r="X28" s="43"/>
    </row>
    <row r="29">
      <c r="A29" s="14"/>
      <c r="B29" s="14"/>
      <c r="C29" s="14"/>
      <c r="D29" s="14"/>
      <c r="E29" s="68"/>
      <c r="F29" s="14"/>
      <c r="G29" s="41"/>
      <c r="H29" s="14"/>
      <c r="I29" s="14"/>
      <c r="J29" s="14"/>
      <c r="K29" s="14"/>
      <c r="L29" s="14"/>
      <c r="M29" s="14"/>
      <c r="N29" s="69"/>
      <c r="O29" s="69"/>
      <c r="P29" s="69"/>
      <c r="Q29" s="43"/>
      <c r="R29" s="43"/>
      <c r="S29" s="43"/>
      <c r="T29" s="43"/>
      <c r="U29" s="43"/>
      <c r="V29" s="43"/>
      <c r="W29" s="43"/>
      <c r="X29" s="43"/>
    </row>
    <row r="30">
      <c r="A30" s="14"/>
      <c r="B30" s="14"/>
      <c r="C30" s="14"/>
      <c r="D30" s="14"/>
      <c r="E30" s="14"/>
      <c r="F30" s="14"/>
      <c r="G30" s="41"/>
      <c r="H30" s="14"/>
      <c r="I30" s="14"/>
      <c r="J30" s="14"/>
      <c r="K30" s="14"/>
      <c r="L30" s="14"/>
      <c r="M30" s="14"/>
      <c r="N30" s="69"/>
      <c r="O30" s="69"/>
      <c r="P30" s="69"/>
      <c r="Q30" s="43"/>
      <c r="R30" s="43"/>
      <c r="S30" s="43"/>
      <c r="T30" s="43"/>
      <c r="U30" s="43"/>
      <c r="V30" s="43"/>
      <c r="W30" s="43"/>
      <c r="X30" s="43"/>
    </row>
    <row r="31">
      <c r="A31" s="14"/>
      <c r="B31" s="14"/>
      <c r="C31" s="14"/>
      <c r="D31" s="14"/>
      <c r="E31" s="14"/>
      <c r="F31" s="14"/>
      <c r="G31" s="41"/>
      <c r="H31" s="14"/>
      <c r="I31" s="14"/>
      <c r="J31" s="14"/>
      <c r="K31" s="14"/>
      <c r="L31" s="14"/>
      <c r="M31" s="14"/>
      <c r="N31" s="69"/>
      <c r="O31" s="69"/>
      <c r="P31" s="69"/>
      <c r="Q31" s="43"/>
      <c r="R31" s="43"/>
      <c r="S31" s="43"/>
      <c r="T31" s="43"/>
      <c r="U31" s="43"/>
      <c r="V31" s="43"/>
      <c r="W31" s="43"/>
      <c r="X31" s="43"/>
    </row>
    <row r="32">
      <c r="A32" s="14"/>
      <c r="B32" s="71"/>
      <c r="C32" s="14"/>
      <c r="D32" s="14"/>
      <c r="E32" s="14"/>
      <c r="F32" s="71"/>
      <c r="G32" s="41"/>
      <c r="H32" s="14"/>
      <c r="I32" s="14"/>
      <c r="J32" s="68"/>
      <c r="K32" s="68"/>
      <c r="L32" s="68"/>
      <c r="M32" s="14"/>
      <c r="N32" s="69"/>
      <c r="O32" s="69"/>
      <c r="P32" s="69"/>
      <c r="Q32" s="43"/>
      <c r="R32" s="43"/>
      <c r="S32" s="43"/>
      <c r="T32" s="43"/>
      <c r="U32" s="43"/>
      <c r="V32" s="43"/>
      <c r="W32" s="43"/>
      <c r="X32" s="43"/>
    </row>
    <row r="33">
      <c r="A33" s="71"/>
      <c r="B33" s="71"/>
      <c r="C33" s="71"/>
      <c r="D33" s="71"/>
      <c r="E33" s="71"/>
      <c r="F33" s="71"/>
      <c r="G33" s="72"/>
      <c r="H33" s="71"/>
      <c r="I33" s="71"/>
      <c r="J33" s="71"/>
      <c r="K33" s="71"/>
      <c r="L33" s="71"/>
      <c r="M33" s="71"/>
      <c r="N33" s="69"/>
      <c r="O33" s="69"/>
      <c r="P33" s="69"/>
      <c r="Q33" s="73"/>
      <c r="R33" s="73"/>
      <c r="S33" s="73"/>
      <c r="T33" s="73"/>
      <c r="U33" s="73"/>
      <c r="V33" s="73"/>
      <c r="W33" s="73"/>
      <c r="X33" s="73"/>
    </row>
    <row r="34">
      <c r="A34" s="71"/>
      <c r="B34" s="71"/>
      <c r="C34" s="71"/>
      <c r="D34" s="71"/>
      <c r="E34" s="71"/>
      <c r="F34" s="71"/>
      <c r="G34" s="72"/>
      <c r="H34" s="71"/>
      <c r="I34" s="71"/>
      <c r="J34" s="71"/>
      <c r="K34" s="71"/>
      <c r="L34" s="71"/>
      <c r="M34" s="71"/>
      <c r="N34" s="69"/>
      <c r="O34" s="69"/>
      <c r="P34" s="69"/>
      <c r="Q34" s="73"/>
      <c r="R34" s="73"/>
      <c r="S34" s="73"/>
      <c r="T34" s="73"/>
      <c r="U34" s="73"/>
      <c r="V34" s="73"/>
      <c r="W34" s="73"/>
      <c r="X34" s="73"/>
    </row>
    <row r="35">
      <c r="A35" s="71"/>
      <c r="B35" s="71"/>
      <c r="C35" s="71"/>
      <c r="D35" s="71"/>
      <c r="E35" s="71"/>
      <c r="F35" s="71"/>
      <c r="G35" s="72"/>
      <c r="H35" s="71"/>
      <c r="I35" s="71"/>
      <c r="J35" s="71"/>
      <c r="K35" s="71"/>
      <c r="L35" s="71"/>
      <c r="M35" s="71"/>
      <c r="N35" s="69"/>
      <c r="O35" s="69"/>
      <c r="P35" s="69"/>
      <c r="Q35" s="73"/>
      <c r="R35" s="73"/>
      <c r="S35" s="73"/>
      <c r="T35" s="73"/>
      <c r="U35" s="73"/>
      <c r="V35" s="73"/>
      <c r="W35" s="73"/>
      <c r="X35" s="73"/>
    </row>
    <row r="36">
      <c r="A36" s="71"/>
      <c r="B36" s="71"/>
      <c r="C36" s="71"/>
      <c r="D36" s="71"/>
      <c r="E36" s="71"/>
      <c r="F36" s="71"/>
      <c r="G36" s="72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>
      <c r="A37" s="71"/>
      <c r="B37" s="71"/>
      <c r="C37" s="71"/>
      <c r="D37" s="71"/>
      <c r="E37" s="71"/>
      <c r="F37" s="71"/>
      <c r="G37" s="72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 ht="23.2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ht="23.2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 ht="23.2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 ht="23.2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 ht="23.2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4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</sheetData>
  <mergeCells count="2">
    <mergeCell ref="J3:L3"/>
    <mergeCell ref="R3:U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0"/>
    <col customWidth="1" min="3" max="3" width="12.25"/>
    <col customWidth="1" min="4" max="4" width="14.25"/>
    <col customWidth="1" min="5" max="5" width="39.0"/>
    <col customWidth="1" min="6" max="7" width="14.88"/>
    <col customWidth="1" min="8" max="8" width="12.5"/>
    <col customWidth="1" min="9" max="10" width="10.0"/>
    <col customWidth="1" min="11" max="11" width="1.63"/>
    <col customWidth="1" min="12" max="12" width="11.88"/>
    <col customWidth="1" min="13" max="13" width="6.5"/>
    <col customWidth="1" min="14" max="14" width="7.63"/>
    <col customWidth="1" min="15" max="15" width="1.75"/>
    <col customWidth="1" min="16" max="16" width="23.13"/>
    <col customWidth="1" min="17" max="17" width="3.63"/>
    <col customWidth="1" min="18" max="18" width="12.88"/>
    <col customWidth="1" min="19" max="19" width="13.5"/>
    <col customWidth="1" min="20" max="20" width="26.13"/>
    <col customWidth="1" min="21" max="21" width="27.38"/>
    <col customWidth="1" min="23" max="23" width="19.63"/>
  </cols>
  <sheetData>
    <row r="1">
      <c r="A1" s="74"/>
      <c r="B1" s="74"/>
      <c r="C1" s="74"/>
      <c r="D1" s="74"/>
      <c r="E1" s="74"/>
      <c r="F1" s="75"/>
      <c r="G1" s="75"/>
      <c r="H1" s="74"/>
      <c r="I1" s="74"/>
      <c r="J1" s="74"/>
      <c r="K1" s="75"/>
      <c r="L1" s="75"/>
      <c r="M1" s="75"/>
      <c r="N1" s="75"/>
      <c r="O1" s="74"/>
      <c r="P1" s="74"/>
      <c r="Q1" s="76"/>
      <c r="R1" s="74"/>
      <c r="S1" s="74"/>
      <c r="T1" s="74"/>
      <c r="U1" s="74"/>
      <c r="V1" s="74"/>
      <c r="W1" s="74"/>
    </row>
    <row r="2" ht="15.75" customHeight="1">
      <c r="A2" s="74"/>
      <c r="B2" s="74"/>
      <c r="C2" s="74"/>
      <c r="D2" s="74"/>
      <c r="E2" s="74"/>
      <c r="F2" s="75"/>
      <c r="G2" s="75"/>
      <c r="H2" s="74"/>
      <c r="I2" s="74"/>
      <c r="J2" s="74"/>
      <c r="K2" s="75"/>
      <c r="L2" s="75"/>
      <c r="M2" s="75"/>
      <c r="N2" s="75"/>
      <c r="O2" s="74"/>
      <c r="P2" s="77" t="s">
        <v>74</v>
      </c>
      <c r="Q2" s="76"/>
      <c r="R2" s="74"/>
      <c r="S2" s="74"/>
      <c r="T2" s="74"/>
      <c r="U2" s="74"/>
      <c r="V2" s="74"/>
      <c r="W2" s="74"/>
    </row>
    <row r="3" ht="33.75" customHeight="1">
      <c r="A3" s="74"/>
      <c r="B3" s="78" t="s">
        <v>75</v>
      </c>
      <c r="C3" s="78" t="s">
        <v>76</v>
      </c>
      <c r="D3" s="78" t="s">
        <v>77</v>
      </c>
      <c r="E3" s="79" t="s">
        <v>78</v>
      </c>
      <c r="F3" s="79" t="s">
        <v>29</v>
      </c>
      <c r="G3" s="79"/>
      <c r="H3" s="80" t="s">
        <v>79</v>
      </c>
      <c r="I3" s="78"/>
      <c r="J3" s="78" t="s">
        <v>80</v>
      </c>
      <c r="K3" s="75"/>
      <c r="L3" s="81" t="s">
        <v>31</v>
      </c>
      <c r="M3" s="82"/>
      <c r="N3" s="83"/>
      <c r="O3" s="84"/>
      <c r="P3" s="85" t="s">
        <v>31</v>
      </c>
      <c r="Q3" s="22"/>
      <c r="R3" s="22"/>
      <c r="S3" s="22"/>
      <c r="T3" s="86"/>
      <c r="U3" s="86"/>
      <c r="V3" s="86"/>
      <c r="W3" s="74"/>
    </row>
    <row r="4">
      <c r="A4" s="74"/>
      <c r="B4" s="87" t="s">
        <v>1</v>
      </c>
      <c r="C4" s="87" t="s">
        <v>1</v>
      </c>
      <c r="D4" s="87" t="s">
        <v>1</v>
      </c>
      <c r="E4" s="88"/>
      <c r="F4" s="88"/>
      <c r="G4" s="88"/>
      <c r="H4" s="88"/>
      <c r="I4" s="88"/>
      <c r="J4" s="88"/>
      <c r="K4" s="75"/>
      <c r="L4" s="88"/>
      <c r="M4" s="89"/>
      <c r="N4" s="90"/>
      <c r="O4" s="74"/>
      <c r="P4" s="91"/>
      <c r="Q4" s="92"/>
      <c r="R4" s="92"/>
      <c r="S4" s="92"/>
      <c r="T4" s="92"/>
      <c r="U4" s="92"/>
      <c r="V4" s="92"/>
      <c r="W4" s="74"/>
    </row>
    <row r="5" ht="24.0" customHeight="1">
      <c r="A5" s="74"/>
      <c r="B5" s="93" t="s">
        <v>81</v>
      </c>
      <c r="C5" s="93" t="s">
        <v>82</v>
      </c>
      <c r="D5" s="94" t="s">
        <v>83</v>
      </c>
      <c r="E5" s="61" t="s">
        <v>84</v>
      </c>
      <c r="F5" s="95"/>
      <c r="G5" s="95"/>
      <c r="H5" s="95"/>
      <c r="I5" s="95"/>
      <c r="J5" s="95"/>
      <c r="K5" s="75"/>
      <c r="L5" s="96">
        <f>2750*2</f>
        <v>5500</v>
      </c>
      <c r="M5" s="96">
        <v>0.0</v>
      </c>
      <c r="N5" s="96">
        <f>2750*2</f>
        <v>5500</v>
      </c>
      <c r="O5" s="74"/>
      <c r="P5" s="97"/>
      <c r="Q5" s="98"/>
      <c r="R5" s="98"/>
      <c r="S5" s="98"/>
      <c r="T5" s="98"/>
      <c r="U5" s="98"/>
      <c r="V5" s="98"/>
      <c r="W5" s="74"/>
    </row>
    <row r="6">
      <c r="A6" s="74"/>
      <c r="B6" s="99"/>
      <c r="C6" s="99"/>
      <c r="D6" s="99"/>
      <c r="E6" s="62" t="s">
        <v>85</v>
      </c>
      <c r="F6" s="95"/>
      <c r="G6" s="100" t="s">
        <v>86</v>
      </c>
      <c r="H6" s="100" t="s">
        <v>87</v>
      </c>
      <c r="I6" s="101" t="s">
        <v>88</v>
      </c>
      <c r="J6" s="101" t="s">
        <v>88</v>
      </c>
      <c r="K6" s="74"/>
      <c r="L6" s="99"/>
      <c r="M6" s="99"/>
      <c r="N6" s="99"/>
      <c r="O6" s="102"/>
      <c r="P6" s="74"/>
      <c r="Q6" s="74"/>
      <c r="R6" s="74"/>
      <c r="S6" s="74"/>
      <c r="T6" s="74"/>
      <c r="U6" s="74"/>
      <c r="V6" s="74"/>
      <c r="W6" s="74"/>
    </row>
    <row r="7">
      <c r="A7" s="74"/>
      <c r="B7" s="99"/>
      <c r="C7" s="103" t="s">
        <v>89</v>
      </c>
      <c r="D7" s="103" t="s">
        <v>90</v>
      </c>
      <c r="E7" s="104" t="s">
        <v>91</v>
      </c>
      <c r="F7" s="105"/>
      <c r="G7" s="106"/>
      <c r="H7" s="107"/>
      <c r="I7" s="105"/>
      <c r="J7" s="105"/>
      <c r="K7" s="74"/>
      <c r="L7" s="96">
        <v>230710.0</v>
      </c>
      <c r="M7" s="96">
        <v>0.0</v>
      </c>
      <c r="N7" s="108">
        <f t="shared" ref="N7:N8" si="1">L7-M7</f>
        <v>230710</v>
      </c>
      <c r="O7" s="102"/>
      <c r="P7" s="109" t="s">
        <v>52</v>
      </c>
      <c r="Q7" s="74"/>
      <c r="R7" s="110">
        <v>46099.0</v>
      </c>
      <c r="S7" s="111">
        <v>267160.0</v>
      </c>
      <c r="T7" s="109" t="s">
        <v>92</v>
      </c>
      <c r="U7" s="109" t="s">
        <v>93</v>
      </c>
      <c r="V7" s="74"/>
      <c r="W7" s="74"/>
    </row>
    <row r="8">
      <c r="A8" s="74"/>
      <c r="B8" s="99"/>
      <c r="C8" s="99"/>
      <c r="D8" s="103" t="s">
        <v>90</v>
      </c>
      <c r="E8" s="61" t="s">
        <v>94</v>
      </c>
      <c r="F8" s="95" t="s">
        <v>95</v>
      </c>
      <c r="G8" s="112"/>
      <c r="H8" s="112"/>
      <c r="I8" s="113"/>
      <c r="J8" s="113"/>
      <c r="K8" s="74"/>
      <c r="L8" s="96">
        <v>36450.0</v>
      </c>
      <c r="M8" s="96">
        <v>0.0</v>
      </c>
      <c r="N8" s="108">
        <f t="shared" si="1"/>
        <v>36450</v>
      </c>
      <c r="O8" s="102"/>
      <c r="P8" s="109" t="s">
        <v>52</v>
      </c>
      <c r="Q8" s="99"/>
      <c r="R8" s="110">
        <v>46099.0</v>
      </c>
      <c r="S8" s="114">
        <v>177940.0</v>
      </c>
      <c r="T8" s="109" t="s">
        <v>92</v>
      </c>
      <c r="U8" s="109" t="s">
        <v>93</v>
      </c>
      <c r="V8" s="99"/>
      <c r="W8" s="74"/>
    </row>
    <row r="9">
      <c r="A9" s="74"/>
      <c r="B9" s="103" t="s">
        <v>96</v>
      </c>
      <c r="C9" s="99"/>
      <c r="D9" s="103" t="s">
        <v>90</v>
      </c>
      <c r="E9" s="62" t="s">
        <v>97</v>
      </c>
      <c r="F9" s="95" t="s">
        <v>95</v>
      </c>
      <c r="G9" s="115"/>
      <c r="H9" s="115"/>
      <c r="I9" s="115"/>
      <c r="J9" s="115"/>
      <c r="K9" s="74"/>
      <c r="L9" s="99"/>
      <c r="M9" s="99"/>
      <c r="N9" s="99"/>
      <c r="O9" s="102"/>
      <c r="P9" s="99"/>
      <c r="Q9" s="99"/>
      <c r="R9" s="99"/>
      <c r="S9" s="99"/>
      <c r="T9" s="99"/>
      <c r="U9" s="99"/>
      <c r="V9" s="99"/>
      <c r="W9" s="74"/>
    </row>
    <row r="10">
      <c r="A10" s="74"/>
      <c r="B10" s="103" t="s">
        <v>96</v>
      </c>
      <c r="C10" s="99"/>
      <c r="D10" s="103" t="s">
        <v>90</v>
      </c>
      <c r="E10" s="62" t="s">
        <v>98</v>
      </c>
      <c r="F10" s="95" t="s">
        <v>95</v>
      </c>
      <c r="G10" s="116"/>
      <c r="H10" s="116"/>
      <c r="I10" s="116"/>
      <c r="J10" s="116"/>
      <c r="K10" s="74"/>
      <c r="L10" s="99"/>
      <c r="M10" s="99"/>
      <c r="N10" s="99"/>
      <c r="O10" s="102"/>
      <c r="P10" s="99"/>
      <c r="Q10" s="99"/>
      <c r="R10" s="99"/>
      <c r="S10" s="99"/>
      <c r="T10" s="99"/>
      <c r="U10" s="99"/>
      <c r="V10" s="99"/>
      <c r="W10" s="74"/>
    </row>
    <row r="11">
      <c r="A11" s="74"/>
      <c r="B11" s="103" t="s">
        <v>96</v>
      </c>
      <c r="C11" s="99"/>
      <c r="D11" s="103" t="s">
        <v>90</v>
      </c>
      <c r="E11" s="62" t="s">
        <v>99</v>
      </c>
      <c r="F11" s="95" t="s">
        <v>95</v>
      </c>
      <c r="G11" s="116"/>
      <c r="H11" s="116"/>
      <c r="I11" s="116"/>
      <c r="J11" s="116"/>
      <c r="K11" s="74"/>
      <c r="L11" s="99"/>
      <c r="M11" s="99"/>
      <c r="N11" s="99"/>
      <c r="O11" s="102"/>
      <c r="P11" s="99"/>
      <c r="Q11" s="99"/>
      <c r="R11" s="99"/>
      <c r="S11" s="99"/>
      <c r="T11" s="99"/>
      <c r="U11" s="99"/>
      <c r="V11" s="99"/>
      <c r="W11" s="74"/>
    </row>
    <row r="12">
      <c r="A12" s="74"/>
      <c r="B12" s="99"/>
      <c r="C12" s="99"/>
      <c r="D12" s="99"/>
      <c r="E12" s="117" t="s">
        <v>100</v>
      </c>
      <c r="F12" s="118"/>
      <c r="G12" s="119"/>
      <c r="H12" s="119"/>
      <c r="I12" s="119"/>
      <c r="J12" s="119"/>
      <c r="K12" s="74"/>
      <c r="L12" s="99"/>
      <c r="M12" s="99"/>
      <c r="N12" s="99"/>
      <c r="O12" s="102"/>
      <c r="P12" s="99"/>
      <c r="Q12" s="99"/>
      <c r="R12" s="99"/>
      <c r="S12" s="99"/>
      <c r="T12" s="99"/>
      <c r="U12" s="99"/>
      <c r="V12" s="99"/>
      <c r="W12" s="74"/>
    </row>
    <row r="13">
      <c r="A13" s="74"/>
      <c r="B13" s="103" t="s">
        <v>96</v>
      </c>
      <c r="C13" s="99"/>
      <c r="D13" s="103" t="s">
        <v>90</v>
      </c>
      <c r="E13" s="62" t="s">
        <v>101</v>
      </c>
      <c r="F13" s="95" t="s">
        <v>95</v>
      </c>
      <c r="G13" s="116"/>
      <c r="H13" s="116"/>
      <c r="I13" s="116"/>
      <c r="J13" s="116"/>
      <c r="K13" s="74"/>
      <c r="L13" s="99"/>
      <c r="M13" s="99"/>
      <c r="N13" s="99"/>
      <c r="O13" s="102"/>
      <c r="P13" s="99"/>
      <c r="Q13" s="99"/>
      <c r="R13" s="99"/>
      <c r="S13" s="99"/>
      <c r="T13" s="99"/>
      <c r="U13" s="99"/>
      <c r="V13" s="99"/>
      <c r="W13" s="74"/>
    </row>
    <row r="14">
      <c r="A14" s="74"/>
      <c r="B14" s="103" t="s">
        <v>96</v>
      </c>
      <c r="C14" s="99"/>
      <c r="D14" s="103" t="s">
        <v>90</v>
      </c>
      <c r="E14" s="62" t="s">
        <v>102</v>
      </c>
      <c r="F14" s="95" t="s">
        <v>95</v>
      </c>
      <c r="G14" s="116"/>
      <c r="H14" s="116"/>
      <c r="I14" s="116"/>
      <c r="J14" s="116"/>
      <c r="K14" s="74"/>
      <c r="L14" s="99"/>
      <c r="M14" s="99"/>
      <c r="N14" s="99"/>
      <c r="O14" s="102"/>
      <c r="P14" s="99"/>
      <c r="Q14" s="99"/>
      <c r="R14" s="99"/>
      <c r="S14" s="99"/>
      <c r="T14" s="99"/>
      <c r="U14" s="99"/>
      <c r="V14" s="99"/>
      <c r="W14" s="74"/>
    </row>
    <row r="15">
      <c r="A15" s="74"/>
      <c r="B15" s="103" t="s">
        <v>96</v>
      </c>
      <c r="C15" s="99"/>
      <c r="D15" s="103" t="s">
        <v>90</v>
      </c>
      <c r="E15" s="62" t="s">
        <v>103</v>
      </c>
      <c r="F15" s="95" t="s">
        <v>95</v>
      </c>
      <c r="G15" s="116"/>
      <c r="H15" s="116"/>
      <c r="I15" s="116"/>
      <c r="J15" s="116"/>
      <c r="K15" s="74"/>
      <c r="L15" s="99"/>
      <c r="M15" s="99"/>
      <c r="N15" s="99"/>
      <c r="O15" s="102"/>
      <c r="P15" s="99"/>
      <c r="Q15" s="99"/>
      <c r="R15" s="99"/>
      <c r="S15" s="99"/>
      <c r="T15" s="99"/>
      <c r="U15" s="99"/>
      <c r="V15" s="99"/>
      <c r="W15" s="74"/>
    </row>
    <row r="16">
      <c r="A16" s="74"/>
      <c r="B16" s="103" t="s">
        <v>96</v>
      </c>
      <c r="C16" s="99"/>
      <c r="D16" s="103" t="s">
        <v>90</v>
      </c>
      <c r="E16" s="62" t="s">
        <v>104</v>
      </c>
      <c r="F16" s="95" t="s">
        <v>95</v>
      </c>
      <c r="G16" s="116"/>
      <c r="H16" s="116"/>
      <c r="I16" s="116"/>
      <c r="J16" s="116"/>
      <c r="K16" s="74"/>
      <c r="L16" s="99"/>
      <c r="M16" s="99"/>
      <c r="N16" s="99"/>
      <c r="O16" s="102"/>
      <c r="P16" s="99"/>
      <c r="Q16" s="99"/>
      <c r="R16" s="99"/>
      <c r="S16" s="99"/>
      <c r="T16" s="99"/>
      <c r="U16" s="99"/>
      <c r="V16" s="99"/>
      <c r="W16" s="74"/>
    </row>
    <row r="17">
      <c r="A17" s="74"/>
      <c r="B17" s="99"/>
      <c r="C17" s="99"/>
      <c r="D17" s="99"/>
      <c r="E17" s="117" t="s">
        <v>105</v>
      </c>
      <c r="F17" s="118"/>
      <c r="G17" s="119"/>
      <c r="H17" s="119"/>
      <c r="I17" s="119"/>
      <c r="J17" s="119"/>
      <c r="K17" s="74"/>
      <c r="L17" s="99"/>
      <c r="M17" s="99"/>
      <c r="N17" s="99"/>
      <c r="O17" s="102"/>
      <c r="P17" s="99"/>
      <c r="Q17" s="99"/>
      <c r="R17" s="99"/>
      <c r="S17" s="99"/>
      <c r="T17" s="99"/>
      <c r="U17" s="99"/>
      <c r="V17" s="99"/>
      <c r="W17" s="74"/>
    </row>
    <row r="18">
      <c r="A18" s="74"/>
      <c r="B18" s="103" t="s">
        <v>96</v>
      </c>
      <c r="C18" s="99"/>
      <c r="D18" s="103" t="s">
        <v>90</v>
      </c>
      <c r="E18" s="62" t="s">
        <v>106</v>
      </c>
      <c r="F18" s="95" t="s">
        <v>95</v>
      </c>
      <c r="G18" s="116"/>
      <c r="H18" s="116"/>
      <c r="I18" s="116"/>
      <c r="J18" s="116"/>
      <c r="K18" s="74"/>
      <c r="L18" s="99"/>
      <c r="M18" s="99"/>
      <c r="N18" s="99"/>
      <c r="O18" s="102"/>
      <c r="P18" s="99"/>
      <c r="Q18" s="99"/>
      <c r="R18" s="99"/>
      <c r="S18" s="99"/>
      <c r="T18" s="99"/>
      <c r="U18" s="99"/>
      <c r="V18" s="99"/>
      <c r="W18" s="74"/>
    </row>
    <row r="19">
      <c r="A19" s="74"/>
      <c r="B19" s="103" t="s">
        <v>96</v>
      </c>
      <c r="C19" s="99"/>
      <c r="D19" s="103" t="s">
        <v>90</v>
      </c>
      <c r="E19" s="62" t="s">
        <v>107</v>
      </c>
      <c r="F19" s="95" t="s">
        <v>95</v>
      </c>
      <c r="G19" s="116"/>
      <c r="H19" s="116"/>
      <c r="I19" s="116"/>
      <c r="J19" s="116"/>
      <c r="K19" s="74"/>
      <c r="L19" s="99"/>
      <c r="M19" s="99"/>
      <c r="N19" s="99"/>
      <c r="O19" s="102"/>
      <c r="P19" s="99"/>
      <c r="Q19" s="99"/>
      <c r="R19" s="99"/>
      <c r="S19" s="99"/>
      <c r="T19" s="99"/>
      <c r="U19" s="99"/>
      <c r="V19" s="99"/>
      <c r="W19" s="74"/>
    </row>
    <row r="20">
      <c r="A20" s="74"/>
      <c r="B20" s="99"/>
      <c r="C20" s="99"/>
      <c r="D20" s="99"/>
      <c r="E20" s="117" t="s">
        <v>108</v>
      </c>
      <c r="F20" s="118"/>
      <c r="G20" s="119"/>
      <c r="H20" s="119"/>
      <c r="I20" s="119"/>
      <c r="J20" s="119"/>
      <c r="K20" s="74"/>
      <c r="L20" s="99"/>
      <c r="M20" s="99"/>
      <c r="N20" s="99"/>
      <c r="O20" s="102"/>
      <c r="P20" s="99"/>
      <c r="Q20" s="99"/>
      <c r="R20" s="99"/>
      <c r="S20" s="99"/>
      <c r="T20" s="99"/>
      <c r="U20" s="99"/>
      <c r="V20" s="99"/>
      <c r="W20" s="74"/>
    </row>
    <row r="21">
      <c r="A21" s="74"/>
      <c r="B21" s="103" t="s">
        <v>96</v>
      </c>
      <c r="C21" s="99"/>
      <c r="D21" s="103" t="s">
        <v>90</v>
      </c>
      <c r="E21" s="62" t="s">
        <v>109</v>
      </c>
      <c r="F21" s="95" t="s">
        <v>95</v>
      </c>
      <c r="G21" s="116"/>
      <c r="H21" s="116"/>
      <c r="I21" s="116"/>
      <c r="J21" s="116"/>
      <c r="K21" s="74"/>
      <c r="L21" s="99"/>
      <c r="M21" s="99"/>
      <c r="N21" s="99"/>
      <c r="O21" s="102"/>
      <c r="P21" s="99"/>
      <c r="Q21" s="99"/>
      <c r="R21" s="99"/>
      <c r="S21" s="99"/>
      <c r="T21" s="99"/>
      <c r="U21" s="99"/>
      <c r="V21" s="99"/>
      <c r="W21" s="74"/>
    </row>
    <row r="22">
      <c r="A22" s="74"/>
      <c r="B22" s="103" t="s">
        <v>96</v>
      </c>
      <c r="C22" s="99"/>
      <c r="D22" s="103" t="s">
        <v>90</v>
      </c>
      <c r="E22" s="62" t="s">
        <v>110</v>
      </c>
      <c r="F22" s="95" t="s">
        <v>95</v>
      </c>
      <c r="G22" s="116"/>
      <c r="H22" s="116"/>
      <c r="I22" s="116"/>
      <c r="J22" s="116"/>
      <c r="K22" s="74"/>
      <c r="L22" s="99"/>
      <c r="M22" s="99"/>
      <c r="N22" s="99"/>
      <c r="O22" s="102"/>
      <c r="P22" s="99"/>
      <c r="Q22" s="99"/>
      <c r="R22" s="99"/>
      <c r="S22" s="99"/>
      <c r="T22" s="99"/>
      <c r="U22" s="99"/>
      <c r="V22" s="99"/>
      <c r="W22" s="74"/>
    </row>
    <row r="23">
      <c r="A23" s="74"/>
      <c r="B23" s="99"/>
      <c r="C23" s="99"/>
      <c r="D23" s="99"/>
      <c r="E23" s="117" t="s">
        <v>111</v>
      </c>
      <c r="F23" s="118"/>
      <c r="G23" s="119"/>
      <c r="H23" s="119"/>
      <c r="I23" s="119"/>
      <c r="J23" s="119"/>
      <c r="K23" s="74"/>
      <c r="L23" s="99"/>
      <c r="M23" s="99"/>
      <c r="N23" s="99"/>
      <c r="O23" s="102"/>
      <c r="P23" s="99"/>
      <c r="Q23" s="99"/>
      <c r="R23" s="99"/>
      <c r="S23" s="99"/>
      <c r="T23" s="99"/>
      <c r="U23" s="99"/>
      <c r="V23" s="99"/>
      <c r="W23" s="74"/>
    </row>
    <row r="24">
      <c r="A24" s="74"/>
      <c r="B24" s="103" t="s">
        <v>96</v>
      </c>
      <c r="C24" s="99"/>
      <c r="D24" s="103" t="s">
        <v>90</v>
      </c>
      <c r="E24" s="62" t="s">
        <v>112</v>
      </c>
      <c r="F24" s="95" t="s">
        <v>95</v>
      </c>
      <c r="G24" s="116"/>
      <c r="H24" s="116"/>
      <c r="I24" s="116"/>
      <c r="J24" s="116"/>
      <c r="K24" s="74"/>
      <c r="L24" s="99"/>
      <c r="M24" s="99"/>
      <c r="N24" s="99"/>
      <c r="O24" s="102"/>
      <c r="P24" s="99"/>
      <c r="Q24" s="99"/>
      <c r="R24" s="99"/>
      <c r="S24" s="99"/>
      <c r="T24" s="99"/>
      <c r="U24" s="99"/>
      <c r="V24" s="99"/>
      <c r="W24" s="74"/>
    </row>
    <row r="25">
      <c r="A25" s="74"/>
      <c r="B25" s="103" t="s">
        <v>96</v>
      </c>
      <c r="C25" s="99"/>
      <c r="D25" s="103" t="s">
        <v>90</v>
      </c>
      <c r="E25" s="62" t="s">
        <v>113</v>
      </c>
      <c r="F25" s="95" t="s">
        <v>95</v>
      </c>
      <c r="G25" s="116"/>
      <c r="H25" s="116"/>
      <c r="I25" s="116"/>
      <c r="J25" s="116"/>
      <c r="K25" s="74"/>
      <c r="L25" s="99"/>
      <c r="M25" s="99"/>
      <c r="N25" s="99"/>
      <c r="O25" s="102"/>
      <c r="P25" s="99"/>
      <c r="Q25" s="99"/>
      <c r="R25" s="99"/>
      <c r="S25" s="99"/>
      <c r="T25" s="99"/>
      <c r="U25" s="99"/>
      <c r="V25" s="99"/>
      <c r="W25" s="74"/>
    </row>
    <row r="26">
      <c r="A26" s="74"/>
      <c r="B26" s="103" t="s">
        <v>96</v>
      </c>
      <c r="C26" s="99"/>
      <c r="D26" s="103" t="s">
        <v>90</v>
      </c>
      <c r="E26" s="62" t="s">
        <v>114</v>
      </c>
      <c r="F26" s="95" t="s">
        <v>95</v>
      </c>
      <c r="G26" s="116"/>
      <c r="H26" s="116"/>
      <c r="I26" s="116"/>
      <c r="J26" s="116"/>
      <c r="K26" s="74"/>
      <c r="L26" s="99"/>
      <c r="M26" s="99"/>
      <c r="N26" s="99"/>
      <c r="O26" s="102"/>
      <c r="P26" s="99"/>
      <c r="Q26" s="99"/>
      <c r="R26" s="99"/>
      <c r="S26" s="99"/>
      <c r="T26" s="99"/>
      <c r="U26" s="99"/>
      <c r="V26" s="99"/>
      <c r="W26" s="74"/>
    </row>
    <row r="27">
      <c r="A27" s="74"/>
      <c r="B27" s="103" t="s">
        <v>96</v>
      </c>
      <c r="C27" s="99"/>
      <c r="D27" s="103" t="s">
        <v>90</v>
      </c>
      <c r="E27" s="62" t="s">
        <v>115</v>
      </c>
      <c r="F27" s="95" t="s">
        <v>95</v>
      </c>
      <c r="G27" s="116"/>
      <c r="H27" s="116"/>
      <c r="I27" s="116"/>
      <c r="J27" s="116"/>
      <c r="K27" s="74"/>
      <c r="L27" s="99"/>
      <c r="M27" s="99"/>
      <c r="N27" s="99"/>
      <c r="O27" s="102"/>
      <c r="P27" s="99"/>
      <c r="Q27" s="99"/>
      <c r="R27" s="99"/>
      <c r="S27" s="99"/>
      <c r="T27" s="99"/>
      <c r="U27" s="99"/>
      <c r="V27" s="99"/>
      <c r="W27" s="74"/>
    </row>
    <row r="28">
      <c r="A28" s="74"/>
      <c r="B28" s="99"/>
      <c r="C28" s="99"/>
      <c r="D28" s="99"/>
      <c r="E28" s="117" t="s">
        <v>116</v>
      </c>
      <c r="F28" s="118"/>
      <c r="G28" s="119"/>
      <c r="H28" s="119"/>
      <c r="I28" s="119"/>
      <c r="J28" s="119"/>
      <c r="K28" s="74"/>
      <c r="L28" s="99"/>
      <c r="M28" s="99"/>
      <c r="N28" s="99"/>
      <c r="O28" s="102"/>
      <c r="P28" s="99"/>
      <c r="Q28" s="99"/>
      <c r="R28" s="99"/>
      <c r="S28" s="99"/>
      <c r="T28" s="99"/>
      <c r="U28" s="99"/>
      <c r="V28" s="99"/>
      <c r="W28" s="74"/>
    </row>
    <row r="29">
      <c r="A29" s="74"/>
      <c r="B29" s="103" t="s">
        <v>96</v>
      </c>
      <c r="C29" s="99"/>
      <c r="D29" s="103" t="s">
        <v>90</v>
      </c>
      <c r="E29" s="62" t="s">
        <v>117</v>
      </c>
      <c r="F29" s="95" t="s">
        <v>95</v>
      </c>
      <c r="G29" s="116"/>
      <c r="H29" s="116"/>
      <c r="I29" s="116"/>
      <c r="J29" s="116"/>
      <c r="K29" s="74"/>
      <c r="L29" s="99"/>
      <c r="M29" s="99"/>
      <c r="N29" s="99"/>
      <c r="O29" s="102"/>
      <c r="P29" s="99"/>
      <c r="Q29" s="99"/>
      <c r="R29" s="99"/>
      <c r="S29" s="99"/>
      <c r="T29" s="99"/>
      <c r="U29" s="99"/>
      <c r="V29" s="99"/>
      <c r="W29" s="74"/>
    </row>
    <row r="30">
      <c r="A30" s="74"/>
      <c r="B30" s="103" t="s">
        <v>96</v>
      </c>
      <c r="C30" s="99"/>
      <c r="D30" s="103" t="s">
        <v>90</v>
      </c>
      <c r="E30" s="62" t="s">
        <v>118</v>
      </c>
      <c r="F30" s="95" t="s">
        <v>95</v>
      </c>
      <c r="G30" s="116"/>
      <c r="H30" s="116"/>
      <c r="I30" s="116"/>
      <c r="J30" s="116"/>
      <c r="K30" s="74"/>
      <c r="L30" s="99"/>
      <c r="M30" s="99"/>
      <c r="N30" s="99"/>
      <c r="O30" s="102"/>
      <c r="P30" s="99"/>
      <c r="Q30" s="99"/>
      <c r="R30" s="99"/>
      <c r="S30" s="99"/>
      <c r="T30" s="99"/>
      <c r="U30" s="99"/>
      <c r="V30" s="99"/>
      <c r="W30" s="74"/>
    </row>
    <row r="31">
      <c r="A31" s="74"/>
      <c r="B31" s="99"/>
      <c r="C31" s="99"/>
      <c r="D31" s="99"/>
      <c r="E31" s="120" t="s">
        <v>119</v>
      </c>
      <c r="F31" s="118"/>
      <c r="G31" s="118"/>
      <c r="H31" s="118"/>
      <c r="I31" s="118"/>
      <c r="J31" s="118"/>
      <c r="K31" s="74"/>
      <c r="L31" s="99"/>
      <c r="M31" s="99"/>
      <c r="N31" s="99"/>
      <c r="O31" s="102"/>
      <c r="P31" s="99"/>
      <c r="Q31" s="99"/>
      <c r="R31" s="99"/>
      <c r="S31" s="99"/>
      <c r="T31" s="99"/>
      <c r="U31" s="99"/>
      <c r="V31" s="99"/>
      <c r="W31" s="74"/>
    </row>
    <row r="32">
      <c r="A32" s="74"/>
      <c r="B32" s="103" t="s">
        <v>96</v>
      </c>
      <c r="C32" s="99"/>
      <c r="D32" s="103" t="s">
        <v>90</v>
      </c>
      <c r="E32" s="121" t="s">
        <v>120</v>
      </c>
      <c r="F32" s="122"/>
      <c r="G32" s="100" t="s">
        <v>86</v>
      </c>
      <c r="H32" s="100" t="s">
        <v>87</v>
      </c>
      <c r="I32" s="123" t="s">
        <v>121</v>
      </c>
      <c r="J32" s="124"/>
      <c r="K32" s="74"/>
      <c r="L32" s="99"/>
      <c r="M32" s="99"/>
      <c r="N32" s="99"/>
      <c r="O32" s="102"/>
      <c r="P32" s="99"/>
      <c r="Q32" s="99"/>
      <c r="R32" s="99"/>
      <c r="S32" s="99"/>
      <c r="T32" s="99"/>
      <c r="U32" s="99"/>
      <c r="V32" s="99"/>
      <c r="W32" s="74"/>
    </row>
    <row r="33">
      <c r="A33" s="74"/>
      <c r="B33" s="103" t="s">
        <v>96</v>
      </c>
      <c r="C33" s="99"/>
      <c r="D33" s="103" t="s">
        <v>90</v>
      </c>
      <c r="E33" s="121" t="s">
        <v>122</v>
      </c>
      <c r="F33" s="122"/>
      <c r="G33" s="100" t="s">
        <v>86</v>
      </c>
      <c r="H33" s="100" t="s">
        <v>87</v>
      </c>
      <c r="I33" s="123" t="s">
        <v>121</v>
      </c>
      <c r="J33" s="124"/>
      <c r="K33" s="74"/>
      <c r="L33" s="99"/>
      <c r="M33" s="99"/>
      <c r="N33" s="99"/>
      <c r="O33" s="102"/>
      <c r="P33" s="99"/>
      <c r="Q33" s="99"/>
      <c r="R33" s="99"/>
      <c r="S33" s="99"/>
      <c r="T33" s="99"/>
      <c r="U33" s="99"/>
      <c r="V33" s="99"/>
      <c r="W33" s="74"/>
    </row>
    <row r="34">
      <c r="A34" s="74"/>
      <c r="B34" s="103" t="s">
        <v>96</v>
      </c>
      <c r="C34" s="99"/>
      <c r="D34" s="103" t="s">
        <v>90</v>
      </c>
      <c r="E34" s="121" t="s">
        <v>123</v>
      </c>
      <c r="F34" s="122"/>
      <c r="G34" s="100" t="s">
        <v>86</v>
      </c>
      <c r="H34" s="100" t="s">
        <v>87</v>
      </c>
      <c r="I34" s="125" t="s">
        <v>124</v>
      </c>
      <c r="J34" s="124"/>
      <c r="K34" s="74"/>
      <c r="L34" s="99"/>
      <c r="M34" s="99"/>
      <c r="N34" s="99"/>
      <c r="O34" s="102"/>
      <c r="P34" s="99"/>
      <c r="Q34" s="99"/>
      <c r="R34" s="99"/>
      <c r="S34" s="99"/>
      <c r="T34" s="99"/>
      <c r="U34" s="99"/>
      <c r="V34" s="99"/>
      <c r="W34" s="74"/>
    </row>
    <row r="35">
      <c r="A35" s="74"/>
      <c r="B35" s="103" t="s">
        <v>96</v>
      </c>
      <c r="C35" s="99"/>
      <c r="D35" s="103" t="s">
        <v>90</v>
      </c>
      <c r="E35" s="121" t="s">
        <v>125</v>
      </c>
      <c r="F35" s="122"/>
      <c r="G35" s="100" t="s">
        <v>86</v>
      </c>
      <c r="H35" s="100" t="s">
        <v>87</v>
      </c>
      <c r="I35" s="125" t="s">
        <v>124</v>
      </c>
      <c r="J35" s="124"/>
      <c r="K35" s="74"/>
      <c r="L35" s="99"/>
      <c r="M35" s="99"/>
      <c r="N35" s="99"/>
      <c r="O35" s="102"/>
      <c r="P35" s="99"/>
      <c r="Q35" s="99"/>
      <c r="R35" s="99"/>
      <c r="S35" s="99"/>
      <c r="T35" s="99"/>
      <c r="U35" s="99"/>
      <c r="V35" s="99"/>
      <c r="W35" s="74"/>
    </row>
    <row r="36">
      <c r="A36" s="74"/>
      <c r="B36" s="103" t="s">
        <v>96</v>
      </c>
      <c r="C36" s="99"/>
      <c r="D36" s="103" t="s">
        <v>90</v>
      </c>
      <c r="E36" s="121" t="s">
        <v>126</v>
      </c>
      <c r="F36" s="122"/>
      <c r="G36" s="100" t="s">
        <v>86</v>
      </c>
      <c r="H36" s="100" t="s">
        <v>87</v>
      </c>
      <c r="I36" s="123" t="s">
        <v>121</v>
      </c>
      <c r="J36" s="124"/>
      <c r="K36" s="74"/>
      <c r="L36" s="99"/>
      <c r="M36" s="99"/>
      <c r="N36" s="99"/>
      <c r="O36" s="102"/>
      <c r="P36" s="99"/>
      <c r="Q36" s="99"/>
      <c r="R36" s="99"/>
      <c r="S36" s="99"/>
      <c r="T36" s="99"/>
      <c r="U36" s="99"/>
      <c r="V36" s="99"/>
      <c r="W36" s="74"/>
    </row>
    <row r="37">
      <c r="A37" s="74"/>
      <c r="B37" s="103" t="s">
        <v>96</v>
      </c>
      <c r="C37" s="99"/>
      <c r="D37" s="103" t="s">
        <v>90</v>
      </c>
      <c r="E37" s="121" t="s">
        <v>127</v>
      </c>
      <c r="F37" s="126"/>
      <c r="G37" s="100" t="s">
        <v>86</v>
      </c>
      <c r="H37" s="100" t="s">
        <v>87</v>
      </c>
      <c r="I37" s="125" t="s">
        <v>124</v>
      </c>
      <c r="J37" s="127"/>
      <c r="K37" s="74"/>
      <c r="L37" s="99"/>
      <c r="M37" s="99"/>
      <c r="N37" s="99"/>
      <c r="O37" s="102"/>
      <c r="P37" s="99"/>
      <c r="Q37" s="99"/>
      <c r="R37" s="99"/>
      <c r="S37" s="99"/>
      <c r="T37" s="99"/>
      <c r="U37" s="99"/>
      <c r="V37" s="99"/>
      <c r="W37" s="74"/>
    </row>
    <row r="38">
      <c r="A38" s="74"/>
      <c r="B38" s="103" t="s">
        <v>96</v>
      </c>
      <c r="C38" s="99"/>
      <c r="D38" s="103" t="s">
        <v>90</v>
      </c>
      <c r="E38" s="121" t="s">
        <v>128</v>
      </c>
      <c r="F38" s="126"/>
      <c r="G38" s="100" t="s">
        <v>86</v>
      </c>
      <c r="H38" s="100" t="s">
        <v>87</v>
      </c>
      <c r="I38" s="128" t="s">
        <v>129</v>
      </c>
      <c r="J38" s="129"/>
      <c r="K38" s="74"/>
      <c r="L38" s="99"/>
      <c r="M38" s="99"/>
      <c r="N38" s="99"/>
      <c r="O38" s="102"/>
      <c r="P38" s="99"/>
      <c r="Q38" s="99"/>
      <c r="R38" s="99"/>
      <c r="S38" s="99"/>
      <c r="T38" s="99"/>
      <c r="U38" s="99"/>
      <c r="V38" s="99"/>
      <c r="W38" s="74"/>
    </row>
    <row r="39">
      <c r="A39" s="74"/>
      <c r="B39" s="103" t="s">
        <v>96</v>
      </c>
      <c r="C39" s="99"/>
      <c r="D39" s="103" t="s">
        <v>90</v>
      </c>
      <c r="E39" s="121" t="s">
        <v>130</v>
      </c>
      <c r="F39" s="126"/>
      <c r="G39" s="100" t="s">
        <v>86</v>
      </c>
      <c r="H39" s="100" t="s">
        <v>87</v>
      </c>
      <c r="I39" s="128" t="s">
        <v>129</v>
      </c>
      <c r="J39" s="129"/>
      <c r="K39" s="74"/>
      <c r="L39" s="99"/>
      <c r="M39" s="99"/>
      <c r="N39" s="99"/>
      <c r="O39" s="102"/>
      <c r="P39" s="99"/>
      <c r="Q39" s="99"/>
      <c r="R39" s="99"/>
      <c r="S39" s="99"/>
      <c r="T39" s="99"/>
      <c r="U39" s="99"/>
      <c r="V39" s="99"/>
      <c r="W39" s="74"/>
    </row>
    <row r="40">
      <c r="A40" s="99"/>
      <c r="B40" s="99"/>
      <c r="C40" s="99"/>
      <c r="D40" s="99"/>
      <c r="E40" s="117" t="s">
        <v>131</v>
      </c>
      <c r="F40" s="118" t="s">
        <v>95</v>
      </c>
      <c r="G40" s="119"/>
      <c r="H40" s="119"/>
      <c r="I40" s="130"/>
      <c r="J40" s="119"/>
      <c r="K40" s="74"/>
      <c r="L40" s="99"/>
      <c r="M40" s="99"/>
      <c r="N40" s="99"/>
      <c r="O40" s="102"/>
      <c r="P40" s="99"/>
      <c r="Q40" s="99"/>
      <c r="R40" s="99"/>
      <c r="S40" s="99"/>
      <c r="T40" s="99"/>
      <c r="U40" s="99"/>
      <c r="V40" s="99"/>
      <c r="W40" s="74"/>
    </row>
    <row r="41">
      <c r="A41" s="74"/>
      <c r="B41" s="103" t="s">
        <v>96</v>
      </c>
      <c r="C41" s="99"/>
      <c r="D41" s="103" t="s">
        <v>90</v>
      </c>
      <c r="E41" s="62" t="s">
        <v>132</v>
      </c>
      <c r="F41" s="95" t="s">
        <v>95</v>
      </c>
      <c r="G41" s="116"/>
      <c r="H41" s="116"/>
      <c r="I41" s="116"/>
      <c r="J41" s="116"/>
      <c r="K41" s="74"/>
      <c r="L41" s="99"/>
      <c r="M41" s="99"/>
      <c r="N41" s="99"/>
      <c r="O41" s="102"/>
      <c r="P41" s="99"/>
      <c r="Q41" s="99"/>
      <c r="R41" s="99"/>
      <c r="S41" s="99"/>
      <c r="T41" s="99"/>
      <c r="U41" s="99"/>
      <c r="V41" s="99"/>
      <c r="W41" s="74"/>
    </row>
    <row r="42">
      <c r="A42" s="74"/>
      <c r="B42" s="103" t="s">
        <v>96</v>
      </c>
      <c r="C42" s="99"/>
      <c r="D42" s="103" t="s">
        <v>90</v>
      </c>
      <c r="E42" s="62" t="s">
        <v>133</v>
      </c>
      <c r="F42" s="95" t="s">
        <v>95</v>
      </c>
      <c r="G42" s="116"/>
      <c r="H42" s="116"/>
      <c r="I42" s="116"/>
      <c r="J42" s="116"/>
      <c r="K42" s="74"/>
      <c r="L42" s="99"/>
      <c r="M42" s="99"/>
      <c r="N42" s="99"/>
      <c r="O42" s="102"/>
      <c r="P42" s="99"/>
      <c r="Q42" s="99"/>
      <c r="R42" s="99"/>
      <c r="S42" s="99"/>
      <c r="T42" s="99"/>
      <c r="U42" s="99"/>
      <c r="V42" s="99"/>
      <c r="W42" s="74"/>
    </row>
    <row r="43">
      <c r="A43" s="74"/>
      <c r="B43" s="99"/>
      <c r="C43" s="99"/>
      <c r="D43" s="99"/>
      <c r="E43" s="104" t="s">
        <v>134</v>
      </c>
      <c r="F43" s="131"/>
      <c r="G43" s="131"/>
      <c r="H43" s="131"/>
      <c r="I43" s="131"/>
      <c r="J43" s="131"/>
      <c r="K43" s="74"/>
      <c r="L43" s="99"/>
      <c r="M43" s="99"/>
      <c r="N43" s="99"/>
      <c r="O43" s="74"/>
      <c r="P43" s="109" t="s">
        <v>135</v>
      </c>
      <c r="Q43" s="74"/>
      <c r="R43" s="110">
        <v>46098.0</v>
      </c>
      <c r="S43" s="111">
        <v>521766.0</v>
      </c>
      <c r="T43" s="109" t="s">
        <v>136</v>
      </c>
      <c r="U43" s="109" t="s">
        <v>93</v>
      </c>
      <c r="V43" s="74"/>
      <c r="W43" s="74"/>
    </row>
    <row r="44">
      <c r="A44" s="74"/>
      <c r="B44" s="103" t="s">
        <v>96</v>
      </c>
      <c r="C44" s="103" t="s">
        <v>89</v>
      </c>
      <c r="D44" s="103" t="s">
        <v>50</v>
      </c>
      <c r="E44" s="62" t="s">
        <v>64</v>
      </c>
      <c r="F44" s="132" t="s">
        <v>137</v>
      </c>
      <c r="G44" s="116"/>
      <c r="H44" s="116"/>
      <c r="I44" s="116"/>
      <c r="J44" s="116"/>
      <c r="K44" s="74"/>
      <c r="L44" s="96">
        <v>53096.0</v>
      </c>
      <c r="M44" s="96">
        <f t="shared" ref="M44:M47" si="2">L44*2%</f>
        <v>1061.92</v>
      </c>
      <c r="N44" s="96">
        <f t="shared" ref="N44:N47" si="3">L44-M44</f>
        <v>52034.08</v>
      </c>
      <c r="O44" s="74"/>
      <c r="P44" s="133"/>
      <c r="Q44" s="133"/>
      <c r="R44" s="133"/>
      <c r="S44" s="133"/>
      <c r="T44" s="133"/>
      <c r="U44" s="133"/>
      <c r="V44" s="133"/>
      <c r="W44" s="74"/>
    </row>
    <row r="45">
      <c r="A45" s="74"/>
      <c r="B45" s="103" t="s">
        <v>96</v>
      </c>
      <c r="C45" s="103" t="s">
        <v>89</v>
      </c>
      <c r="D45" s="103" t="s">
        <v>50</v>
      </c>
      <c r="E45" s="61" t="s">
        <v>61</v>
      </c>
      <c r="F45" s="132" t="s">
        <v>137</v>
      </c>
      <c r="G45" s="116"/>
      <c r="H45" s="116"/>
      <c r="I45" s="116"/>
      <c r="J45" s="116"/>
      <c r="K45" s="74"/>
      <c r="L45" s="96">
        <v>132457.0</v>
      </c>
      <c r="M45" s="96">
        <f t="shared" si="2"/>
        <v>2649.14</v>
      </c>
      <c r="N45" s="96">
        <f t="shared" si="3"/>
        <v>129807.86</v>
      </c>
      <c r="O45" s="74"/>
      <c r="P45" s="133"/>
      <c r="Q45" s="133"/>
      <c r="R45" s="133"/>
      <c r="S45" s="133"/>
      <c r="T45" s="133"/>
      <c r="U45" s="133"/>
      <c r="V45" s="133"/>
      <c r="W45" s="74"/>
    </row>
    <row r="46" ht="27.0" customHeight="1">
      <c r="A46" s="74"/>
      <c r="B46" s="103" t="s">
        <v>96</v>
      </c>
      <c r="C46" s="103" t="s">
        <v>89</v>
      </c>
      <c r="D46" s="103" t="s">
        <v>50</v>
      </c>
      <c r="E46" s="62" t="s">
        <v>66</v>
      </c>
      <c r="F46" s="132" t="s">
        <v>137</v>
      </c>
      <c r="G46" s="132"/>
      <c r="H46" s="116"/>
      <c r="I46" s="116"/>
      <c r="J46" s="116"/>
      <c r="K46" s="74"/>
      <c r="L46" s="96">
        <v>48267.0</v>
      </c>
      <c r="M46" s="96">
        <f t="shared" si="2"/>
        <v>965.34</v>
      </c>
      <c r="N46" s="96">
        <f t="shared" si="3"/>
        <v>47301.66</v>
      </c>
      <c r="O46" s="74"/>
      <c r="P46" s="133"/>
      <c r="Q46" s="133"/>
      <c r="R46" s="133"/>
      <c r="S46" s="133"/>
      <c r="T46" s="133"/>
      <c r="U46" s="133"/>
      <c r="V46" s="133"/>
      <c r="W46" s="74"/>
    </row>
    <row r="47" ht="27.0" customHeight="1">
      <c r="A47" s="74"/>
      <c r="B47" s="103" t="s">
        <v>96</v>
      </c>
      <c r="C47" s="103" t="s">
        <v>89</v>
      </c>
      <c r="D47" s="103" t="s">
        <v>50</v>
      </c>
      <c r="E47" s="62" t="s">
        <v>138</v>
      </c>
      <c r="F47" s="132" t="s">
        <v>137</v>
      </c>
      <c r="G47" s="132"/>
      <c r="H47" s="116"/>
      <c r="I47" s="116"/>
      <c r="J47" s="116"/>
      <c r="K47" s="74"/>
      <c r="L47" s="96">
        <v>72255.0</v>
      </c>
      <c r="M47" s="96">
        <f t="shared" si="2"/>
        <v>1445.1</v>
      </c>
      <c r="N47" s="96">
        <f t="shared" si="3"/>
        <v>70809.9</v>
      </c>
      <c r="O47" s="74"/>
      <c r="P47" s="133"/>
      <c r="Q47" s="133"/>
      <c r="R47" s="133"/>
      <c r="S47" s="133"/>
      <c r="T47" s="133"/>
      <c r="U47" s="133"/>
      <c r="V47" s="133"/>
      <c r="W47" s="74"/>
    </row>
    <row r="48" ht="27.0" customHeight="1">
      <c r="A48" s="74"/>
      <c r="B48" s="99"/>
      <c r="C48" s="99"/>
      <c r="D48" s="99"/>
      <c r="E48" s="104" t="s">
        <v>139</v>
      </c>
      <c r="F48" s="131"/>
      <c r="G48" s="131"/>
      <c r="H48" s="131"/>
      <c r="I48" s="131"/>
      <c r="J48" s="131"/>
      <c r="K48" s="102"/>
      <c r="L48" s="99"/>
      <c r="M48" s="99"/>
      <c r="N48" s="99"/>
      <c r="O48" s="74"/>
      <c r="P48" s="133"/>
      <c r="Q48" s="133"/>
      <c r="R48" s="133"/>
      <c r="S48" s="133"/>
      <c r="T48" s="133"/>
      <c r="U48" s="133"/>
      <c r="V48" s="133"/>
      <c r="W48" s="74"/>
    </row>
    <row r="49">
      <c r="A49" s="74"/>
      <c r="B49" s="103" t="s">
        <v>96</v>
      </c>
      <c r="C49" s="103" t="s">
        <v>89</v>
      </c>
      <c r="D49" s="103" t="s">
        <v>50</v>
      </c>
      <c r="E49" s="62" t="s">
        <v>71</v>
      </c>
      <c r="F49" s="132" t="s">
        <v>137</v>
      </c>
      <c r="G49" s="132"/>
      <c r="H49" s="132"/>
      <c r="I49" s="132"/>
      <c r="J49" s="132"/>
      <c r="K49" s="134"/>
      <c r="L49" s="96">
        <v>226339.0</v>
      </c>
      <c r="M49" s="96">
        <f>L49*2%</f>
        <v>4526.78</v>
      </c>
      <c r="N49" s="96">
        <f>L49-M49</f>
        <v>221812.22</v>
      </c>
      <c r="O49" s="74"/>
      <c r="P49" s="133"/>
      <c r="Q49" s="133"/>
      <c r="R49" s="133"/>
      <c r="S49" s="133"/>
      <c r="T49" s="133"/>
      <c r="U49" s="133"/>
      <c r="V49" s="133"/>
      <c r="W49" s="74"/>
    </row>
    <row r="50" ht="15.75" customHeight="1">
      <c r="A50" s="74"/>
      <c r="B50" s="99"/>
      <c r="C50" s="99"/>
      <c r="D50" s="99"/>
      <c r="E50" s="104" t="s">
        <v>140</v>
      </c>
      <c r="F50" s="131"/>
      <c r="G50" s="135"/>
      <c r="H50" s="131"/>
      <c r="I50" s="131"/>
      <c r="J50" s="131"/>
      <c r="K50" s="102"/>
      <c r="L50" s="99"/>
      <c r="M50" s="99"/>
      <c r="N50" s="99"/>
      <c r="O50" s="74"/>
      <c r="P50" s="133"/>
      <c r="Q50" s="133"/>
      <c r="R50" s="133"/>
      <c r="S50" s="133"/>
      <c r="T50" s="133"/>
      <c r="U50" s="133"/>
      <c r="V50" s="133"/>
      <c r="W50" s="74"/>
    </row>
    <row r="51" ht="15.75" customHeight="1">
      <c r="A51" s="74"/>
      <c r="B51" s="99"/>
      <c r="C51" s="99"/>
      <c r="D51" s="99"/>
      <c r="E51" s="62" t="s">
        <v>141</v>
      </c>
      <c r="F51" s="132" t="s">
        <v>142</v>
      </c>
      <c r="G51" s="116"/>
      <c r="H51" s="116"/>
      <c r="I51" s="116"/>
      <c r="J51" s="116"/>
      <c r="K51" s="102"/>
      <c r="L51" s="99"/>
      <c r="M51" s="99"/>
      <c r="N51" s="99"/>
      <c r="O51" s="74"/>
      <c r="P51" s="133"/>
      <c r="Q51" s="133"/>
      <c r="R51" s="133"/>
      <c r="S51" s="133"/>
      <c r="T51" s="133"/>
      <c r="U51" s="133"/>
      <c r="V51" s="133"/>
      <c r="W51" s="74"/>
    </row>
    <row r="52" ht="45.0" customHeight="1">
      <c r="A52" s="74"/>
      <c r="B52" s="99"/>
      <c r="C52" s="103" t="s">
        <v>143</v>
      </c>
      <c r="D52" s="103" t="s">
        <v>50</v>
      </c>
      <c r="E52" s="62" t="s">
        <v>144</v>
      </c>
      <c r="F52" s="132" t="s">
        <v>145</v>
      </c>
      <c r="G52" s="116"/>
      <c r="H52" s="116"/>
      <c r="I52" s="116"/>
      <c r="J52" s="116"/>
      <c r="K52" s="102"/>
      <c r="L52" s="96">
        <v>230400.0</v>
      </c>
      <c r="M52" s="96">
        <v>0.0</v>
      </c>
      <c r="N52" s="96">
        <f t="shared" ref="N52:N54" si="4">L52-M52</f>
        <v>230400</v>
      </c>
      <c r="O52" s="74"/>
      <c r="P52" s="136" t="s">
        <v>145</v>
      </c>
      <c r="Q52" s="137"/>
      <c r="R52" s="138">
        <v>46107.0</v>
      </c>
      <c r="S52" s="139">
        <v>211400.0</v>
      </c>
      <c r="T52" s="109" t="s">
        <v>136</v>
      </c>
      <c r="U52" s="109" t="s">
        <v>93</v>
      </c>
      <c r="V52" s="133"/>
      <c r="W52" s="74"/>
    </row>
    <row r="53" ht="15.75" customHeight="1">
      <c r="A53" s="74"/>
      <c r="B53" s="99"/>
      <c r="C53" s="103" t="s">
        <v>143</v>
      </c>
      <c r="D53" s="103" t="s">
        <v>50</v>
      </c>
      <c r="E53" s="61" t="s">
        <v>146</v>
      </c>
      <c r="F53" s="132" t="s">
        <v>145</v>
      </c>
      <c r="G53" s="116"/>
      <c r="H53" s="116"/>
      <c r="I53" s="116"/>
      <c r="J53" s="116"/>
      <c r="K53" s="102"/>
      <c r="L53" s="96">
        <v>133000.0</v>
      </c>
      <c r="M53" s="96">
        <v>0.0</v>
      </c>
      <c r="N53" s="96">
        <f t="shared" si="4"/>
        <v>133000</v>
      </c>
      <c r="O53" s="74"/>
      <c r="P53" s="133"/>
      <c r="Q53" s="133"/>
      <c r="R53" s="133"/>
      <c r="S53" s="133"/>
      <c r="T53" s="133"/>
      <c r="U53" s="133"/>
      <c r="V53" s="133"/>
      <c r="W53" s="74"/>
    </row>
    <row r="54" ht="15.75" customHeight="1">
      <c r="A54" s="74"/>
      <c r="B54" s="99"/>
      <c r="C54" s="140" t="s">
        <v>147</v>
      </c>
      <c r="D54" s="141" t="s">
        <v>50</v>
      </c>
      <c r="E54" s="61" t="s">
        <v>148</v>
      </c>
      <c r="F54" s="132" t="s">
        <v>145</v>
      </c>
      <c r="G54" s="116"/>
      <c r="H54" s="116"/>
      <c r="I54" s="116"/>
      <c r="J54" s="116"/>
      <c r="K54" s="102"/>
      <c r="L54" s="96">
        <v>48000.0</v>
      </c>
      <c r="M54" s="96">
        <v>0.0</v>
      </c>
      <c r="N54" s="96">
        <f t="shared" si="4"/>
        <v>48000</v>
      </c>
      <c r="O54" s="74"/>
      <c r="P54" s="136" t="s">
        <v>145</v>
      </c>
      <c r="Q54" s="137"/>
      <c r="R54" s="138">
        <v>46099.0</v>
      </c>
      <c r="S54" s="139">
        <v>200000.0</v>
      </c>
      <c r="T54" s="109" t="s">
        <v>136</v>
      </c>
      <c r="U54" s="109" t="s">
        <v>93</v>
      </c>
      <c r="V54" s="133"/>
      <c r="W54" s="74"/>
    </row>
    <row r="55" ht="15.7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102"/>
      <c r="L55" s="102"/>
      <c r="M55" s="102"/>
      <c r="N55" s="102"/>
      <c r="O55" s="74"/>
      <c r="P55" s="74"/>
      <c r="Q55" s="74"/>
      <c r="R55" s="74"/>
      <c r="S55" s="74"/>
      <c r="T55" s="74"/>
      <c r="U55" s="74"/>
      <c r="V55" s="74"/>
      <c r="W55" s="74"/>
    </row>
    <row r="56" ht="15.7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102"/>
      <c r="L56" s="102"/>
      <c r="M56" s="102"/>
      <c r="N56" s="102"/>
      <c r="O56" s="74"/>
      <c r="P56" s="74"/>
      <c r="Q56" s="74"/>
      <c r="R56" s="74"/>
      <c r="S56" s="74"/>
      <c r="T56" s="74"/>
      <c r="U56" s="74"/>
      <c r="V56" s="74"/>
      <c r="W56" s="74"/>
    </row>
    <row r="57" ht="15.7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102"/>
      <c r="L57" s="102"/>
      <c r="M57" s="102"/>
      <c r="N57" s="102"/>
      <c r="O57" s="74"/>
      <c r="P57" s="74"/>
      <c r="Q57" s="74"/>
      <c r="R57" s="74"/>
      <c r="S57" s="74"/>
      <c r="T57" s="74"/>
      <c r="U57" s="74"/>
      <c r="V57" s="74"/>
      <c r="W57" s="74"/>
    </row>
    <row r="58" ht="15.7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102"/>
      <c r="L58" s="102"/>
      <c r="M58" s="102"/>
      <c r="N58" s="102"/>
      <c r="O58" s="74"/>
      <c r="P58" s="74"/>
      <c r="Q58" s="74"/>
      <c r="R58" s="74"/>
      <c r="S58" s="74"/>
      <c r="T58" s="74"/>
      <c r="U58" s="74"/>
      <c r="V58" s="74"/>
      <c r="W58" s="74"/>
    </row>
    <row r="59" ht="15.7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102"/>
      <c r="L59" s="102"/>
      <c r="M59" s="102"/>
      <c r="N59" s="102"/>
      <c r="O59" s="74"/>
      <c r="P59" s="74"/>
      <c r="Q59" s="74"/>
      <c r="R59" s="74"/>
      <c r="S59" s="74"/>
      <c r="T59" s="74"/>
      <c r="U59" s="74"/>
      <c r="V59" s="74"/>
      <c r="W59" s="74"/>
    </row>
    <row r="60" ht="15.7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102"/>
      <c r="L60" s="102"/>
      <c r="M60" s="102"/>
      <c r="N60" s="102"/>
      <c r="O60" s="74"/>
      <c r="P60" s="74"/>
      <c r="Q60" s="74"/>
      <c r="R60" s="74"/>
      <c r="S60" s="74"/>
      <c r="T60" s="74"/>
      <c r="U60" s="74"/>
      <c r="V60" s="74"/>
      <c r="W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102"/>
      <c r="L61" s="102"/>
      <c r="M61" s="102"/>
      <c r="N61" s="102"/>
      <c r="O61" s="74"/>
      <c r="P61" s="74"/>
      <c r="Q61" s="74"/>
      <c r="R61" s="74"/>
      <c r="S61" s="74"/>
      <c r="T61" s="74"/>
      <c r="U61" s="74"/>
      <c r="V61" s="74"/>
      <c r="W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102"/>
      <c r="L62" s="102"/>
      <c r="M62" s="102"/>
      <c r="N62" s="102"/>
      <c r="O62" s="74"/>
      <c r="P62" s="74"/>
      <c r="Q62" s="74"/>
      <c r="R62" s="74"/>
      <c r="S62" s="74"/>
      <c r="T62" s="74"/>
      <c r="U62" s="74"/>
      <c r="V62" s="74"/>
      <c r="W62" s="74"/>
    </row>
  </sheetData>
  <mergeCells count="1">
    <mergeCell ref="P3:S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