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Hoja 18" sheetId="4" r:id="rId7"/>
    <sheet state="visible" name="Confirmación" sheetId="5" r:id="rId8"/>
  </sheets>
  <definedNames/>
  <calcPr/>
  <extLst>
    <ext uri="GoogleSheetsCustomDataVersion2">
      <go:sheetsCustomData xmlns:go="http://customooxmlschemas.google.com/" r:id="rId9" roundtripDataChecksum="0mcyqgG2FI/8xwzGjDJNzzSXjbJ9fr+gDAiL70SyGmw="/>
    </ext>
  </extLst>
</workbook>
</file>

<file path=xl/sharedStrings.xml><?xml version="1.0" encoding="utf-8"?>
<sst xmlns="http://schemas.openxmlformats.org/spreadsheetml/2006/main" count="291" uniqueCount="134">
  <si>
    <t>Nombre</t>
  </si>
  <si>
    <t>Solaica</t>
  </si>
  <si>
    <t>Apellido</t>
  </si>
  <si>
    <t>Rombley</t>
  </si>
  <si>
    <t>Apellido de casada</t>
  </si>
  <si>
    <t>Género:  .</t>
  </si>
  <si>
    <t>Pasaporte</t>
  </si>
  <si>
    <t>NV1CCBF85</t>
  </si>
  <si>
    <t>Fecha de nacimiento</t>
  </si>
  <si>
    <t>27 de Diciembre 1975</t>
  </si>
  <si>
    <t>Edad</t>
  </si>
  <si>
    <t>Estado civil</t>
  </si>
  <si>
    <t>soltera</t>
  </si>
  <si>
    <t>Dirección</t>
  </si>
  <si>
    <t>Druifweg 35</t>
  </si>
  <si>
    <t xml:space="preserve">Nacionalidad  y  domicilio:  </t>
  </si>
  <si>
    <t>Curazao. paises bajos</t>
  </si>
  <si>
    <t>Email:</t>
  </si>
  <si>
    <t>solaica75@gmail.com</t>
  </si>
  <si>
    <t>Teléfono</t>
  </si>
  <si>
    <t xml:space="preserve">Profesión </t>
  </si>
  <si>
    <t>RH</t>
  </si>
  <si>
    <t>o+</t>
  </si>
  <si>
    <t>Seguro</t>
  </si>
  <si>
    <t>medico privado</t>
  </si>
  <si>
    <t>Peso</t>
  </si>
  <si>
    <t>Altura</t>
  </si>
  <si>
    <t>1,60</t>
  </si>
  <si>
    <t>Idioma</t>
  </si>
  <si>
    <t>Papiamento, holandes, ingles y español</t>
  </si>
  <si>
    <t>Salud</t>
  </si>
  <si>
    <t>ITINERARIO:</t>
  </si>
  <si>
    <t>Dia</t>
  </si>
  <si>
    <t>Fecha</t>
  </si>
  <si>
    <t>Hora</t>
  </si>
  <si>
    <t>Actividad</t>
  </si>
  <si>
    <t>ACP horas</t>
  </si>
  <si>
    <t>Traslados</t>
  </si>
  <si>
    <t>MARTES</t>
  </si>
  <si>
    <t>05:45 am</t>
  </si>
  <si>
    <t>La pasajera llega por su cuenta a Cima</t>
  </si>
  <si>
    <t>CIMA</t>
  </si>
  <si>
    <t>CONFIRMADO</t>
  </si>
  <si>
    <t>06:00 am</t>
  </si>
  <si>
    <t>Toma de muestras de sangre laboratorio clínico</t>
  </si>
  <si>
    <t>Citología Cervical</t>
  </si>
  <si>
    <t>06:45 am</t>
  </si>
  <si>
    <t>Ecografía de abdomen total</t>
  </si>
  <si>
    <t>07:00 am</t>
  </si>
  <si>
    <t>Radiografía de tórax</t>
  </si>
  <si>
    <t>Mamografía</t>
  </si>
  <si>
    <t>07:30 am</t>
  </si>
  <si>
    <t>Electrocardiograma</t>
  </si>
  <si>
    <t>MIÉRCOLES</t>
  </si>
  <si>
    <t>LAS VEGAS</t>
  </si>
  <si>
    <t>8:10 am</t>
  </si>
  <si>
    <t>Cita con especialista en Medicina Interna para revisión de resultados</t>
  </si>
  <si>
    <t>Libro diario contable</t>
  </si>
  <si>
    <t>Factura electrónica</t>
  </si>
  <si>
    <t>PAGOS</t>
  </si>
  <si>
    <t>ESTADO DE CUENTA</t>
  </si>
  <si>
    <t>FACTURA</t>
  </si>
  <si>
    <t>Archivo</t>
  </si>
  <si>
    <t xml:space="preserve">Contabilidad </t>
  </si>
  <si>
    <t>Operativo</t>
  </si>
  <si>
    <t>Concepto</t>
  </si>
  <si>
    <t>Proveedor</t>
  </si>
  <si>
    <t>PRECIO VENTA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</si>
  <si>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</si>
  <si>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</si>
  <si>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</si>
  <si>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</si>
  <si>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</si>
  <si>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</si>
  <si>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</si>
  <si>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</si>
  <si>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</si>
  <si>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</si>
  <si>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</si>
  <si>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</si>
  <si>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</si>
  <si>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</si>
  <si>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</si>
  <si>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PAQUETE DE CHEQUEO MÉDICO</t>
  </si>
  <si>
    <t>Archivado</t>
  </si>
  <si>
    <t>El pago lo realizo la pax directamente</t>
  </si>
  <si>
    <t>Confirmado</t>
  </si>
  <si>
    <t>Coprológico</t>
  </si>
  <si>
    <t>Cima</t>
  </si>
  <si>
    <t>FAC A NOMBRE DEL PAX</t>
  </si>
  <si>
    <t>Vitamina D25</t>
  </si>
  <si>
    <t>Vitamina B12</t>
  </si>
  <si>
    <t>Citología cervical</t>
  </si>
  <si>
    <t>Perfil lipidico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</si>
  <si>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</si>
  <si>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</si>
  <si>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</si>
  <si>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</si>
  <si>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</si>
  <si>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</si>
  <si>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</si>
  <si>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</si>
  <si>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Antígeno de la Hepatitis B</t>
  </si>
  <si>
    <t>Antígeno de la Hepatitis C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</si>
  <si>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</si>
  <si>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</si>
  <si>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</si>
  <si>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</si>
  <si>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</si>
  <si>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</si>
  <si>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Ferritina</t>
  </si>
  <si>
    <t>Hierro</t>
  </si>
  <si>
    <t>Glucosa sérica</t>
  </si>
  <si>
    <t>Perfil Tiroideo</t>
  </si>
  <si>
    <t>T4 libre</t>
  </si>
  <si>
    <t>T3 libre</t>
  </si>
  <si>
    <t>TSH</t>
  </si>
  <si>
    <t>Enfermedades de transmisión sexual</t>
  </si>
  <si>
    <t>VDRL</t>
  </si>
  <si>
    <t xml:space="preserve">VIH 1 Y 2, Anticuerpos </t>
  </si>
  <si>
    <t>Imágenes diagnósticas</t>
  </si>
  <si>
    <t>FACTURADO</t>
  </si>
  <si>
    <t>las vegas</t>
  </si>
  <si>
    <t>SE ENVIO EL DINERO A YENNY PARA PAGO EN EFECTIVO</t>
  </si>
  <si>
    <t>JENNY BANCOLOMBIA TRANSFERENCIA A YENNY</t>
  </si>
  <si>
    <t>FACTURADA</t>
  </si>
  <si>
    <t>Cita con especialista en MEDICINA INTERNA</t>
  </si>
  <si>
    <t>Manuel Davila</t>
  </si>
  <si>
    <t>JENNY BANCOLOMBIA</t>
  </si>
  <si>
    <t>TRANSFERENCIA</t>
  </si>
  <si>
    <t>DSM</t>
  </si>
  <si>
    <t xml:space="preserve">2 horas de acompañamiento presencial </t>
  </si>
  <si>
    <t>YENNI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</si>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</sst>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 yyyy"/>
    <numFmt numFmtId="165" formatCode="d mmmm"/>
    <numFmt numFmtId="166" formatCode="dd mmmm"/>
    <numFmt numFmtId="167" formatCode="[$$]#,##0.00"/>
    <numFmt numFmtId="168" formatCode="[$cop]#,##0"/>
    <numFmt numFmtId="169" formatCode="d/MM/yyyy"/>
    <numFmt numFmtId="170" formatCode="&quot;$&quot;#,##0"/>
    <numFmt numFmtId="171" formatCode="&quot;$&quot;#,##0.0"/>
    <numFmt numFmtId="172" formatCode="[$$]#,##0"/>
    <numFmt numFmtId="173" formatCode="dd-mm-yyyy"/>
    <numFmt numFmtId="174" formatCode="&quot;$&quot;#,##0.00"/>
  </numFmts>
  <fonts count="12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9.0"/>
      <color theme="1"/>
      <name val="Lexend"/>
    </font>
    <font>
      <b/>
      <sz val="9.0"/>
      <color rgb="FFFFFFFF"/>
      <name val="Lexend"/>
    </font>
    <font>
      <b/>
      <sz val="9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sz val="9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vertical="center"/>
    </xf>
    <xf borderId="1" fillId="4" fontId="3" numFmtId="0" xfId="0" applyAlignment="1" applyBorder="1" applyFont="1">
      <alignment vertical="center"/>
    </xf>
    <xf borderId="2" fillId="5" fontId="5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vertical="center"/>
    </xf>
    <xf borderId="3" fillId="5" fontId="3" numFmtId="165" xfId="0" applyAlignment="1" applyBorder="1" applyFont="1" applyNumberFormat="1">
      <alignment horizontal="center" readingOrder="0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vertical="center"/>
    </xf>
    <xf borderId="3" fillId="5" fontId="3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6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" fillId="7" fontId="3" numFmtId="0" xfId="0" applyAlignment="1" applyBorder="1" applyFill="1" applyFont="1">
      <alignment readingOrder="0" shrinkToFit="0" vertical="center" wrapText="1"/>
    </xf>
    <xf borderId="3" fillId="7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7" fontId="3" numFmtId="0" xfId="0" applyAlignment="1" applyBorder="1" applyFont="1">
      <alignment shrinkToFit="0" vertical="center" wrapText="1"/>
    </xf>
    <xf borderId="1" fillId="7" fontId="3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vertical="center"/>
    </xf>
    <xf borderId="0" fillId="0" fontId="3" numFmtId="166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6" numFmtId="167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5" fillId="0" fontId="7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5" fillId="4" fontId="6" numFmtId="0" xfId="0" applyAlignment="1" applyBorder="1" applyFont="1">
      <alignment vertical="center"/>
    </xf>
    <xf borderId="1" fillId="4" fontId="8" numFmtId="0" xfId="0" applyAlignment="1" applyBorder="1" applyFont="1">
      <alignment shrinkToFit="0" vertical="center" wrapText="1"/>
    </xf>
    <xf borderId="1" fillId="4" fontId="6" numFmtId="168" xfId="0" applyAlignment="1" applyBorder="1" applyFont="1" applyNumberFormat="1">
      <alignment vertical="center"/>
    </xf>
    <xf borderId="0" fillId="0" fontId="6" numFmtId="168" xfId="0" applyAlignment="1" applyFont="1" applyNumberFormat="1">
      <alignment vertical="center"/>
    </xf>
    <xf borderId="5" fillId="4" fontId="8" numFmtId="168" xfId="0" applyAlignment="1" applyBorder="1" applyFont="1" applyNumberFormat="1">
      <alignment shrinkToFit="0" vertical="center" wrapText="1"/>
    </xf>
    <xf borderId="5" fillId="4" fontId="6" numFmtId="167" xfId="0" applyAlignment="1" applyBorder="1" applyFont="1" applyNumberFormat="1">
      <alignment vertical="center"/>
    </xf>
    <xf borderId="5" fillId="4" fontId="8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9" numFmtId="0" xfId="0" applyBorder="1" applyFont="1"/>
    <xf borderId="3" fillId="4" fontId="6" numFmtId="0" xfId="0" applyAlignment="1" applyBorder="1" applyFont="1">
      <alignment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vertical="center"/>
    </xf>
    <xf borderId="1" fillId="9" fontId="10" numFmtId="168" xfId="0" applyAlignment="1" applyBorder="1" applyFill="1" applyFont="1" applyNumberFormat="1">
      <alignment horizontal="center" shrinkToFit="0" vertical="center" wrapText="1"/>
    </xf>
    <xf borderId="2" fillId="5" fontId="10" numFmtId="168" xfId="0" applyAlignment="1" applyBorder="1" applyFont="1" applyNumberFormat="1">
      <alignment horizontal="center" shrinkToFit="0" vertical="center" wrapText="1"/>
    </xf>
    <xf borderId="3" fillId="5" fontId="10" numFmtId="167" xfId="0" applyAlignment="1" applyBorder="1" applyFont="1" applyNumberFormat="1">
      <alignment horizontal="center" shrinkToFit="0" vertical="center" wrapText="1"/>
    </xf>
    <xf borderId="4" fillId="10" fontId="8" numFmtId="168" xfId="0" applyAlignment="1" applyBorder="1" applyFill="1" applyFont="1" applyNumberFormat="1">
      <alignment horizontal="center" shrinkToFit="0" vertical="center" wrapText="1"/>
    </xf>
    <xf borderId="4" fillId="10" fontId="8" numFmtId="169" xfId="0" applyAlignment="1" applyBorder="1" applyFont="1" applyNumberForma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0" fillId="11" fontId="6" numFmtId="0" xfId="0" applyAlignment="1" applyFill="1" applyFont="1">
      <alignment vertical="center"/>
    </xf>
    <xf borderId="0" fillId="11" fontId="3" numFmtId="0" xfId="0" applyAlignment="1" applyFont="1">
      <alignment shrinkToFit="0" vertical="center" wrapText="1"/>
    </xf>
    <xf borderId="1" fillId="12" fontId="10" numFmtId="0" xfId="0" applyAlignment="1" applyBorder="1" applyFill="1" applyFont="1">
      <alignment shrinkToFit="0" vertical="center" wrapText="1"/>
    </xf>
    <xf borderId="1" fillId="12" fontId="6" numFmtId="0" xfId="0" applyAlignment="1" applyBorder="1" applyFont="1">
      <alignment vertical="center"/>
    </xf>
    <xf borderId="1" fillId="5" fontId="1" numFmtId="170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vertical="center"/>
    </xf>
    <xf borderId="1" fillId="9" fontId="6" numFmtId="168" xfId="0" applyAlignment="1" applyBorder="1" applyFont="1" applyNumberFormat="1">
      <alignment vertical="center"/>
    </xf>
    <xf borderId="2" fillId="5" fontId="6" numFmtId="168" xfId="0" applyAlignment="1" applyBorder="1" applyFont="1" applyNumberFormat="1">
      <alignment vertical="center"/>
    </xf>
    <xf borderId="3" fillId="5" fontId="6" numFmtId="167" xfId="0" applyAlignment="1" applyBorder="1" applyFont="1" applyNumberFormat="1">
      <alignment vertical="center"/>
    </xf>
    <xf borderId="1" fillId="0" fontId="6" numFmtId="168" xfId="0" applyAlignment="1" applyBorder="1" applyFont="1" applyNumberFormat="1">
      <alignment vertical="center"/>
    </xf>
    <xf borderId="1" fillId="0" fontId="6" numFmtId="167" xfId="0" applyAlignment="1" applyBorder="1" applyFont="1" applyNumberFormat="1">
      <alignment vertical="center"/>
    </xf>
    <xf borderId="1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13" fontId="6" numFmtId="0" xfId="0" applyAlignment="1" applyFill="1" applyFont="1">
      <alignment readingOrder="0" vertical="center"/>
    </xf>
    <xf borderId="0" fillId="13" fontId="5" numFmtId="0" xfId="0" applyAlignment="1" applyFont="1">
      <alignment readingOrder="0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6" numFmtId="170" xfId="0" applyAlignment="1" applyBorder="1" applyFont="1" applyNumberFormat="1">
      <alignment vertical="center"/>
    </xf>
    <xf borderId="0" fillId="13" fontId="3" numFmtId="0" xfId="0" applyAlignment="1" applyFont="1">
      <alignment readingOrder="0" shrinkToFit="0" vertical="center" wrapText="1"/>
    </xf>
    <xf borderId="1" fillId="12" fontId="10" numFmtId="0" xfId="0" applyAlignment="1" applyBorder="1" applyFont="1">
      <alignment shrinkToFit="0" vertical="center" wrapText="1"/>
    </xf>
    <xf borderId="1" fillId="12" fontId="6" numFmtId="170" xfId="0" applyAlignment="1" applyBorder="1" applyFont="1" applyNumberFormat="1">
      <alignment vertical="center"/>
    </xf>
    <xf borderId="1" fillId="9" fontId="1" numFmtId="0" xfId="0" applyAlignment="1" applyBorder="1" applyFont="1">
      <alignment shrinkToFit="0" vertical="center" wrapText="1"/>
    </xf>
    <xf borderId="1" fillId="0" fontId="6" numFmtId="168" xfId="0" applyAlignment="1" applyBorder="1" applyFont="1" applyNumberFormat="1">
      <alignment readingOrder="0" vertical="center"/>
    </xf>
    <xf borderId="1" fillId="0" fontId="6" numFmtId="172" xfId="0" applyAlignment="1" applyBorder="1" applyFont="1" applyNumberFormat="1">
      <alignment readingOrder="0" vertical="center"/>
    </xf>
    <xf borderId="1" fillId="0" fontId="6" numFmtId="173" xfId="0" applyAlignment="1" applyBorder="1" applyFont="1" applyNumberFormat="1">
      <alignment readingOrder="0" vertical="center"/>
    </xf>
    <xf borderId="1" fillId="0" fontId="6" numFmtId="0" xfId="0" applyAlignment="1" applyBorder="1" applyFont="1">
      <alignment readingOrder="0" vertical="center"/>
    </xf>
    <xf borderId="1" fillId="14" fontId="1" numFmtId="0" xfId="0" applyAlignment="1" applyBorder="1" applyFill="1" applyFont="1">
      <alignment shrinkToFit="0" vertical="center" wrapText="1"/>
    </xf>
    <xf borderId="1" fillId="9" fontId="6" numFmtId="168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6" numFmtId="170" xfId="0" applyAlignment="1" applyBorder="1" applyFont="1" applyNumberForma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0" fontId="6" numFmtId="170" xfId="0" applyAlignment="1" applyFont="1" applyNumberFormat="1">
      <alignment vertical="center"/>
    </xf>
    <xf borderId="1" fillId="12" fontId="10" numFmtId="170" xfId="0" applyAlignment="1" applyBorder="1" applyFont="1" applyNumberFormat="1">
      <alignment horizontal="center" readingOrder="0" shrinkToFit="0" vertical="center" wrapText="1"/>
    </xf>
    <xf borderId="1" fillId="12" fontId="10" numFmtId="170" xfId="0" applyAlignment="1" applyBorder="1" applyFont="1" applyNumberFormat="1">
      <alignment readingOrder="0" shrinkToFit="0" vertical="center" wrapText="1"/>
    </xf>
    <xf borderId="1" fillId="5" fontId="1" numFmtId="170" xfId="0" applyAlignment="1" applyBorder="1" applyFont="1" applyNumberFormat="1">
      <alignment horizontal="center" readingOrder="0" shrinkToFit="0" vertical="center" wrapText="1"/>
    </xf>
    <xf borderId="1" fillId="0" fontId="6" numFmtId="170" xfId="0" applyAlignment="1" applyBorder="1" applyFont="1" applyNumberFormat="1">
      <alignment readingOrder="0" shrinkToFit="0" vertical="center" wrapText="1"/>
    </xf>
    <xf borderId="0" fillId="0" fontId="11" numFmtId="0" xfId="0" applyAlignment="1" applyFont="1">
      <alignment shrinkToFit="0" wrapText="1"/>
    </xf>
    <xf borderId="0" fillId="0" fontId="6" numFmtId="174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1" fillId="15" fontId="7" numFmtId="0" xfId="0" applyAlignment="1" applyBorder="1" applyFill="1" applyFont="1">
      <alignment horizontal="center" readingOrder="0" vertical="center"/>
    </xf>
    <xf borderId="1" fillId="15" fontId="7" numFmtId="170" xfId="0" applyAlignment="1" applyBorder="1" applyFont="1" applyNumberFormat="1">
      <alignment horizontal="center" readingOrder="0" shrinkToFit="0" vertical="center" wrapText="1"/>
    </xf>
    <xf borderId="1" fillId="15" fontId="7" numFmtId="170" xfId="0" applyAlignment="1" applyBorder="1" applyFont="1" applyNumberFormat="1">
      <alignment horizontal="center" readingOrder="0" shrinkToFit="0" vertical="center" wrapText="1"/>
    </xf>
    <xf borderId="0" fillId="0" fontId="6" numFmtId="170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352425</xdr:colOff>
      <xdr:row>0</xdr:row>
      <xdr:rowOff>190500</xdr:rowOff>
    </xdr:from>
    <xdr:ext cx="3800475" cy="6534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590550</xdr:colOff>
      <xdr:row>0</xdr:row>
      <xdr:rowOff>0</xdr:rowOff>
    </xdr:from>
    <xdr:ext cx="4829175" cy="41243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885825</xdr:colOff>
      <xdr:row>22</xdr:row>
      <xdr:rowOff>38100</xdr:rowOff>
    </xdr:from>
    <xdr:ext cx="4876800" cy="30575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687050" cy="778192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3" max="3" width="3.13"/>
    <col customWidth="1" min="4" max="4" width="24.63"/>
    <col customWidth="1" min="5" max="5" width="23.38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 t="s">
        <v>0</v>
      </c>
      <c r="B17" s="3" t="s">
        <v>1</v>
      </c>
      <c r="C17" s="2"/>
      <c r="D17" s="1" t="s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 t="s">
        <v>0</v>
      </c>
      <c r="B18" s="4"/>
      <c r="C18" s="2"/>
      <c r="D18" s="1" t="s">
        <v>0</v>
      </c>
      <c r="E18" s="3">
        <v>3.164100629E9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 t="s">
        <v>2</v>
      </c>
      <c r="B19" s="3" t="s">
        <v>3</v>
      </c>
      <c r="C19" s="2"/>
      <c r="D19" s="1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 t="s">
        <v>4</v>
      </c>
      <c r="B20" s="1"/>
      <c r="C20" s="2"/>
      <c r="D20" s="1" t="s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 t="s">
        <v>5</v>
      </c>
      <c r="B21" s="1"/>
      <c r="C21" s="2"/>
      <c r="D21" s="1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 t="s">
        <v>6</v>
      </c>
      <c r="B22" s="3" t="s">
        <v>7</v>
      </c>
      <c r="C22" s="2"/>
      <c r="D22" s="1" t="s">
        <v>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 t="s">
        <v>8</v>
      </c>
      <c r="B23" s="3" t="s">
        <v>9</v>
      </c>
      <c r="C23" s="2"/>
      <c r="D23" s="1" t="s">
        <v>8</v>
      </c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 t="s">
        <v>10</v>
      </c>
      <c r="B24" s="3">
        <v>49.0</v>
      </c>
      <c r="C24" s="2"/>
      <c r="D24" s="1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 t="s">
        <v>11</v>
      </c>
      <c r="B25" s="3" t="s">
        <v>12</v>
      </c>
      <c r="C25" s="2"/>
      <c r="D25" s="1" t="s">
        <v>11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 t="s">
        <v>13</v>
      </c>
      <c r="B26" s="3" t="s">
        <v>14</v>
      </c>
      <c r="C26" s="2"/>
      <c r="D26" s="1" t="s">
        <v>13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 t="s">
        <v>15</v>
      </c>
      <c r="B27" s="3" t="s">
        <v>16</v>
      </c>
      <c r="C27" s="2"/>
      <c r="D27" s="1" t="s">
        <v>15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 t="s">
        <v>17</v>
      </c>
      <c r="B28" s="3" t="s">
        <v>18</v>
      </c>
      <c r="C28" s="2"/>
      <c r="D28" s="1" t="s">
        <v>17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 t="s">
        <v>19</v>
      </c>
      <c r="B29" s="1"/>
      <c r="C29" s="2"/>
      <c r="D29" s="1" t="s">
        <v>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 t="s">
        <v>20</v>
      </c>
      <c r="B30" s="1"/>
      <c r="C30" s="2"/>
      <c r="D30" s="1" t="s">
        <v>20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 t="s">
        <v>21</v>
      </c>
      <c r="B31" s="3" t="s">
        <v>22</v>
      </c>
      <c r="C31" s="2"/>
      <c r="D31" s="1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 t="s">
        <v>23</v>
      </c>
      <c r="B32" s="3" t="s">
        <v>24</v>
      </c>
      <c r="C32" s="2"/>
      <c r="D32" s="1" t="s">
        <v>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 t="s">
        <v>25</v>
      </c>
      <c r="B33" s="1"/>
      <c r="C33" s="2"/>
      <c r="D33" s="1" t="s">
        <v>25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 t="s">
        <v>26</v>
      </c>
      <c r="B34" s="3" t="s">
        <v>27</v>
      </c>
      <c r="C34" s="2"/>
      <c r="D34" s="1" t="s">
        <v>26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 t="s">
        <v>28</v>
      </c>
      <c r="B35" s="3" t="s">
        <v>29</v>
      </c>
      <c r="C35" s="2"/>
      <c r="D35" s="1" t="s">
        <v>28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 t="s">
        <v>30</v>
      </c>
      <c r="B37" s="6"/>
      <c r="C37" s="2"/>
      <c r="D37" s="1" t="s">
        <v>30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6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11.13"/>
    <col customWidth="1" min="3" max="3" width="12.13"/>
    <col customWidth="1" min="4" max="4" width="10.13"/>
    <col customWidth="1" min="5" max="5" width="39.13"/>
    <col customWidth="1" min="6" max="6" width="11.38"/>
    <col customWidth="1" min="7" max="7" width="10.38"/>
    <col customWidth="1" min="8" max="8" width="12.25"/>
    <col customWidth="1" min="9" max="10" width="11.0"/>
  </cols>
  <sheetData>
    <row r="1" ht="23.25" customHeight="1">
      <c r="A1" s="7"/>
      <c r="B1" s="7"/>
      <c r="C1" s="7"/>
      <c r="D1" s="7"/>
      <c r="E1" s="7"/>
      <c r="F1" s="7"/>
      <c r="G1" s="7"/>
      <c r="H1" s="8"/>
      <c r="I1" s="9"/>
      <c r="J1" s="9"/>
    </row>
    <row r="2" ht="23.25" customHeight="1">
      <c r="A2" s="7"/>
      <c r="B2" s="7"/>
      <c r="C2" s="7"/>
      <c r="D2" s="7"/>
      <c r="E2" s="7"/>
      <c r="F2" s="7"/>
      <c r="G2" s="7"/>
      <c r="H2" s="8"/>
      <c r="I2" s="9"/>
      <c r="J2" s="9"/>
    </row>
    <row r="3" ht="23.25" customHeight="1">
      <c r="A3" s="7"/>
      <c r="B3" s="10" t="s">
        <v>31</v>
      </c>
      <c r="C3" s="11"/>
      <c r="D3" s="11"/>
      <c r="E3" s="11"/>
      <c r="F3" s="11"/>
      <c r="G3" s="11"/>
      <c r="H3" s="8"/>
      <c r="I3" s="9"/>
      <c r="J3" s="9"/>
    </row>
    <row r="4">
      <c r="A4" s="7"/>
      <c r="B4" s="12" t="s">
        <v>32</v>
      </c>
      <c r="C4" s="13" t="s">
        <v>33</v>
      </c>
      <c r="D4" s="14" t="s">
        <v>34</v>
      </c>
      <c r="E4" s="13" t="s">
        <v>35</v>
      </c>
      <c r="F4" s="15" t="s">
        <v>36</v>
      </c>
      <c r="G4" s="15" t="s">
        <v>37</v>
      </c>
      <c r="H4" s="8"/>
      <c r="I4" s="9"/>
      <c r="J4" s="9"/>
    </row>
    <row r="5">
      <c r="A5" s="7"/>
      <c r="B5" s="16"/>
      <c r="C5" s="17"/>
      <c r="D5" s="17">
        <v>45860.0</v>
      </c>
      <c r="E5" s="18" t="s">
        <v>38</v>
      </c>
      <c r="F5" s="19"/>
      <c r="G5" s="20"/>
      <c r="H5" s="8"/>
      <c r="I5" s="9"/>
      <c r="J5" s="9"/>
    </row>
    <row r="6">
      <c r="A6" s="7"/>
      <c r="B6" s="21"/>
      <c r="C6" s="22"/>
      <c r="D6" s="22" t="s">
        <v>39</v>
      </c>
      <c r="E6" s="22" t="s">
        <v>40</v>
      </c>
      <c r="F6" s="23"/>
      <c r="G6" s="23"/>
      <c r="H6" s="8"/>
      <c r="I6" s="9"/>
      <c r="J6" s="9"/>
    </row>
    <row r="7">
      <c r="A7" s="7"/>
      <c r="B7" s="24" t="s">
        <v>41</v>
      </c>
      <c r="C7" s="25" t="s">
        <v>42</v>
      </c>
      <c r="D7" s="26" t="s">
        <v>43</v>
      </c>
      <c r="E7" s="27" t="s">
        <v>44</v>
      </c>
      <c r="F7" s="23"/>
      <c r="G7" s="23"/>
      <c r="H7" s="8"/>
      <c r="I7" s="9"/>
      <c r="J7" s="9"/>
    </row>
    <row r="8">
      <c r="A8" s="7"/>
      <c r="B8" s="24" t="s">
        <v>41</v>
      </c>
      <c r="C8" s="25" t="s">
        <v>42</v>
      </c>
      <c r="D8" s="26"/>
      <c r="E8" s="28" t="s">
        <v>45</v>
      </c>
      <c r="F8" s="23"/>
      <c r="G8" s="23"/>
      <c r="H8" s="8"/>
      <c r="I8" s="9"/>
      <c r="J8" s="9"/>
    </row>
    <row r="9">
      <c r="A9" s="7"/>
      <c r="B9" s="24" t="s">
        <v>41</v>
      </c>
      <c r="C9" s="25" t="s">
        <v>42</v>
      </c>
      <c r="D9" s="29" t="s">
        <v>46</v>
      </c>
      <c r="E9" s="28" t="s">
        <v>47</v>
      </c>
      <c r="F9" s="30"/>
      <c r="G9" s="30"/>
      <c r="H9" s="8"/>
      <c r="I9" s="9"/>
      <c r="J9" s="9"/>
    </row>
    <row r="10">
      <c r="A10" s="7"/>
      <c r="B10" s="24" t="s">
        <v>41</v>
      </c>
      <c r="C10" s="25" t="s">
        <v>42</v>
      </c>
      <c r="D10" s="29" t="s">
        <v>48</v>
      </c>
      <c r="E10" s="31" t="s">
        <v>49</v>
      </c>
      <c r="F10" s="30"/>
      <c r="G10" s="30"/>
      <c r="H10" s="8"/>
      <c r="I10" s="9"/>
      <c r="J10" s="9"/>
    </row>
    <row r="11">
      <c r="A11" s="7"/>
      <c r="B11" s="24" t="s">
        <v>41</v>
      </c>
      <c r="C11" s="25" t="s">
        <v>42</v>
      </c>
      <c r="D11" s="29"/>
      <c r="E11" s="31" t="s">
        <v>50</v>
      </c>
      <c r="F11" s="30"/>
      <c r="G11" s="30"/>
      <c r="H11" s="8"/>
      <c r="I11" s="9"/>
      <c r="J11" s="9"/>
    </row>
    <row r="12">
      <c r="A12" s="7"/>
      <c r="B12" s="24" t="s">
        <v>41</v>
      </c>
      <c r="C12" s="25" t="s">
        <v>42</v>
      </c>
      <c r="D12" s="29" t="s">
        <v>51</v>
      </c>
      <c r="E12" s="32" t="s">
        <v>52</v>
      </c>
      <c r="F12" s="30"/>
      <c r="G12" s="30"/>
      <c r="H12" s="8"/>
      <c r="I12" s="9"/>
      <c r="J12" s="9"/>
    </row>
    <row r="13">
      <c r="A13" s="7"/>
      <c r="B13" s="33"/>
      <c r="C13" s="17"/>
      <c r="D13" s="17">
        <v>45861.0</v>
      </c>
      <c r="E13" s="18" t="s">
        <v>53</v>
      </c>
      <c r="F13" s="33"/>
      <c r="G13" s="33"/>
      <c r="H13" s="8"/>
      <c r="I13" s="9"/>
      <c r="J13" s="9"/>
    </row>
    <row r="14">
      <c r="A14" s="7"/>
      <c r="B14" s="24" t="s">
        <v>54</v>
      </c>
      <c r="C14" s="25" t="s">
        <v>42</v>
      </c>
      <c r="D14" s="29" t="s">
        <v>55</v>
      </c>
      <c r="E14" s="32" t="s">
        <v>56</v>
      </c>
      <c r="F14" s="30"/>
      <c r="G14" s="30"/>
      <c r="H14" s="8"/>
      <c r="I14" s="9"/>
      <c r="J14" s="9"/>
    </row>
    <row r="15" ht="23.25" customHeight="1">
      <c r="A15" s="7"/>
      <c r="B15" s="7"/>
      <c r="C15" s="34"/>
      <c r="D15" s="7"/>
      <c r="E15" s="7"/>
      <c r="F15" s="7"/>
      <c r="G15" s="7"/>
      <c r="H15" s="7"/>
      <c r="I15" s="9"/>
      <c r="J15" s="9"/>
    </row>
    <row r="16" ht="23.25" customHeight="1">
      <c r="A16" s="7"/>
      <c r="B16" s="7"/>
      <c r="C16" s="34"/>
      <c r="D16" s="7"/>
      <c r="E16" s="7"/>
      <c r="F16" s="7"/>
      <c r="G16" s="7"/>
      <c r="H16" s="7"/>
      <c r="I16" s="9"/>
      <c r="J16" s="9"/>
    </row>
    <row r="17" ht="23.25" customHeight="1">
      <c r="A17" s="7"/>
      <c r="B17" s="7"/>
      <c r="C17" s="34"/>
      <c r="D17" s="7"/>
      <c r="E17" s="7"/>
      <c r="F17" s="7"/>
      <c r="G17" s="7"/>
      <c r="H17" s="7"/>
      <c r="I17" s="9"/>
      <c r="J17" s="9"/>
    </row>
    <row r="18" ht="23.25" customHeight="1">
      <c r="A18" s="7"/>
      <c r="B18" s="7"/>
      <c r="C18" s="34"/>
      <c r="D18" s="7"/>
      <c r="E18" s="7"/>
      <c r="F18" s="7"/>
      <c r="G18" s="7"/>
      <c r="H18" s="7"/>
      <c r="I18" s="9"/>
      <c r="J18" s="9"/>
    </row>
    <row r="19" ht="23.25" customHeight="1">
      <c r="A19" s="7"/>
      <c r="B19" s="7"/>
      <c r="C19" s="34"/>
      <c r="D19" s="7"/>
      <c r="E19" s="7"/>
      <c r="F19" s="7"/>
      <c r="G19" s="7"/>
      <c r="H19" s="7"/>
      <c r="I19" s="9"/>
      <c r="J1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3.0"/>
    <col customWidth="1" min="3" max="3" width="12.38"/>
    <col customWidth="1" min="4" max="4" width="36.88"/>
    <col customWidth="1" min="5" max="5" width="13.63"/>
    <col customWidth="1" min="6" max="6" width="15.25"/>
    <col customWidth="1" min="7" max="7" width="1.38"/>
    <col customWidth="1" min="8" max="8" width="13.63"/>
    <col customWidth="1" min="9" max="9" width="15.38"/>
    <col customWidth="1" min="10" max="10" width="18.0"/>
    <col customWidth="1" min="11" max="11" width="1.75"/>
    <col customWidth="1" min="12" max="12" width="31.13"/>
    <col customWidth="1" min="13" max="13" width="24.5"/>
    <col customWidth="1" min="14" max="14" width="2.13"/>
    <col customWidth="1" min="15" max="15" width="41.38"/>
    <col customWidth="1" min="17" max="17" width="35.63"/>
    <col customWidth="1" min="18" max="18" width="30.13"/>
    <col customWidth="1" min="19" max="19" width="29.0"/>
    <col customWidth="1" min="20" max="20" width="20.88"/>
    <col customWidth="1" min="22" max="24" width="19.63"/>
    <col customWidth="1" min="25" max="26" width="40.0"/>
    <col customWidth="1" min="27" max="27" width="29.0"/>
    <col customWidth="1" min="28" max="28" width="25.88"/>
    <col customWidth="1" min="29" max="29" width="23.25"/>
  </cols>
  <sheetData>
    <row r="1">
      <c r="A1" s="35"/>
      <c r="B1" s="36"/>
      <c r="C1" s="35"/>
      <c r="D1" s="35"/>
      <c r="E1" s="35"/>
      <c r="F1" s="35"/>
      <c r="G1" s="35"/>
      <c r="H1" s="35"/>
      <c r="I1" s="35"/>
      <c r="J1" s="35"/>
      <c r="K1" s="35"/>
      <c r="L1" s="35"/>
      <c r="M1" s="37"/>
      <c r="N1" s="35"/>
      <c r="O1" s="35"/>
      <c r="P1" s="37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ht="15.75" customHeight="1">
      <c r="A2" s="35"/>
      <c r="B2" s="36"/>
      <c r="C2" s="38"/>
      <c r="D2" s="38"/>
      <c r="E2" s="35"/>
      <c r="F2" s="35"/>
      <c r="G2" s="35"/>
      <c r="H2" s="35"/>
      <c r="I2" s="35"/>
      <c r="J2" s="35"/>
      <c r="K2" s="35"/>
      <c r="L2" s="35"/>
      <c r="M2" s="37"/>
      <c r="N2" s="35"/>
      <c r="O2" s="39" t="s">
        <v>57</v>
      </c>
      <c r="P2" s="37"/>
      <c r="Q2" s="35"/>
      <c r="R2" s="35"/>
      <c r="S2" s="35"/>
      <c r="T2" s="35"/>
      <c r="U2" s="35"/>
      <c r="V2" s="35"/>
      <c r="W2" s="39" t="s">
        <v>58</v>
      </c>
      <c r="X2" s="40"/>
      <c r="Y2" s="40"/>
      <c r="Z2" s="40"/>
      <c r="AA2" s="35"/>
      <c r="AB2" s="35"/>
      <c r="AC2" s="40"/>
      <c r="AD2" s="35"/>
      <c r="AE2" s="35"/>
    </row>
    <row r="3">
      <c r="A3" s="35"/>
      <c r="B3" s="36"/>
      <c r="C3" s="41"/>
      <c r="D3" s="41"/>
      <c r="E3" s="41"/>
      <c r="F3" s="42"/>
      <c r="G3" s="35"/>
      <c r="H3" s="43" t="s">
        <v>59</v>
      </c>
      <c r="I3" s="44"/>
      <c r="J3" s="41"/>
      <c r="K3" s="45"/>
      <c r="L3" s="46" t="s">
        <v>60</v>
      </c>
      <c r="M3" s="47"/>
      <c r="N3" s="35"/>
      <c r="O3" s="48" t="s">
        <v>59</v>
      </c>
      <c r="P3" s="49"/>
      <c r="Q3" s="49"/>
      <c r="R3" s="49"/>
      <c r="S3" s="42"/>
      <c r="T3" s="42"/>
      <c r="U3" s="42"/>
      <c r="V3" s="35"/>
      <c r="W3" s="48" t="s">
        <v>61</v>
      </c>
      <c r="X3" s="49"/>
      <c r="Y3" s="50"/>
      <c r="Z3" s="51"/>
      <c r="AA3" s="35"/>
      <c r="AB3" s="35"/>
      <c r="AC3" s="51"/>
      <c r="AD3" s="35"/>
      <c r="AE3" s="35"/>
    </row>
    <row r="4">
      <c r="A4" s="52" t="s">
        <v>62</v>
      </c>
      <c r="B4" s="53" t="s">
        <v>63</v>
      </c>
      <c r="C4" s="54" t="s">
        <v>64</v>
      </c>
      <c r="D4" s="55" t="s">
        <v>65</v>
      </c>
      <c r="E4" s="56" t="s">
        <v>66</v>
      </c>
      <c r="F4" s="56" t="s">
        <v>67</v>
      </c>
      <c r="G4" s="35"/>
      <c r="H4" s="57"/>
      <c r="I4" s="58" t="s">
        <v>68</v>
      </c>
      <c r="J4" s="58" t="s">
        <v>69</v>
      </c>
      <c r="K4" s="35"/>
      <c r="L4" s="59" t="s">
        <v>70</v>
      </c>
      <c r="M4" s="60" t="s">
        <v>71</v>
      </c>
      <c r="N4" s="35"/>
      <c r="O4" s="61" t="s">
        <v>72</v>
      </c>
      <c r="P4" s="62" t="s">
        <v>73</v>
      </c>
      <c r="Q4" s="62" t="s">
        <v>74</v>
      </c>
      <c r="R4" s="62" t="s">
        <v>75</v>
      </c>
      <c r="S4" s="62" t="s">
        <v>76</v>
      </c>
      <c r="T4" s="62" t="s">
        <v>77</v>
      </c>
      <c r="U4" s="62" t="s">
        <v>78</v>
      </c>
      <c r="V4" s="35"/>
      <c r="W4" s="63" t="s">
        <v>79</v>
      </c>
      <c r="X4" s="62" t="s">
        <v>80</v>
      </c>
      <c r="Y4" s="64" t="s">
        <v>81</v>
      </c>
      <c r="Z4" s="64" t="s">
        <v>82</v>
      </c>
      <c r="AA4" s="35"/>
      <c r="AB4" s="35"/>
      <c r="AC4" s="64" t="s">
        <v>82</v>
      </c>
      <c r="AD4" s="35"/>
      <c r="AE4" s="35"/>
    </row>
    <row r="5">
      <c r="A5" s="65"/>
      <c r="B5" s="66"/>
      <c r="C5" s="65"/>
      <c r="D5" s="67" t="s">
        <v>83</v>
      </c>
      <c r="E5" s="68"/>
      <c r="F5" s="69">
        <v>450.0</v>
      </c>
      <c r="G5" s="70"/>
      <c r="H5" s="71"/>
      <c r="I5" s="71"/>
      <c r="J5" s="71"/>
      <c r="K5" s="45"/>
      <c r="L5" s="72"/>
      <c r="M5" s="73"/>
      <c r="N5" s="35"/>
      <c r="O5" s="74"/>
      <c r="P5" s="75"/>
      <c r="Q5" s="76"/>
      <c r="R5" s="76"/>
      <c r="S5" s="76"/>
      <c r="T5" s="76"/>
      <c r="U5" s="76"/>
      <c r="V5" s="35"/>
      <c r="W5" s="76"/>
      <c r="X5" s="77"/>
      <c r="Y5" s="77"/>
      <c r="Z5" s="77"/>
      <c r="AA5" s="35"/>
      <c r="AB5" s="35"/>
      <c r="AC5" s="77"/>
      <c r="AD5" s="35"/>
      <c r="AE5" s="35"/>
    </row>
    <row r="6">
      <c r="A6" s="78" t="s">
        <v>84</v>
      </c>
      <c r="B6" s="79" t="s">
        <v>85</v>
      </c>
      <c r="C6" s="78" t="s">
        <v>86</v>
      </c>
      <c r="D6" s="80" t="s">
        <v>87</v>
      </c>
      <c r="E6" s="81" t="s">
        <v>88</v>
      </c>
      <c r="F6" s="82"/>
      <c r="G6" s="70"/>
      <c r="H6" s="71"/>
      <c r="I6" s="71"/>
      <c r="J6" s="71"/>
      <c r="K6" s="45"/>
      <c r="L6" s="72"/>
      <c r="M6" s="73"/>
      <c r="N6" s="35"/>
      <c r="O6" s="74"/>
      <c r="P6" s="75"/>
      <c r="Q6" s="76"/>
      <c r="R6" s="76"/>
      <c r="S6" s="76"/>
      <c r="T6" s="76"/>
      <c r="U6" s="76"/>
      <c r="V6" s="35"/>
      <c r="W6" s="76"/>
      <c r="X6" s="77"/>
      <c r="Y6" s="77"/>
      <c r="Z6" s="77"/>
      <c r="AA6" s="35"/>
      <c r="AB6" s="35"/>
      <c r="AC6" s="77"/>
      <c r="AD6" s="35"/>
      <c r="AE6" s="35"/>
    </row>
    <row r="7">
      <c r="A7" s="78" t="s">
        <v>84</v>
      </c>
      <c r="B7" s="79" t="s">
        <v>89</v>
      </c>
      <c r="C7" s="78" t="s">
        <v>86</v>
      </c>
      <c r="D7" s="80" t="s">
        <v>90</v>
      </c>
      <c r="E7" s="81" t="s">
        <v>88</v>
      </c>
      <c r="F7" s="82"/>
      <c r="G7" s="70"/>
      <c r="H7" s="71"/>
      <c r="I7" s="71"/>
      <c r="J7" s="71"/>
      <c r="K7" s="45"/>
      <c r="L7" s="72"/>
      <c r="M7" s="73"/>
      <c r="N7" s="35"/>
      <c r="O7" s="74"/>
      <c r="P7" s="75"/>
      <c r="Q7" s="76"/>
      <c r="R7" s="76"/>
      <c r="S7" s="76"/>
      <c r="T7" s="76"/>
      <c r="U7" s="76"/>
      <c r="V7" s="35"/>
      <c r="W7" s="76"/>
      <c r="X7" s="77"/>
      <c r="Y7" s="77"/>
      <c r="Z7" s="77"/>
      <c r="AA7" s="35"/>
      <c r="AB7" s="35"/>
      <c r="AC7" s="77"/>
      <c r="AD7" s="35"/>
      <c r="AE7" s="35"/>
    </row>
    <row r="8">
      <c r="A8" s="78" t="s">
        <v>84</v>
      </c>
      <c r="B8" s="83"/>
      <c r="C8" s="78" t="s">
        <v>86</v>
      </c>
      <c r="D8" s="80" t="s">
        <v>91</v>
      </c>
      <c r="E8" s="81" t="s">
        <v>88</v>
      </c>
      <c r="F8" s="82"/>
      <c r="G8" s="70"/>
      <c r="H8" s="71"/>
      <c r="I8" s="71"/>
      <c r="J8" s="71"/>
      <c r="K8" s="45"/>
      <c r="L8" s="72"/>
      <c r="M8" s="73"/>
      <c r="N8" s="35"/>
      <c r="O8" s="74"/>
      <c r="P8" s="75"/>
      <c r="Q8" s="76"/>
      <c r="R8" s="76"/>
      <c r="S8" s="76"/>
      <c r="T8" s="76"/>
      <c r="U8" s="76"/>
      <c r="V8" s="35"/>
      <c r="W8" s="76"/>
      <c r="X8" s="77"/>
      <c r="Y8" s="77"/>
      <c r="Z8" s="77"/>
      <c r="AA8" s="35"/>
      <c r="AB8" s="35"/>
      <c r="AC8" s="77"/>
      <c r="AD8" s="35"/>
      <c r="AE8" s="35"/>
    </row>
    <row r="9">
      <c r="A9" s="78" t="s">
        <v>84</v>
      </c>
      <c r="B9" s="83"/>
      <c r="C9" s="78" t="s">
        <v>86</v>
      </c>
      <c r="D9" s="81" t="s">
        <v>92</v>
      </c>
      <c r="E9" s="81" t="s">
        <v>88</v>
      </c>
      <c r="F9" s="82"/>
      <c r="G9" s="70"/>
      <c r="H9" s="71"/>
      <c r="I9" s="71"/>
      <c r="J9" s="71"/>
      <c r="K9" s="45"/>
      <c r="L9" s="72"/>
      <c r="M9" s="73"/>
      <c r="N9" s="35"/>
      <c r="O9" s="74"/>
      <c r="P9" s="75"/>
      <c r="Q9" s="76"/>
      <c r="R9" s="76"/>
      <c r="S9" s="76"/>
      <c r="T9" s="76"/>
      <c r="U9" s="76"/>
      <c r="V9" s="35"/>
      <c r="W9" s="76"/>
      <c r="X9" s="77"/>
      <c r="Y9" s="77"/>
      <c r="Z9" s="77"/>
      <c r="AA9" s="35"/>
      <c r="AB9" s="35"/>
      <c r="AC9" s="77"/>
      <c r="AD9" s="35"/>
      <c r="AE9" s="35"/>
    </row>
    <row r="10">
      <c r="A10" s="65"/>
      <c r="B10" s="66"/>
      <c r="C10" s="65"/>
      <c r="D10" s="84" t="s">
        <v>93</v>
      </c>
      <c r="E10" s="68"/>
      <c r="F10" s="85"/>
      <c r="G10" s="70"/>
      <c r="H10" s="71"/>
      <c r="I10" s="71"/>
      <c r="J10" s="71"/>
      <c r="K10" s="45"/>
      <c r="L10" s="72"/>
      <c r="M10" s="73"/>
      <c r="N10" s="35"/>
      <c r="O10" s="74"/>
      <c r="P10" s="75"/>
      <c r="Q10" s="76"/>
      <c r="R10" s="76"/>
      <c r="S10" s="76"/>
      <c r="T10" s="76"/>
      <c r="U10" s="76"/>
      <c r="V10" s="35"/>
      <c r="W10" s="76"/>
      <c r="X10" s="77"/>
      <c r="Y10" s="77"/>
      <c r="Z10" s="77"/>
      <c r="AA10" s="35"/>
      <c r="AB10" s="35"/>
      <c r="AC10" s="77"/>
      <c r="AD10" s="35"/>
      <c r="AE10" s="35"/>
    </row>
    <row r="11">
      <c r="A11" s="78" t="s">
        <v>84</v>
      </c>
      <c r="B11" s="83"/>
      <c r="C11" s="78" t="s">
        <v>86</v>
      </c>
      <c r="D11" s="86" t="s">
        <v>94</v>
      </c>
      <c r="E11" s="81" t="s">
        <v>88</v>
      </c>
      <c r="F11" s="82"/>
      <c r="G11" s="70"/>
      <c r="H11" s="71"/>
      <c r="I11" s="71"/>
      <c r="J11" s="71"/>
      <c r="K11" s="45"/>
      <c r="L11" s="72"/>
      <c r="M11" s="73"/>
      <c r="N11" s="35"/>
      <c r="O11" s="74"/>
      <c r="P11" s="75"/>
      <c r="Q11" s="76"/>
      <c r="R11" s="76"/>
      <c r="S11" s="76"/>
      <c r="T11" s="76"/>
      <c r="U11" s="76"/>
      <c r="V11" s="35"/>
      <c r="W11" s="76"/>
      <c r="X11" s="77"/>
      <c r="Y11" s="77"/>
      <c r="Z11" s="77"/>
      <c r="AA11" s="35"/>
      <c r="AB11" s="35"/>
      <c r="AC11" s="77"/>
      <c r="AD11" s="35"/>
      <c r="AE11" s="35"/>
    </row>
    <row r="12">
      <c r="A12" s="78" t="s">
        <v>84</v>
      </c>
      <c r="B12" s="83"/>
      <c r="C12" s="78" t="s">
        <v>86</v>
      </c>
      <c r="D12" s="86" t="s">
        <v>95</v>
      </c>
      <c r="E12" s="81" t="s">
        <v>88</v>
      </c>
      <c r="F12" s="82"/>
      <c r="G12" s="70"/>
      <c r="H12" s="71"/>
      <c r="I12" s="71"/>
      <c r="J12" s="71"/>
      <c r="K12" s="45"/>
      <c r="L12" s="72"/>
      <c r="M12" s="73"/>
      <c r="N12" s="35"/>
      <c r="O12" s="74"/>
      <c r="P12" s="75"/>
      <c r="Q12" s="76"/>
      <c r="R12" s="76"/>
      <c r="S12" s="76"/>
      <c r="T12" s="76"/>
      <c r="U12" s="76"/>
      <c r="V12" s="35"/>
      <c r="W12" s="76"/>
      <c r="X12" s="77"/>
      <c r="Y12" s="77"/>
      <c r="Z12" s="77"/>
      <c r="AA12" s="35"/>
      <c r="AB12" s="35"/>
      <c r="AC12" s="77"/>
      <c r="AD12" s="35"/>
      <c r="AE12" s="35"/>
    </row>
    <row r="13">
      <c r="A13" s="78" t="s">
        <v>84</v>
      </c>
      <c r="B13" s="83"/>
      <c r="C13" s="78" t="s">
        <v>86</v>
      </c>
      <c r="D13" s="86" t="s">
        <v>96</v>
      </c>
      <c r="E13" s="81" t="s">
        <v>88</v>
      </c>
      <c r="F13" s="82"/>
      <c r="G13" s="70"/>
      <c r="H13" s="71"/>
      <c r="I13" s="71"/>
      <c r="J13" s="71"/>
      <c r="K13" s="45"/>
      <c r="L13" s="72"/>
      <c r="M13" s="73"/>
      <c r="N13" s="35"/>
      <c r="O13" s="74"/>
      <c r="P13" s="75"/>
      <c r="Q13" s="76"/>
      <c r="R13" s="76"/>
      <c r="S13" s="76"/>
      <c r="T13" s="76"/>
      <c r="U13" s="76"/>
      <c r="V13" s="35"/>
      <c r="W13" s="76"/>
      <c r="X13" s="77"/>
      <c r="Y13" s="77"/>
      <c r="Z13" s="77"/>
      <c r="AA13" s="35"/>
      <c r="AB13" s="35"/>
      <c r="AC13" s="77"/>
      <c r="AD13" s="35"/>
      <c r="AE13" s="35"/>
    </row>
    <row r="14">
      <c r="A14" s="78" t="s">
        <v>84</v>
      </c>
      <c r="B14" s="83"/>
      <c r="C14" s="78" t="s">
        <v>86</v>
      </c>
      <c r="D14" s="86" t="s">
        <v>97</v>
      </c>
      <c r="E14" s="81" t="s">
        <v>88</v>
      </c>
      <c r="F14" s="82"/>
      <c r="G14" s="70"/>
      <c r="H14" s="71"/>
      <c r="I14" s="71"/>
      <c r="J14" s="71"/>
      <c r="K14" s="45"/>
      <c r="L14" s="72"/>
      <c r="M14" s="73"/>
      <c r="N14" s="35"/>
      <c r="O14" s="74"/>
      <c r="P14" s="75"/>
      <c r="Q14" s="76"/>
      <c r="R14" s="76"/>
      <c r="S14" s="76"/>
      <c r="T14" s="76"/>
      <c r="U14" s="76"/>
      <c r="V14" s="35"/>
      <c r="W14" s="76"/>
      <c r="X14" s="77"/>
      <c r="Y14" s="77"/>
      <c r="Z14" s="77"/>
      <c r="AA14" s="35"/>
      <c r="AB14" s="35"/>
      <c r="AC14" s="77"/>
      <c r="AD14" s="35"/>
      <c r="AE14" s="35"/>
    </row>
    <row r="15">
      <c r="A15" s="65"/>
      <c r="B15" s="66"/>
      <c r="C15" s="65"/>
      <c r="D15" s="67" t="s">
        <v>98</v>
      </c>
      <c r="E15" s="68"/>
      <c r="F15" s="85"/>
      <c r="G15" s="70"/>
      <c r="H15" s="71"/>
      <c r="I15" s="71"/>
      <c r="J15" s="71"/>
      <c r="K15" s="45"/>
      <c r="L15" s="72"/>
      <c r="M15" s="73"/>
      <c r="N15" s="35"/>
      <c r="O15" s="74"/>
      <c r="P15" s="75"/>
      <c r="Q15" s="76"/>
      <c r="R15" s="76"/>
      <c r="S15" s="76"/>
      <c r="T15" s="76"/>
      <c r="U15" s="76"/>
      <c r="V15" s="35"/>
      <c r="W15" s="76"/>
      <c r="X15" s="77"/>
      <c r="Y15" s="77"/>
      <c r="Z15" s="77"/>
      <c r="AA15" s="35"/>
      <c r="AB15" s="35"/>
      <c r="AC15" s="77"/>
      <c r="AD15" s="35"/>
      <c r="AE15" s="35"/>
    </row>
    <row r="16">
      <c r="A16" s="78" t="s">
        <v>84</v>
      </c>
      <c r="B16" s="83"/>
      <c r="C16" s="78" t="s">
        <v>86</v>
      </c>
      <c r="D16" s="86" t="s">
        <v>99</v>
      </c>
      <c r="E16" s="81" t="s">
        <v>88</v>
      </c>
      <c r="F16" s="82"/>
      <c r="G16" s="70"/>
      <c r="H16" s="71"/>
      <c r="I16" s="71"/>
      <c r="J16" s="71"/>
      <c r="K16" s="45"/>
      <c r="L16" s="72"/>
      <c r="M16" s="73"/>
      <c r="N16" s="35"/>
      <c r="O16" s="74"/>
      <c r="P16" s="75"/>
      <c r="Q16" s="76"/>
      <c r="R16" s="76"/>
      <c r="S16" s="76"/>
      <c r="T16" s="76"/>
      <c r="U16" s="76"/>
      <c r="V16" s="35"/>
      <c r="W16" s="76"/>
      <c r="X16" s="77"/>
      <c r="Y16" s="77"/>
      <c r="Z16" s="77"/>
      <c r="AA16" s="35"/>
      <c r="AB16" s="35"/>
      <c r="AC16" s="77"/>
      <c r="AD16" s="35"/>
      <c r="AE16" s="35"/>
    </row>
    <row r="17">
      <c r="A17" s="78" t="s">
        <v>84</v>
      </c>
      <c r="B17" s="83"/>
      <c r="C17" s="78" t="s">
        <v>86</v>
      </c>
      <c r="D17" s="86" t="s">
        <v>100</v>
      </c>
      <c r="E17" s="81" t="s">
        <v>88</v>
      </c>
      <c r="F17" s="82"/>
      <c r="G17" s="70"/>
      <c r="H17" s="71"/>
      <c r="I17" s="71"/>
      <c r="J17" s="71"/>
      <c r="K17" s="45"/>
      <c r="L17" s="72"/>
      <c r="M17" s="73"/>
      <c r="N17" s="35"/>
      <c r="O17" s="74"/>
      <c r="P17" s="75"/>
      <c r="Q17" s="76"/>
      <c r="R17" s="76"/>
      <c r="S17" s="76"/>
      <c r="T17" s="76"/>
      <c r="U17" s="76"/>
      <c r="V17" s="35"/>
      <c r="W17" s="76"/>
      <c r="X17" s="77"/>
      <c r="Y17" s="77"/>
      <c r="Z17" s="77"/>
      <c r="AA17" s="35"/>
      <c r="AB17" s="35"/>
      <c r="AC17" s="77"/>
      <c r="AD17" s="35"/>
      <c r="AE17" s="35"/>
    </row>
    <row r="18">
      <c r="A18" s="78" t="s">
        <v>84</v>
      </c>
      <c r="B18" s="83"/>
      <c r="C18" s="78" t="s">
        <v>86</v>
      </c>
      <c r="D18" s="86" t="s">
        <v>101</v>
      </c>
      <c r="E18" s="81" t="s">
        <v>88</v>
      </c>
      <c r="F18" s="82"/>
      <c r="G18" s="70"/>
      <c r="H18" s="71"/>
      <c r="I18" s="71"/>
      <c r="J18" s="71"/>
      <c r="K18" s="45"/>
      <c r="L18" s="72"/>
      <c r="M18" s="73"/>
      <c r="N18" s="35"/>
      <c r="O18" s="74"/>
      <c r="P18" s="75"/>
      <c r="Q18" s="76"/>
      <c r="R18" s="76"/>
      <c r="S18" s="76"/>
      <c r="T18" s="76"/>
      <c r="U18" s="76"/>
      <c r="V18" s="35"/>
      <c r="W18" s="76"/>
      <c r="X18" s="77"/>
      <c r="Y18" s="77"/>
      <c r="Z18" s="77"/>
      <c r="AA18" s="35"/>
      <c r="AB18" s="35"/>
      <c r="AC18" s="77"/>
      <c r="AD18" s="35"/>
      <c r="AE18" s="35"/>
    </row>
    <row r="19">
      <c r="A19" s="78" t="s">
        <v>84</v>
      </c>
      <c r="B19" s="83"/>
      <c r="C19" s="78" t="s">
        <v>86</v>
      </c>
      <c r="D19" s="86" t="s">
        <v>102</v>
      </c>
      <c r="E19" s="81" t="s">
        <v>88</v>
      </c>
      <c r="F19" s="85"/>
      <c r="G19" s="70"/>
      <c r="H19" s="71"/>
      <c r="I19" s="71"/>
      <c r="J19" s="71"/>
      <c r="K19" s="45"/>
      <c r="L19" s="72"/>
      <c r="M19" s="73"/>
      <c r="N19" s="35"/>
      <c r="O19" s="74"/>
      <c r="P19" s="75"/>
      <c r="Q19" s="76"/>
      <c r="R19" s="76"/>
      <c r="S19" s="76"/>
      <c r="T19" s="76"/>
      <c r="U19" s="76"/>
      <c r="V19" s="35"/>
      <c r="W19" s="76"/>
      <c r="X19" s="77"/>
      <c r="Y19" s="77"/>
      <c r="Z19" s="77"/>
      <c r="AA19" s="35"/>
      <c r="AB19" s="35"/>
      <c r="AC19" s="77"/>
      <c r="AD19" s="35"/>
      <c r="AE19" s="35"/>
    </row>
    <row r="20">
      <c r="A20" s="78" t="s">
        <v>84</v>
      </c>
      <c r="B20" s="83"/>
      <c r="C20" s="78" t="s">
        <v>86</v>
      </c>
      <c r="D20" s="86" t="s">
        <v>103</v>
      </c>
      <c r="E20" s="81" t="s">
        <v>88</v>
      </c>
      <c r="F20" s="85"/>
      <c r="G20" s="70"/>
      <c r="H20" s="71"/>
      <c r="I20" s="71"/>
      <c r="J20" s="71"/>
      <c r="K20" s="45"/>
      <c r="L20" s="72"/>
      <c r="M20" s="73"/>
      <c r="N20" s="35"/>
      <c r="O20" s="74"/>
      <c r="P20" s="75"/>
      <c r="Q20" s="76"/>
      <c r="R20" s="76"/>
      <c r="S20" s="76"/>
      <c r="T20" s="76"/>
      <c r="U20" s="76"/>
      <c r="V20" s="35"/>
      <c r="W20" s="76"/>
      <c r="X20" s="77"/>
      <c r="Y20" s="77"/>
      <c r="Z20" s="77"/>
      <c r="AA20" s="35"/>
      <c r="AB20" s="35"/>
      <c r="AC20" s="77"/>
      <c r="AD20" s="35"/>
      <c r="AE20" s="35"/>
    </row>
    <row r="21">
      <c r="A21" s="65"/>
      <c r="B21" s="66"/>
      <c r="C21" s="65"/>
      <c r="D21" s="67" t="s">
        <v>104</v>
      </c>
      <c r="E21" s="68"/>
      <c r="F21" s="85"/>
      <c r="G21" s="70"/>
      <c r="H21" s="71"/>
      <c r="I21" s="71"/>
      <c r="J21" s="71"/>
      <c r="K21" s="45"/>
      <c r="L21" s="72"/>
      <c r="M21" s="73"/>
      <c r="N21" s="35"/>
      <c r="O21" s="74"/>
      <c r="P21" s="75"/>
      <c r="Q21" s="76"/>
      <c r="R21" s="76"/>
      <c r="S21" s="76"/>
      <c r="T21" s="76"/>
      <c r="U21" s="76"/>
      <c r="V21" s="35"/>
      <c r="W21" s="76"/>
      <c r="X21" s="77"/>
      <c r="Y21" s="77"/>
      <c r="Z21" s="77"/>
      <c r="AA21" s="35"/>
      <c r="AB21" s="35"/>
      <c r="AC21" s="77"/>
      <c r="AD21" s="35"/>
      <c r="AE21" s="35"/>
    </row>
    <row r="22">
      <c r="A22" s="78" t="s">
        <v>84</v>
      </c>
      <c r="B22" s="83"/>
      <c r="C22" s="78" t="s">
        <v>86</v>
      </c>
      <c r="D22" s="86" t="s">
        <v>105</v>
      </c>
      <c r="E22" s="81" t="s">
        <v>88</v>
      </c>
      <c r="F22" s="82"/>
      <c r="G22" s="70"/>
      <c r="H22" s="71"/>
      <c r="I22" s="71"/>
      <c r="J22" s="71"/>
      <c r="K22" s="45"/>
      <c r="L22" s="72"/>
      <c r="M22" s="73"/>
      <c r="N22" s="35"/>
      <c r="O22" s="74"/>
      <c r="P22" s="75"/>
      <c r="Q22" s="76"/>
      <c r="R22" s="76"/>
      <c r="S22" s="76"/>
      <c r="T22" s="76"/>
      <c r="U22" s="76"/>
      <c r="V22" s="35"/>
      <c r="W22" s="76"/>
      <c r="X22" s="77"/>
      <c r="Y22" s="77"/>
      <c r="Z22" s="77"/>
      <c r="AA22" s="35"/>
      <c r="AB22" s="35"/>
      <c r="AC22" s="77"/>
      <c r="AD22" s="35"/>
      <c r="AE22" s="35"/>
    </row>
    <row r="23">
      <c r="A23" s="78" t="s">
        <v>84</v>
      </c>
      <c r="B23" s="83"/>
      <c r="C23" s="78" t="s">
        <v>86</v>
      </c>
      <c r="D23" s="86" t="s">
        <v>106</v>
      </c>
      <c r="E23" s="81" t="s">
        <v>88</v>
      </c>
      <c r="F23" s="82"/>
      <c r="G23" s="70"/>
      <c r="H23" s="71"/>
      <c r="I23" s="71"/>
      <c r="J23" s="71"/>
      <c r="K23" s="45"/>
      <c r="L23" s="72"/>
      <c r="M23" s="73"/>
      <c r="N23" s="35"/>
      <c r="O23" s="74"/>
      <c r="P23" s="75"/>
      <c r="Q23" s="76"/>
      <c r="R23" s="76"/>
      <c r="S23" s="76"/>
      <c r="T23" s="76"/>
      <c r="U23" s="76"/>
      <c r="V23" s="35"/>
      <c r="W23" s="76"/>
      <c r="X23" s="77"/>
      <c r="Y23" s="77"/>
      <c r="Z23" s="77"/>
      <c r="AA23" s="35"/>
      <c r="AB23" s="35"/>
      <c r="AC23" s="77"/>
      <c r="AD23" s="35"/>
      <c r="AE23" s="35"/>
    </row>
    <row r="24">
      <c r="A24" s="78" t="s">
        <v>84</v>
      </c>
      <c r="B24" s="83"/>
      <c r="C24" s="78" t="s">
        <v>86</v>
      </c>
      <c r="D24" s="86" t="s">
        <v>107</v>
      </c>
      <c r="E24" s="81" t="s">
        <v>88</v>
      </c>
      <c r="F24" s="82"/>
      <c r="G24" s="70"/>
      <c r="H24" s="71"/>
      <c r="I24" s="71"/>
      <c r="J24" s="71"/>
      <c r="K24" s="45"/>
      <c r="L24" s="72"/>
      <c r="M24" s="73"/>
      <c r="N24" s="35"/>
      <c r="O24" s="74"/>
      <c r="P24" s="75"/>
      <c r="Q24" s="76"/>
      <c r="R24" s="76"/>
      <c r="S24" s="76"/>
      <c r="T24" s="76"/>
      <c r="U24" s="76"/>
      <c r="V24" s="35"/>
      <c r="W24" s="76"/>
      <c r="X24" s="77"/>
      <c r="Y24" s="77"/>
      <c r="Z24" s="77"/>
      <c r="AA24" s="35"/>
      <c r="AB24" s="35"/>
      <c r="AC24" s="77"/>
      <c r="AD24" s="35"/>
      <c r="AE24" s="35"/>
    </row>
    <row r="25">
      <c r="A25" s="65"/>
      <c r="B25" s="66"/>
      <c r="C25" s="65"/>
      <c r="D25" s="67" t="s">
        <v>108</v>
      </c>
      <c r="E25" s="68"/>
      <c r="F25" s="85"/>
      <c r="G25" s="70"/>
      <c r="H25" s="71"/>
      <c r="I25" s="71"/>
      <c r="J25" s="71"/>
      <c r="K25" s="45"/>
      <c r="L25" s="72"/>
      <c r="M25" s="73"/>
      <c r="N25" s="35"/>
      <c r="O25" s="74"/>
      <c r="P25" s="75"/>
      <c r="Q25" s="76"/>
      <c r="R25" s="76"/>
      <c r="S25" s="76"/>
      <c r="T25" s="76"/>
      <c r="U25" s="76"/>
      <c r="V25" s="35"/>
      <c r="W25" s="76"/>
      <c r="X25" s="77"/>
      <c r="Y25" s="77"/>
      <c r="Z25" s="77"/>
      <c r="AA25" s="35"/>
      <c r="AB25" s="35"/>
      <c r="AC25" s="77"/>
      <c r="AD25" s="35"/>
      <c r="AE25" s="35"/>
    </row>
    <row r="26">
      <c r="A26" s="78" t="s">
        <v>84</v>
      </c>
      <c r="B26" s="83"/>
      <c r="C26" s="78" t="s">
        <v>86</v>
      </c>
      <c r="D26" s="86" t="s">
        <v>109</v>
      </c>
      <c r="E26" s="81" t="s">
        <v>88</v>
      </c>
      <c r="F26" s="82"/>
      <c r="G26" s="70"/>
      <c r="H26" s="71"/>
      <c r="I26" s="71"/>
      <c r="J26" s="71"/>
      <c r="K26" s="45"/>
      <c r="L26" s="72"/>
      <c r="M26" s="73"/>
      <c r="N26" s="35"/>
      <c r="O26" s="74"/>
      <c r="P26" s="75"/>
      <c r="Q26" s="76"/>
      <c r="R26" s="76"/>
      <c r="S26" s="76"/>
      <c r="T26" s="76"/>
      <c r="U26" s="76"/>
      <c r="V26" s="35"/>
      <c r="W26" s="76"/>
      <c r="X26" s="77"/>
      <c r="Y26" s="77"/>
      <c r="Z26" s="77"/>
      <c r="AA26" s="35"/>
      <c r="AB26" s="35"/>
      <c r="AC26" s="77"/>
      <c r="AD26" s="35"/>
      <c r="AE26" s="35"/>
    </row>
    <row r="27">
      <c r="A27" s="78" t="s">
        <v>84</v>
      </c>
      <c r="B27" s="83"/>
      <c r="C27" s="78" t="s">
        <v>86</v>
      </c>
      <c r="D27" s="86" t="s">
        <v>110</v>
      </c>
      <c r="E27" s="81" t="s">
        <v>88</v>
      </c>
      <c r="F27" s="82"/>
      <c r="G27" s="70"/>
      <c r="H27" s="71"/>
      <c r="I27" s="71"/>
      <c r="J27" s="71"/>
      <c r="K27" s="45"/>
      <c r="L27" s="72"/>
      <c r="M27" s="73"/>
      <c r="N27" s="35"/>
      <c r="O27" s="74"/>
      <c r="P27" s="75"/>
      <c r="Q27" s="76"/>
      <c r="R27" s="76"/>
      <c r="S27" s="76"/>
      <c r="T27" s="76"/>
      <c r="U27" s="76"/>
      <c r="V27" s="35"/>
      <c r="W27" s="76"/>
      <c r="X27" s="77"/>
      <c r="Y27" s="77"/>
      <c r="Z27" s="77"/>
      <c r="AA27" s="35"/>
      <c r="AB27" s="35"/>
      <c r="AC27" s="77"/>
      <c r="AD27" s="35"/>
      <c r="AE27" s="35"/>
    </row>
    <row r="28">
      <c r="A28" s="78" t="s">
        <v>84</v>
      </c>
      <c r="B28" s="83"/>
      <c r="C28" s="78" t="s">
        <v>86</v>
      </c>
      <c r="D28" s="81" t="s">
        <v>111</v>
      </c>
      <c r="E28" s="81" t="s">
        <v>88</v>
      </c>
      <c r="F28" s="82"/>
      <c r="G28" s="70"/>
      <c r="H28" s="71"/>
      <c r="I28" s="71"/>
      <c r="J28" s="71"/>
      <c r="K28" s="45"/>
      <c r="L28" s="72"/>
      <c r="M28" s="73"/>
      <c r="N28" s="35"/>
      <c r="O28" s="74"/>
      <c r="P28" s="75"/>
      <c r="Q28" s="76"/>
      <c r="R28" s="76"/>
      <c r="S28" s="76"/>
      <c r="T28" s="76"/>
      <c r="U28" s="76"/>
      <c r="V28" s="35"/>
      <c r="W28" s="76"/>
      <c r="X28" s="77"/>
      <c r="Y28" s="77"/>
      <c r="Z28" s="77"/>
      <c r="AA28" s="35"/>
      <c r="AB28" s="35"/>
      <c r="AC28" s="77"/>
      <c r="AD28" s="35"/>
      <c r="AE28" s="35"/>
    </row>
    <row r="29">
      <c r="A29" s="78" t="s">
        <v>84</v>
      </c>
      <c r="B29" s="83"/>
      <c r="C29" s="78" t="s">
        <v>86</v>
      </c>
      <c r="D29" s="86" t="s">
        <v>112</v>
      </c>
      <c r="E29" s="81" t="s">
        <v>88</v>
      </c>
      <c r="F29" s="82"/>
      <c r="G29" s="70"/>
      <c r="H29" s="71"/>
      <c r="I29" s="71"/>
      <c r="J29" s="71"/>
      <c r="K29" s="45"/>
      <c r="L29" s="72"/>
      <c r="M29" s="73"/>
      <c r="N29" s="35"/>
      <c r="O29" s="74"/>
      <c r="P29" s="75"/>
      <c r="Q29" s="76"/>
      <c r="R29" s="76"/>
      <c r="S29" s="76"/>
      <c r="T29" s="76"/>
      <c r="U29" s="76"/>
      <c r="V29" s="35"/>
      <c r="W29" s="76"/>
      <c r="X29" s="77"/>
      <c r="Y29" s="77"/>
      <c r="Z29" s="77"/>
      <c r="AA29" s="35"/>
      <c r="AB29" s="35"/>
      <c r="AC29" s="77"/>
      <c r="AD29" s="35"/>
      <c r="AE29" s="35"/>
    </row>
    <row r="30">
      <c r="A30" s="65"/>
      <c r="B30" s="66"/>
      <c r="C30" s="65"/>
      <c r="D30" s="67" t="s">
        <v>113</v>
      </c>
      <c r="E30" s="68"/>
      <c r="F30" s="85"/>
      <c r="G30" s="70"/>
      <c r="H30" s="71"/>
      <c r="I30" s="71"/>
      <c r="J30" s="71"/>
      <c r="K30" s="45"/>
      <c r="L30" s="72"/>
      <c r="M30" s="73"/>
      <c r="N30" s="35"/>
      <c r="O30" s="74"/>
      <c r="P30" s="75"/>
      <c r="Q30" s="76"/>
      <c r="R30" s="76"/>
      <c r="S30" s="76"/>
      <c r="T30" s="76"/>
      <c r="U30" s="76"/>
      <c r="V30" s="35"/>
      <c r="W30" s="76"/>
      <c r="X30" s="77"/>
      <c r="Y30" s="77"/>
      <c r="Z30" s="77"/>
      <c r="AA30" s="35"/>
      <c r="AB30" s="35"/>
      <c r="AC30" s="77"/>
      <c r="AD30" s="35"/>
      <c r="AE30" s="35"/>
    </row>
    <row r="31">
      <c r="A31" s="78" t="s">
        <v>84</v>
      </c>
      <c r="B31" s="83"/>
      <c r="C31" s="78" t="s">
        <v>86</v>
      </c>
      <c r="D31" s="86" t="s">
        <v>114</v>
      </c>
      <c r="E31" s="81" t="s">
        <v>88</v>
      </c>
      <c r="F31" s="82"/>
      <c r="G31" s="70"/>
      <c r="H31" s="71"/>
      <c r="I31" s="71"/>
      <c r="J31" s="71"/>
      <c r="K31" s="45"/>
      <c r="L31" s="72"/>
      <c r="M31" s="73"/>
      <c r="N31" s="35"/>
      <c r="O31" s="74"/>
      <c r="P31" s="75"/>
      <c r="Q31" s="76"/>
      <c r="R31" s="76"/>
      <c r="S31" s="76"/>
      <c r="T31" s="76"/>
      <c r="U31" s="76"/>
      <c r="V31" s="35"/>
      <c r="W31" s="76"/>
      <c r="X31" s="77"/>
      <c r="Y31" s="77"/>
      <c r="Z31" s="77"/>
      <c r="AA31" s="35"/>
      <c r="AB31" s="35"/>
      <c r="AC31" s="77"/>
      <c r="AD31" s="35"/>
      <c r="AE31" s="35"/>
    </row>
    <row r="32">
      <c r="A32" s="78" t="s">
        <v>84</v>
      </c>
      <c r="B32" s="83"/>
      <c r="C32" s="78" t="s">
        <v>86</v>
      </c>
      <c r="D32" s="81" t="s">
        <v>115</v>
      </c>
      <c r="E32" s="81" t="s">
        <v>88</v>
      </c>
      <c r="F32" s="82"/>
      <c r="G32" s="70"/>
      <c r="H32" s="71"/>
      <c r="I32" s="71"/>
      <c r="J32" s="71"/>
      <c r="K32" s="45"/>
      <c r="L32" s="72"/>
      <c r="M32" s="73"/>
      <c r="N32" s="35"/>
      <c r="O32" s="74"/>
      <c r="P32" s="75"/>
      <c r="Q32" s="76"/>
      <c r="R32" s="76"/>
      <c r="S32" s="76"/>
      <c r="T32" s="76"/>
      <c r="U32" s="76"/>
      <c r="V32" s="35"/>
      <c r="W32" s="76"/>
      <c r="X32" s="77"/>
      <c r="Y32" s="77"/>
      <c r="Z32" s="77"/>
      <c r="AA32" s="35"/>
      <c r="AB32" s="35"/>
      <c r="AC32" s="77"/>
      <c r="AD32" s="35"/>
      <c r="AE32" s="35"/>
    </row>
    <row r="33">
      <c r="A33" s="78" t="s">
        <v>84</v>
      </c>
      <c r="B33" s="83"/>
      <c r="C33" s="78" t="s">
        <v>86</v>
      </c>
      <c r="D33" s="86" t="s">
        <v>116</v>
      </c>
      <c r="E33" s="81" t="s">
        <v>88</v>
      </c>
      <c r="F33" s="82"/>
      <c r="G33" s="70"/>
      <c r="H33" s="71"/>
      <c r="I33" s="71"/>
      <c r="J33" s="71"/>
      <c r="K33" s="45"/>
      <c r="L33" s="72"/>
      <c r="M33" s="73"/>
      <c r="N33" s="35"/>
      <c r="O33" s="74"/>
      <c r="P33" s="75"/>
      <c r="Q33" s="76"/>
      <c r="R33" s="76"/>
      <c r="S33" s="76"/>
      <c r="T33" s="76"/>
      <c r="U33" s="76"/>
      <c r="V33" s="35"/>
      <c r="W33" s="76"/>
      <c r="X33" s="77"/>
      <c r="Y33" s="77"/>
      <c r="Z33" s="77"/>
      <c r="AA33" s="35"/>
      <c r="AB33" s="35"/>
      <c r="AC33" s="77"/>
      <c r="AD33" s="35"/>
      <c r="AE33" s="35"/>
    </row>
    <row r="34">
      <c r="A34" s="65"/>
      <c r="B34" s="66"/>
      <c r="C34" s="65"/>
      <c r="D34" s="67" t="s">
        <v>117</v>
      </c>
      <c r="E34" s="68"/>
      <c r="F34" s="85"/>
      <c r="G34" s="70"/>
      <c r="H34" s="71"/>
      <c r="I34" s="71"/>
      <c r="J34" s="71"/>
      <c r="K34" s="45"/>
      <c r="L34" s="72"/>
      <c r="M34" s="73"/>
      <c r="N34" s="35"/>
      <c r="O34" s="74"/>
      <c r="P34" s="75"/>
      <c r="Q34" s="76"/>
      <c r="R34" s="76"/>
      <c r="S34" s="76"/>
      <c r="T34" s="76"/>
      <c r="U34" s="76"/>
      <c r="V34" s="35"/>
      <c r="W34" s="76"/>
      <c r="X34" s="77"/>
      <c r="Y34" s="77"/>
      <c r="Z34" s="77"/>
      <c r="AA34" s="35"/>
      <c r="AB34" s="35"/>
      <c r="AC34" s="77"/>
      <c r="AD34" s="35"/>
      <c r="AE34" s="35"/>
    </row>
    <row r="35">
      <c r="A35" s="78" t="s">
        <v>84</v>
      </c>
      <c r="B35" s="83"/>
      <c r="C35" s="78" t="s">
        <v>86</v>
      </c>
      <c r="D35" s="86" t="s">
        <v>118</v>
      </c>
      <c r="E35" s="81" t="s">
        <v>88</v>
      </c>
      <c r="F35" s="82"/>
      <c r="G35" s="70"/>
      <c r="H35" s="71"/>
      <c r="I35" s="71"/>
      <c r="J35" s="71"/>
      <c r="K35" s="45"/>
      <c r="L35" s="72"/>
      <c r="M35" s="73"/>
      <c r="N35" s="35"/>
      <c r="O35" s="74"/>
      <c r="P35" s="75"/>
      <c r="Q35" s="76"/>
      <c r="R35" s="76"/>
      <c r="S35" s="76"/>
      <c r="T35" s="76"/>
      <c r="U35" s="76"/>
      <c r="V35" s="35"/>
      <c r="W35" s="76"/>
      <c r="X35" s="77"/>
      <c r="Y35" s="77"/>
      <c r="Z35" s="77"/>
      <c r="AA35" s="35"/>
      <c r="AB35" s="35"/>
      <c r="AC35" s="77"/>
      <c r="AD35" s="35"/>
      <c r="AE35" s="35"/>
    </row>
    <row r="36">
      <c r="A36" s="78" t="s">
        <v>84</v>
      </c>
      <c r="B36" s="83"/>
      <c r="C36" s="78" t="s">
        <v>86</v>
      </c>
      <c r="D36" s="86" t="s">
        <v>119</v>
      </c>
      <c r="E36" s="81" t="s">
        <v>88</v>
      </c>
      <c r="F36" s="82"/>
      <c r="G36" s="70"/>
      <c r="H36" s="71"/>
      <c r="I36" s="71"/>
      <c r="J36" s="71"/>
      <c r="K36" s="45"/>
      <c r="L36" s="72"/>
      <c r="M36" s="73"/>
      <c r="N36" s="35"/>
      <c r="O36" s="74"/>
      <c r="P36" s="75"/>
      <c r="Q36" s="76"/>
      <c r="R36" s="76"/>
      <c r="S36" s="76"/>
      <c r="T36" s="76"/>
      <c r="U36" s="76"/>
      <c r="V36" s="35"/>
      <c r="W36" s="76"/>
      <c r="X36" s="77"/>
      <c r="Y36" s="77"/>
      <c r="Z36" s="77"/>
      <c r="AA36" s="35"/>
      <c r="AB36" s="35"/>
      <c r="AC36" s="77"/>
      <c r="AD36" s="35"/>
      <c r="AE36" s="35"/>
    </row>
    <row r="37">
      <c r="A37" s="65"/>
      <c r="B37" s="66"/>
      <c r="C37" s="65"/>
      <c r="D37" s="67" t="s">
        <v>120</v>
      </c>
      <c r="E37" s="68"/>
      <c r="F37" s="85"/>
      <c r="G37" s="70"/>
      <c r="H37" s="71"/>
      <c r="I37" s="71"/>
      <c r="J37" s="71"/>
      <c r="K37" s="45"/>
      <c r="L37" s="72"/>
      <c r="M37" s="72"/>
      <c r="N37" s="35"/>
      <c r="O37" s="45"/>
      <c r="P37" s="37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>
      <c r="A38" s="78" t="s">
        <v>84</v>
      </c>
      <c r="B38" s="83"/>
      <c r="C38" s="78" t="s">
        <v>86</v>
      </c>
      <c r="D38" s="86" t="s">
        <v>49</v>
      </c>
      <c r="E38" s="81" t="s">
        <v>88</v>
      </c>
      <c r="F38" s="82"/>
      <c r="G38" s="70"/>
      <c r="H38" s="71"/>
      <c r="I38" s="71"/>
      <c r="J38" s="71"/>
      <c r="K38" s="45"/>
      <c r="L38" s="72"/>
      <c r="M38" s="73"/>
      <c r="N38" s="35"/>
      <c r="O38" s="74"/>
      <c r="P38" s="75"/>
      <c r="Q38" s="76"/>
      <c r="R38" s="76"/>
      <c r="S38" s="76"/>
      <c r="T38" s="76"/>
      <c r="U38" s="76"/>
      <c r="V38" s="35"/>
      <c r="W38" s="76"/>
      <c r="X38" s="77"/>
      <c r="Y38" s="77"/>
      <c r="Z38" s="77"/>
      <c r="AA38" s="35"/>
      <c r="AB38" s="35"/>
      <c r="AC38" s="77"/>
      <c r="AD38" s="35"/>
      <c r="AE38" s="35"/>
    </row>
    <row r="39">
      <c r="A39" s="78" t="s">
        <v>84</v>
      </c>
      <c r="B39" s="83"/>
      <c r="C39" s="78" t="s">
        <v>86</v>
      </c>
      <c r="D39" s="81" t="s">
        <v>50</v>
      </c>
      <c r="E39" s="81" t="s">
        <v>88</v>
      </c>
      <c r="F39" s="82"/>
      <c r="G39" s="70"/>
      <c r="H39" s="71"/>
      <c r="I39" s="71"/>
      <c r="J39" s="71"/>
      <c r="K39" s="45"/>
      <c r="L39" s="72"/>
      <c r="M39" s="73"/>
      <c r="N39" s="35"/>
      <c r="O39" s="74"/>
      <c r="P39" s="75"/>
      <c r="Q39" s="76"/>
      <c r="R39" s="76"/>
      <c r="S39" s="76"/>
      <c r="T39" s="76"/>
      <c r="U39" s="76"/>
      <c r="V39" s="35"/>
      <c r="W39" s="76"/>
      <c r="X39" s="77"/>
      <c r="Y39" s="77"/>
      <c r="Z39" s="77"/>
      <c r="AA39" s="35"/>
      <c r="AB39" s="35"/>
      <c r="AC39" s="77"/>
      <c r="AD39" s="35"/>
      <c r="AE39" s="35"/>
    </row>
    <row r="40">
      <c r="A40" s="78" t="s">
        <v>84</v>
      </c>
      <c r="B40" s="83" t="s">
        <v>121</v>
      </c>
      <c r="C40" s="78" t="s">
        <v>86</v>
      </c>
      <c r="D40" s="86" t="s">
        <v>47</v>
      </c>
      <c r="E40" s="81" t="s">
        <v>122</v>
      </c>
      <c r="F40" s="82"/>
      <c r="G40" s="70"/>
      <c r="H40" s="71"/>
      <c r="I40" s="71"/>
      <c r="J40" s="71"/>
      <c r="K40" s="45"/>
      <c r="L40" s="72"/>
      <c r="M40" s="73"/>
      <c r="N40" s="35"/>
      <c r="O40" s="74"/>
      <c r="P40" s="75"/>
      <c r="Q40" s="76"/>
      <c r="R40" s="76"/>
      <c r="S40" s="76"/>
      <c r="T40" s="76"/>
      <c r="U40" s="76"/>
      <c r="V40" s="35"/>
      <c r="W40" s="76"/>
      <c r="X40" s="77"/>
      <c r="Y40" s="77"/>
      <c r="Z40" s="77"/>
      <c r="AA40" s="35"/>
      <c r="AB40" s="35"/>
      <c r="AC40" s="77"/>
      <c r="AD40" s="35"/>
      <c r="AE40" s="35"/>
    </row>
    <row r="41">
      <c r="A41" s="78" t="s">
        <v>84</v>
      </c>
      <c r="B41" s="83"/>
      <c r="C41" s="78" t="s">
        <v>86</v>
      </c>
      <c r="D41" s="86" t="s">
        <v>52</v>
      </c>
      <c r="E41" s="81" t="s">
        <v>88</v>
      </c>
      <c r="F41" s="82"/>
      <c r="G41" s="70"/>
      <c r="H41" s="71"/>
      <c r="I41" s="71"/>
      <c r="J41" s="71"/>
      <c r="K41" s="45"/>
      <c r="L41" s="72"/>
      <c r="M41" s="73"/>
      <c r="N41" s="35"/>
      <c r="O41" s="87"/>
      <c r="P41" s="88">
        <v>250000.0</v>
      </c>
      <c r="Q41" s="89">
        <v>45859.0</v>
      </c>
      <c r="R41" s="90" t="s">
        <v>123</v>
      </c>
      <c r="S41" s="90" t="s">
        <v>124</v>
      </c>
      <c r="T41" s="76"/>
      <c r="U41" s="76"/>
      <c r="V41" s="35"/>
      <c r="W41" s="76"/>
      <c r="X41" s="77"/>
      <c r="Y41" s="77"/>
      <c r="Z41" s="77"/>
      <c r="AA41" s="35"/>
      <c r="AB41" s="35"/>
      <c r="AC41" s="77"/>
      <c r="AD41" s="35"/>
      <c r="AE41" s="35"/>
    </row>
    <row r="42">
      <c r="A42" s="78" t="s">
        <v>84</v>
      </c>
      <c r="B42" s="83" t="s">
        <v>125</v>
      </c>
      <c r="C42" s="78" t="s">
        <v>86</v>
      </c>
      <c r="D42" s="91" t="s">
        <v>126</v>
      </c>
      <c r="E42" s="81" t="s">
        <v>127</v>
      </c>
      <c r="F42" s="82"/>
      <c r="G42" s="70"/>
      <c r="H42" s="92">
        <v>260000.0</v>
      </c>
      <c r="I42" s="92">
        <v>0.0</v>
      </c>
      <c r="J42" s="92">
        <v>260000.0</v>
      </c>
      <c r="K42" s="45"/>
      <c r="L42" s="72"/>
      <c r="M42" s="73"/>
      <c r="N42" s="35"/>
      <c r="O42" s="87"/>
      <c r="P42" s="88">
        <v>260000.0</v>
      </c>
      <c r="Q42" s="89">
        <v>45861.0</v>
      </c>
      <c r="R42" s="90" t="s">
        <v>128</v>
      </c>
      <c r="S42" s="90" t="s">
        <v>129</v>
      </c>
      <c r="T42" s="76"/>
      <c r="U42" s="76"/>
      <c r="V42" s="35"/>
      <c r="W42" s="76"/>
      <c r="X42" s="77"/>
      <c r="Y42" s="77"/>
      <c r="Z42" s="77"/>
      <c r="AA42" s="35"/>
      <c r="AB42" s="35"/>
      <c r="AC42" s="77"/>
      <c r="AD42" s="35"/>
      <c r="AE42" s="35"/>
    </row>
    <row r="43" ht="18.75" customHeight="1">
      <c r="A43" s="78" t="s">
        <v>130</v>
      </c>
      <c r="B43" s="83" t="s">
        <v>125</v>
      </c>
      <c r="C43" s="78" t="s">
        <v>86</v>
      </c>
      <c r="D43" s="93" t="s">
        <v>131</v>
      </c>
      <c r="E43" s="90" t="s">
        <v>132</v>
      </c>
      <c r="F43" s="94"/>
      <c r="G43" s="70"/>
      <c r="H43" s="45"/>
      <c r="I43" s="45"/>
      <c r="J43" s="45"/>
      <c r="K43" s="45"/>
      <c r="L43" s="45"/>
      <c r="M43" s="37"/>
      <c r="N43" s="35"/>
      <c r="O43" s="45"/>
      <c r="P43" s="37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</row>
    <row r="44">
      <c r="A44" s="35"/>
      <c r="B44" s="36"/>
      <c r="C44" s="95"/>
      <c r="D44" s="35"/>
      <c r="E44" s="35"/>
      <c r="F44" s="96"/>
      <c r="G44" s="35"/>
      <c r="H44" s="97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>
      <c r="A45" s="35"/>
      <c r="B45" s="36"/>
      <c r="C45" s="95"/>
      <c r="D45" s="35"/>
      <c r="E45" s="35"/>
      <c r="F45" s="96"/>
      <c r="G45" s="35"/>
      <c r="H45" s="97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>
      <c r="A46" s="35"/>
      <c r="B46" s="36"/>
      <c r="C46" s="95"/>
      <c r="D46" s="35"/>
      <c r="E46" s="35"/>
      <c r="F46" s="96"/>
      <c r="G46" s="35"/>
      <c r="H46" s="97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>
      <c r="A47" s="35"/>
      <c r="B47" s="36"/>
      <c r="C47" s="95"/>
      <c r="D47" s="35"/>
      <c r="E47" s="35"/>
      <c r="F47" s="96"/>
      <c r="G47" s="35"/>
      <c r="H47" s="97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>
      <c r="A48" s="35"/>
      <c r="B48" s="36"/>
      <c r="C48" s="95"/>
      <c r="D48" s="35"/>
      <c r="E48" s="35"/>
      <c r="F48" s="96"/>
      <c r="G48" s="35"/>
      <c r="H48" s="97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>
      <c r="A49" s="35"/>
      <c r="B49" s="36"/>
      <c r="C49" s="95"/>
      <c r="G49" s="35"/>
      <c r="H49" s="97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>
      <c r="A50" s="35"/>
      <c r="B50" s="36"/>
      <c r="C50" s="95"/>
      <c r="D50" s="67" t="s">
        <v>83</v>
      </c>
      <c r="E50" s="98">
        <v>450.0</v>
      </c>
      <c r="F50" s="99">
        <v>1800000.0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 ht="27.0" customHeight="1">
      <c r="A51" s="35"/>
      <c r="B51" s="36"/>
      <c r="C51" s="95"/>
      <c r="D51" s="86" t="s">
        <v>99</v>
      </c>
      <c r="E51" s="100">
        <v>9.2</v>
      </c>
      <c r="F51" s="101">
        <f t="shared" ref="F51:F67" si="1">E51*4000</f>
        <v>36800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76"/>
      <c r="Y51" s="76"/>
      <c r="Z51" s="76"/>
      <c r="AA51" s="35"/>
      <c r="AB51" s="35"/>
      <c r="AC51" s="76"/>
      <c r="AD51" s="35"/>
      <c r="AE51" s="35"/>
    </row>
    <row r="52" ht="27.0" customHeight="1">
      <c r="A52" s="35"/>
      <c r="B52" s="36"/>
      <c r="C52" s="95"/>
      <c r="D52" s="86" t="s">
        <v>102</v>
      </c>
      <c r="E52" s="100">
        <v>25.0</v>
      </c>
      <c r="F52" s="101">
        <f t="shared" si="1"/>
        <v>100000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76"/>
      <c r="Y52" s="76"/>
      <c r="Z52" s="76"/>
      <c r="AA52" s="35"/>
      <c r="AB52" s="35"/>
      <c r="AC52" s="76"/>
      <c r="AD52" s="35"/>
      <c r="AE52" s="35"/>
    </row>
    <row r="53" ht="27.0" customHeight="1">
      <c r="A53" s="35"/>
      <c r="B53" s="102"/>
      <c r="D53" s="86" t="s">
        <v>103</v>
      </c>
      <c r="E53" s="100">
        <v>20.0</v>
      </c>
      <c r="F53" s="101">
        <f t="shared" si="1"/>
        <v>80000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76"/>
      <c r="Y53" s="76"/>
      <c r="Z53" s="76"/>
      <c r="AA53" s="35"/>
      <c r="AB53" s="35"/>
      <c r="AC53" s="76"/>
      <c r="AD53" s="35"/>
      <c r="AE53" s="35"/>
    </row>
    <row r="54" ht="27.0" customHeight="1">
      <c r="A54" s="35"/>
      <c r="B54" s="102"/>
      <c r="D54" s="86" t="s">
        <v>100</v>
      </c>
      <c r="E54" s="100">
        <v>8.0</v>
      </c>
      <c r="F54" s="101">
        <f t="shared" si="1"/>
        <v>32000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76"/>
      <c r="Y54" s="76"/>
      <c r="Z54" s="76"/>
      <c r="AA54" s="35"/>
      <c r="AB54" s="35"/>
      <c r="AC54" s="76"/>
      <c r="AD54" s="35"/>
      <c r="AE54" s="35"/>
    </row>
    <row r="55">
      <c r="A55" s="35"/>
      <c r="B55" s="102"/>
      <c r="D55" s="86" t="s">
        <v>101</v>
      </c>
      <c r="E55" s="100">
        <v>9.0</v>
      </c>
      <c r="F55" s="101">
        <f t="shared" si="1"/>
        <v>36000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103"/>
      <c r="Y55" s="103"/>
      <c r="Z55" s="103"/>
      <c r="AA55" s="103"/>
      <c r="AB55" s="103"/>
      <c r="AC55" s="103"/>
      <c r="AD55" s="103"/>
      <c r="AE55" s="103"/>
    </row>
    <row r="56" ht="15.75" customHeight="1">
      <c r="A56" s="35"/>
      <c r="B56" s="102"/>
      <c r="D56" s="81" t="s">
        <v>92</v>
      </c>
      <c r="E56" s="100">
        <v>6.0</v>
      </c>
      <c r="F56" s="101">
        <f t="shared" si="1"/>
        <v>24000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104"/>
      <c r="AD56" s="104"/>
      <c r="AE56" s="104"/>
    </row>
    <row r="57" ht="15.75" customHeight="1">
      <c r="A57" s="35"/>
      <c r="B57" s="102"/>
      <c r="D57" s="86" t="s">
        <v>94</v>
      </c>
      <c r="E57" s="100">
        <v>2.0</v>
      </c>
      <c r="F57" s="101">
        <f t="shared" si="1"/>
        <v>8000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104"/>
      <c r="AD57" s="104"/>
      <c r="AE57" s="104"/>
    </row>
    <row r="58" ht="15.75" customHeight="1">
      <c r="A58" s="35"/>
      <c r="B58" s="102"/>
      <c r="D58" s="86" t="s">
        <v>95</v>
      </c>
      <c r="E58" s="100">
        <v>4.0</v>
      </c>
      <c r="F58" s="101">
        <f t="shared" si="1"/>
        <v>16000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104"/>
      <c r="AD58" s="104"/>
      <c r="AE58" s="104"/>
    </row>
    <row r="59" ht="15.75" customHeight="1">
      <c r="A59" s="35"/>
      <c r="B59" s="102"/>
      <c r="D59" s="86" t="s">
        <v>96</v>
      </c>
      <c r="E59" s="100">
        <v>5.0</v>
      </c>
      <c r="F59" s="101">
        <f t="shared" si="1"/>
        <v>20000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104"/>
      <c r="AD59" s="104"/>
      <c r="AE59" s="104"/>
    </row>
    <row r="60" ht="15.75" customHeight="1">
      <c r="A60" s="35"/>
      <c r="B60" s="102"/>
      <c r="D60" s="80" t="s">
        <v>87</v>
      </c>
      <c r="E60" s="100">
        <v>4.0</v>
      </c>
      <c r="F60" s="101">
        <f t="shared" si="1"/>
        <v>16000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104"/>
      <c r="AD60" s="104"/>
      <c r="AE60" s="104"/>
    </row>
    <row r="61" ht="15.75" customHeight="1">
      <c r="A61" s="35"/>
      <c r="B61" s="102"/>
      <c r="D61" s="86" t="s">
        <v>105</v>
      </c>
      <c r="E61" s="69">
        <v>6.4935064935064934</v>
      </c>
      <c r="F61" s="101">
        <f t="shared" si="1"/>
        <v>25974.02597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104"/>
      <c r="AD61" s="104"/>
      <c r="AE61" s="104"/>
    </row>
    <row r="62" ht="15.75" customHeight="1">
      <c r="A62" s="35"/>
      <c r="B62" s="102"/>
      <c r="D62" s="86" t="s">
        <v>110</v>
      </c>
      <c r="E62" s="100">
        <v>15.0</v>
      </c>
      <c r="F62" s="101">
        <f t="shared" si="1"/>
        <v>60000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104"/>
      <c r="AD62" s="104"/>
      <c r="AE62" s="104"/>
    </row>
    <row r="63" ht="15.75" customHeight="1">
      <c r="A63" s="35"/>
      <c r="B63" s="102"/>
      <c r="D63" s="86" t="s">
        <v>112</v>
      </c>
      <c r="E63" s="100">
        <v>5.0</v>
      </c>
      <c r="F63" s="101">
        <f t="shared" si="1"/>
        <v>20000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104"/>
      <c r="AD63" s="104"/>
      <c r="AE63" s="104"/>
    </row>
    <row r="64" ht="15.75" customHeight="1">
      <c r="A64" s="35"/>
      <c r="B64" s="102"/>
      <c r="D64" s="86" t="s">
        <v>109</v>
      </c>
      <c r="E64" s="69">
        <v>10.822510822510823</v>
      </c>
      <c r="F64" s="101">
        <f t="shared" si="1"/>
        <v>43290.04329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104"/>
      <c r="AD64" s="104"/>
      <c r="AE64" s="104"/>
    </row>
    <row r="65" ht="15.75" customHeight="1">
      <c r="A65" s="35"/>
      <c r="B65" s="102"/>
      <c r="D65" s="81" t="s">
        <v>111</v>
      </c>
      <c r="E65" s="100">
        <v>3.0</v>
      </c>
      <c r="F65" s="101">
        <f t="shared" si="1"/>
        <v>12000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104"/>
      <c r="AD65" s="104"/>
      <c r="AE65" s="104"/>
    </row>
    <row r="66" ht="15.75" customHeight="1">
      <c r="A66" s="35"/>
      <c r="B66" s="102"/>
      <c r="D66" s="86" t="s">
        <v>107</v>
      </c>
      <c r="E66" s="100">
        <v>8.0</v>
      </c>
      <c r="F66" s="101">
        <f t="shared" si="1"/>
        <v>32000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104"/>
      <c r="AD66" s="104"/>
      <c r="AE66" s="104"/>
    </row>
    <row r="67" ht="15.75" customHeight="1">
      <c r="A67" s="35"/>
      <c r="B67" s="102"/>
      <c r="D67" s="86" t="s">
        <v>114</v>
      </c>
      <c r="E67" s="100">
        <v>8.0</v>
      </c>
      <c r="F67" s="101">
        <f t="shared" si="1"/>
        <v>32000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104"/>
      <c r="AD67" s="104"/>
      <c r="AE67" s="104"/>
    </row>
    <row r="68" ht="15.75" customHeight="1">
      <c r="A68" s="35"/>
      <c r="B68" s="102"/>
      <c r="D68" s="81" t="s">
        <v>115</v>
      </c>
      <c r="E68" s="100">
        <v>7.0</v>
      </c>
      <c r="F68" s="101">
        <v>27867.0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104"/>
      <c r="AD68" s="104"/>
      <c r="AE68" s="104"/>
    </row>
    <row r="69" ht="15.75" customHeight="1">
      <c r="A69" s="35"/>
      <c r="B69" s="102"/>
      <c r="D69" s="86" t="s">
        <v>97</v>
      </c>
      <c r="E69" s="100">
        <v>3.5</v>
      </c>
      <c r="F69" s="101">
        <f t="shared" ref="F69:F80" si="2">E69*4000</f>
        <v>14000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104"/>
      <c r="AD69" s="104"/>
      <c r="AE69" s="104"/>
    </row>
    <row r="70" ht="15.75" customHeight="1">
      <c r="A70" s="35"/>
      <c r="B70" s="102"/>
      <c r="D70" s="86" t="s">
        <v>116</v>
      </c>
      <c r="E70" s="100">
        <v>15.0</v>
      </c>
      <c r="F70" s="101">
        <f t="shared" si="2"/>
        <v>60000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104"/>
      <c r="AD70" s="104"/>
      <c r="AE70" s="104"/>
    </row>
    <row r="71" ht="15.75" customHeight="1">
      <c r="A71" s="35"/>
      <c r="B71" s="102"/>
      <c r="D71" s="86" t="s">
        <v>106</v>
      </c>
      <c r="E71" s="69">
        <v>7.35930735930736</v>
      </c>
      <c r="F71" s="101">
        <f t="shared" si="2"/>
        <v>29437.22944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104"/>
      <c r="AD71" s="104"/>
      <c r="AE71" s="104"/>
    </row>
    <row r="72" ht="15.75" customHeight="1">
      <c r="A72" s="35"/>
      <c r="B72" s="102"/>
      <c r="D72" s="86" t="s">
        <v>118</v>
      </c>
      <c r="E72" s="69">
        <v>8.658008658008658</v>
      </c>
      <c r="F72" s="101">
        <f t="shared" si="2"/>
        <v>34632.03463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104"/>
      <c r="AD72" s="104"/>
      <c r="AE72" s="104"/>
    </row>
    <row r="73" ht="15.75" customHeight="1">
      <c r="A73" s="35"/>
      <c r="B73" s="102"/>
      <c r="D73" s="86" t="s">
        <v>119</v>
      </c>
      <c r="E73" s="100">
        <v>16.0</v>
      </c>
      <c r="F73" s="101">
        <f t="shared" si="2"/>
        <v>64000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104"/>
      <c r="AD73" s="104"/>
      <c r="AE73" s="104"/>
    </row>
    <row r="74" ht="15.75" customHeight="1">
      <c r="A74" s="35"/>
      <c r="B74" s="102"/>
      <c r="D74" s="80" t="s">
        <v>91</v>
      </c>
      <c r="E74" s="100">
        <v>20.0</v>
      </c>
      <c r="F74" s="101">
        <f t="shared" si="2"/>
        <v>80000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104"/>
      <c r="AD74" s="104"/>
      <c r="AE74" s="104"/>
    </row>
    <row r="75" ht="15.75" customHeight="1">
      <c r="A75" s="35"/>
      <c r="B75" s="102"/>
      <c r="D75" s="80" t="s">
        <v>90</v>
      </c>
      <c r="E75" s="100">
        <v>24.0</v>
      </c>
      <c r="F75" s="101">
        <f t="shared" si="2"/>
        <v>96000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104"/>
      <c r="AD75" s="104"/>
      <c r="AE75" s="104"/>
    </row>
    <row r="76" ht="15.75" customHeight="1">
      <c r="A76" s="35"/>
      <c r="B76" s="102"/>
      <c r="D76" s="86" t="s">
        <v>49</v>
      </c>
      <c r="E76" s="100">
        <v>22.0</v>
      </c>
      <c r="F76" s="101">
        <f t="shared" si="2"/>
        <v>88000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104"/>
      <c r="AD76" s="104"/>
      <c r="AE76" s="104"/>
    </row>
    <row r="77" ht="15.75" customHeight="1">
      <c r="A77" s="35"/>
      <c r="B77" s="102"/>
      <c r="D77" s="81" t="s">
        <v>50</v>
      </c>
      <c r="E77" s="100">
        <v>38.0</v>
      </c>
      <c r="F77" s="101">
        <f t="shared" si="2"/>
        <v>152000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104"/>
      <c r="AD77" s="104"/>
      <c r="AE77" s="104"/>
    </row>
    <row r="78" ht="15.75" customHeight="1">
      <c r="A78" s="35"/>
      <c r="B78" s="102"/>
      <c r="D78" s="86" t="s">
        <v>47</v>
      </c>
      <c r="E78" s="100">
        <v>45.0</v>
      </c>
      <c r="F78" s="101">
        <f t="shared" si="2"/>
        <v>180000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104"/>
      <c r="AD78" s="104"/>
      <c r="AE78" s="104"/>
    </row>
    <row r="79" ht="15.75" customHeight="1">
      <c r="A79" s="35"/>
      <c r="B79" s="102"/>
      <c r="D79" s="86" t="s">
        <v>52</v>
      </c>
      <c r="E79" s="100">
        <v>23.0</v>
      </c>
      <c r="F79" s="101">
        <f t="shared" si="2"/>
        <v>92000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104"/>
      <c r="AD79" s="104"/>
      <c r="AE79" s="104"/>
    </row>
    <row r="80" ht="15.75" customHeight="1">
      <c r="A80" s="35"/>
      <c r="B80" s="102"/>
      <c r="D80" s="86" t="s">
        <v>126</v>
      </c>
      <c r="E80" s="100">
        <v>72.0</v>
      </c>
      <c r="F80" s="101">
        <f t="shared" si="2"/>
        <v>288000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104"/>
      <c r="AD80" s="104"/>
      <c r="AE80" s="104"/>
    </row>
    <row r="81" ht="15.75" customHeight="1">
      <c r="A81" s="35"/>
      <c r="B81" s="102"/>
      <c r="D81" s="105" t="s">
        <v>133</v>
      </c>
      <c r="E81" s="106">
        <f t="shared" ref="E81:F81" si="3">SUM(E51:E80)</f>
        <v>450.0333333</v>
      </c>
      <c r="F81" s="107">
        <f t="shared" si="3"/>
        <v>1800000.333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104"/>
      <c r="AD81" s="104"/>
      <c r="AE81" s="104"/>
    </row>
    <row r="82" ht="15.75" customHeight="1">
      <c r="A82" s="35"/>
      <c r="B82" s="102"/>
      <c r="D82" s="35"/>
      <c r="E82" s="95"/>
      <c r="F82" s="108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104"/>
      <c r="AD82" s="104"/>
      <c r="AE82" s="104"/>
    </row>
    <row r="83" ht="15.75" customHeight="1">
      <c r="A83" s="35"/>
      <c r="B83" s="102"/>
      <c r="D83" s="35"/>
      <c r="E83" s="95"/>
      <c r="F83" s="108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104"/>
      <c r="AD83" s="104"/>
      <c r="AE83" s="104"/>
    </row>
    <row r="84" ht="15.75" customHeight="1">
      <c r="A84" s="35"/>
      <c r="B84" s="102"/>
      <c r="D84" s="35"/>
      <c r="E84" s="95"/>
      <c r="F84" s="108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104"/>
      <c r="AD84" s="104"/>
      <c r="AE84" s="104"/>
    </row>
    <row r="85" ht="15.75" customHeight="1">
      <c r="A85" s="35"/>
      <c r="B85" s="102"/>
      <c r="D85" s="35"/>
      <c r="E85" s="95"/>
      <c r="F85" s="108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104"/>
      <c r="AD85" s="104"/>
      <c r="AE85" s="104"/>
    </row>
    <row r="86" ht="15.75" customHeight="1">
      <c r="A86" s="35"/>
      <c r="B86" s="102"/>
      <c r="D86" s="35"/>
      <c r="E86" s="95"/>
      <c r="F86" s="108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104"/>
      <c r="AD86" s="104"/>
      <c r="AE86" s="104"/>
    </row>
    <row r="87" ht="15.75" customHeight="1">
      <c r="A87" s="35"/>
      <c r="B87" s="102"/>
      <c r="D87" s="35"/>
      <c r="E87" s="95"/>
      <c r="F87" s="108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104"/>
      <c r="AD87" s="104"/>
      <c r="AE87" s="104"/>
    </row>
    <row r="88" ht="15.75" customHeight="1">
      <c r="A88" s="35"/>
      <c r="B88" s="102"/>
      <c r="D88" s="35"/>
      <c r="E88" s="95"/>
      <c r="F88" s="108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104"/>
      <c r="AD88" s="104"/>
      <c r="AE88" s="104"/>
    </row>
    <row r="89" ht="15.75" customHeight="1">
      <c r="A89" s="35"/>
      <c r="B89" s="102"/>
      <c r="D89" s="35"/>
      <c r="E89" s="95"/>
      <c r="F89" s="108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104"/>
      <c r="AD89" s="104"/>
      <c r="AE89" s="104"/>
    </row>
    <row r="90" ht="15.75" customHeight="1">
      <c r="A90" s="35"/>
      <c r="B90" s="102"/>
      <c r="D90" s="35"/>
      <c r="E90" s="95"/>
      <c r="F90" s="108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104"/>
      <c r="AD90" s="104"/>
      <c r="AE90" s="104"/>
    </row>
    <row r="91" ht="15.75" customHeight="1">
      <c r="A91" s="35"/>
      <c r="B91" s="102"/>
      <c r="D91" s="35"/>
      <c r="E91" s="95"/>
      <c r="F91" s="108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104"/>
      <c r="AD91" s="104"/>
      <c r="AE91" s="104"/>
    </row>
  </sheetData>
  <mergeCells count="2">
    <mergeCell ref="O3:R3"/>
    <mergeCell ref="W3:Y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75"/>
  </cols>
  <sheetData>
    <row r="3">
      <c r="B3" s="95"/>
    </row>
    <row r="4">
      <c r="B4" s="95"/>
    </row>
    <row r="5">
      <c r="B5" s="95"/>
    </row>
    <row r="6">
      <c r="B6" s="52" t="s">
        <v>63</v>
      </c>
    </row>
    <row r="7">
      <c r="B7" s="95"/>
    </row>
    <row r="8">
      <c r="B8" s="108">
        <v>16000.0</v>
      </c>
    </row>
    <row r="9">
      <c r="B9" s="108">
        <v>96000.0</v>
      </c>
    </row>
    <row r="10">
      <c r="B10" s="108">
        <v>80000.0</v>
      </c>
    </row>
    <row r="11">
      <c r="B11" s="108">
        <v>24000.0</v>
      </c>
    </row>
    <row r="12">
      <c r="B12" s="108">
        <v>0.0</v>
      </c>
    </row>
    <row r="13">
      <c r="B13" s="108">
        <v>12000.0</v>
      </c>
    </row>
    <row r="14">
      <c r="B14" s="108">
        <v>16000.0</v>
      </c>
    </row>
    <row r="15">
      <c r="B15" s="108">
        <v>20000.0</v>
      </c>
    </row>
    <row r="16">
      <c r="B16" s="108">
        <v>8000.0</v>
      </c>
    </row>
    <row r="17">
      <c r="B17" s="108">
        <v>0.0</v>
      </c>
    </row>
    <row r="18">
      <c r="B18" s="108">
        <v>32000.0</v>
      </c>
    </row>
    <row r="19">
      <c r="B19" s="108">
        <v>28000.0</v>
      </c>
    </row>
    <row r="20">
      <c r="B20" s="108">
        <v>36000.0</v>
      </c>
    </row>
    <row r="21">
      <c r="B21" s="108">
        <v>100000.0</v>
      </c>
    </row>
    <row r="22">
      <c r="B22" s="108">
        <v>80000.0</v>
      </c>
    </row>
    <row r="23">
      <c r="B23" s="108">
        <v>0.0</v>
      </c>
    </row>
    <row r="24">
      <c r="B24" s="108">
        <v>25974.025974025975</v>
      </c>
    </row>
    <row r="25">
      <c r="B25" s="108">
        <v>29437.229437229442</v>
      </c>
    </row>
    <row r="26">
      <c r="B26" s="108">
        <v>32000.0</v>
      </c>
    </row>
    <row r="27">
      <c r="B27" s="108">
        <v>0.0</v>
      </c>
    </row>
    <row r="28">
      <c r="B28" s="108">
        <v>43290.04329004329</v>
      </c>
    </row>
    <row r="29">
      <c r="B29" s="108">
        <v>60000.0</v>
      </c>
    </row>
    <row r="30">
      <c r="B30" s="108">
        <v>11800.0</v>
      </c>
    </row>
    <row r="31">
      <c r="B31" s="108">
        <v>20000.0</v>
      </c>
    </row>
    <row r="32">
      <c r="B32" s="108">
        <v>0.0</v>
      </c>
    </row>
    <row r="33">
      <c r="B33" s="108">
        <v>32000.0</v>
      </c>
    </row>
    <row r="34">
      <c r="B34" s="108">
        <v>32000.0</v>
      </c>
    </row>
    <row r="35">
      <c r="B35" s="108">
        <v>64000.0</v>
      </c>
    </row>
    <row r="36">
      <c r="B36" s="108">
        <v>0.0</v>
      </c>
    </row>
    <row r="37">
      <c r="B37" s="108">
        <v>33500.0</v>
      </c>
    </row>
    <row r="38">
      <c r="B38" s="108">
        <v>64000.0</v>
      </c>
    </row>
    <row r="39">
      <c r="B39" s="108">
        <v>0.0</v>
      </c>
    </row>
    <row r="40">
      <c r="B40" s="108">
        <v>88000.0</v>
      </c>
    </row>
    <row r="41">
      <c r="B41" s="108">
        <v>152000.0</v>
      </c>
    </row>
    <row r="42">
      <c r="B42" s="108">
        <v>180000.0</v>
      </c>
    </row>
    <row r="43">
      <c r="B43" s="108">
        <v>88000.0</v>
      </c>
    </row>
    <row r="44">
      <c r="B44" s="108">
        <v>296000.0</v>
      </c>
    </row>
    <row r="45">
      <c r="B45" s="108">
        <v>1800001.2987012987</v>
      </c>
    </row>
    <row r="46">
      <c r="B46" s="95"/>
    </row>
    <row r="47">
      <c r="B47" s="95"/>
    </row>
    <row r="48">
      <c r="B48" s="95"/>
    </row>
    <row r="49">
      <c r="B49" s="95"/>
    </row>
    <row r="50">
      <c r="B50" s="9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