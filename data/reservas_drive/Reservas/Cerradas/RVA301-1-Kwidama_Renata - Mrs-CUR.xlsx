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 COSTEO " sheetId="2" r:id="rId5"/>
    <sheet state="visible" name="ITINERARIO" sheetId="3" r:id="rId6"/>
    <sheet state="visible" name="CONFIRMACIÓN " sheetId="4" r:id="rId7"/>
    <sheet state="visible" name="VUELO" sheetId="5" r:id="rId8"/>
    <sheet state="visible" name="PROXIMO VIAJE " sheetId="6" r:id="rId9"/>
  </sheets>
  <definedNames/>
  <calcPr/>
  <extLst>
    <ext uri="GoogleSheetsCustomDataVersion2">
      <go:sheetsCustomData xmlns:go="http://customooxmlschemas.google.com/" r:id="rId10" roundtripDataChecksum="Crsb9g7P4Lyj3ATju7OYQFMN1svWaJCSfrxMSCQxac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2">
      <text>
        <t xml:space="preserve">======
ID#AAAB3TYMk8s
MEDICAL RESERVAS    (2026-04-15 21:13:32)
LUNES</t>
      </text>
    </comment>
  </commentList>
  <extLst>
    <ext uri="GoogleSheetsCustomDataVersion2">
      <go:sheetsCustomData xmlns:go="http://customooxmlschemas.google.com/" r:id="rId1" roundtripDataSignature="AMtx7mjlT3KU7axjYQRjwPFdSyrVw48ZsQ=="/>
    </ext>
  </extLst>
</comments>
</file>

<file path=xl/sharedStrings.xml><?xml version="1.0" encoding="utf-8"?>
<sst xmlns="http://schemas.openxmlformats.org/spreadsheetml/2006/main" count="344" uniqueCount="194">
  <si>
    <t>Nombre</t>
  </si>
  <si>
    <t>RENATA</t>
  </si>
  <si>
    <t>Apellido</t>
  </si>
  <si>
    <t>KWIDAMA</t>
  </si>
  <si>
    <t>Género:  .</t>
  </si>
  <si>
    <t>FEMENINO</t>
  </si>
  <si>
    <t>Pasaporte</t>
  </si>
  <si>
    <t>NN4R85536</t>
  </si>
  <si>
    <t>Fecha de nacimiento</t>
  </si>
  <si>
    <t>Edad</t>
  </si>
  <si>
    <t>Estado civil</t>
  </si>
  <si>
    <t>Soltera</t>
  </si>
  <si>
    <t>Dirección</t>
  </si>
  <si>
    <t>CURAZAO</t>
  </si>
  <si>
    <t xml:space="preserve">Nacionalidad  y  domicilio:  </t>
  </si>
  <si>
    <t>Paises bajos</t>
  </si>
  <si>
    <t>Email:</t>
  </si>
  <si>
    <t>rmdk@live.nl</t>
  </si>
  <si>
    <t>Teléfono</t>
  </si>
  <si>
    <t>599 9 660 96 00</t>
  </si>
  <si>
    <t xml:space="preserve">Profesión </t>
  </si>
  <si>
    <t>RH</t>
  </si>
  <si>
    <t>O+</t>
  </si>
  <si>
    <t>Seguro</t>
  </si>
  <si>
    <t>No tiene</t>
  </si>
  <si>
    <t>Peso</t>
  </si>
  <si>
    <t>Altura</t>
  </si>
  <si>
    <t>165 cm</t>
  </si>
  <si>
    <t>Idioma</t>
  </si>
  <si>
    <t>PAPIAMENTO-HOLANES-ESPAÑOL</t>
  </si>
  <si>
    <t>Estadia:</t>
  </si>
  <si>
    <t>7-8-9-10-11-12 Abril</t>
  </si>
  <si>
    <t>Chequeo Medico</t>
  </si>
  <si>
    <t>Examenes detencion cancer cuello Uterino</t>
  </si>
  <si>
    <t>ARCHIVO DE DOCUMENTOS MEDICOS</t>
  </si>
  <si>
    <t>PAGOS  -  FACTURA</t>
  </si>
  <si>
    <t>RESERVAS  Y CONFIRMACION</t>
  </si>
  <si>
    <t xml:space="preserve">PRODUCTO  </t>
  </si>
  <si>
    <t>PROVEEDOR</t>
  </si>
  <si>
    <t>CANTIDAD</t>
  </si>
  <si>
    <t xml:space="preserve">PRECIO UNITARIO </t>
  </si>
  <si>
    <t>EMMY - PRECIO VENTA</t>
  </si>
  <si>
    <t xml:space="preserve">EMMY - VALOR TOTAL </t>
  </si>
  <si>
    <t>RETENCIÓN EN LA FUENTE</t>
  </si>
  <si>
    <t>VALOR DEL PAGO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</si>
  <si>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</si>
  <si>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</si>
  <si>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</si>
  <si>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</si>
  <si>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</si>
  <si>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</si>
  <si>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</si>
  <si>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Precompra</t>
  </si>
  <si>
    <t>EMITIDA</t>
  </si>
  <si>
    <t>Póliza de asistencia médica al viajero X 8 días</t>
  </si>
  <si>
    <t>Colasistencia</t>
  </si>
  <si>
    <t>COMPRADA</t>
  </si>
  <si>
    <t>Sim card física</t>
  </si>
  <si>
    <t>YENNY / TIGO</t>
  </si>
  <si>
    <t>2,00 Unidades</t>
  </si>
  <si>
    <t>$ 3,00</t>
  </si>
  <si>
    <t>$ 6,00</t>
  </si>
  <si>
    <t>No llego factura</t>
  </si>
  <si>
    <t>RECARGADA</t>
  </si>
  <si>
    <t>Recarga 10 gigas de datos X 7 días</t>
  </si>
  <si>
    <t>TIGO</t>
  </si>
  <si>
    <t>1,00 Unidades</t>
  </si>
  <si>
    <t>$ 7,00</t>
  </si>
  <si>
    <t>JENNY BANCOLOMBIA</t>
  </si>
  <si>
    <t>PAGO EN LINEA</t>
  </si>
  <si>
    <t>JENNY NEQUI</t>
  </si>
  <si>
    <t>CHEQUEO MÉDICO EJECUTIVO PREVENTIVO- MUJER</t>
  </si>
  <si>
    <t>CIMA</t>
  </si>
  <si>
    <t>$ 520,00</t>
  </si>
  <si>
    <t>CIMA SALDO A FAVOR</t>
  </si>
  <si>
    <t xml:space="preserve">Tarro fecal y orina </t>
  </si>
  <si>
    <t>LABORATORIOS CLÍNICOS</t>
  </si>
  <si>
    <t>Muestra contaminada</t>
  </si>
  <si>
    <t>Citologia Cervical</t>
  </si>
  <si>
    <t>Citología PAP - VPH papanicolau</t>
  </si>
  <si>
    <t>$ 40,00</t>
  </si>
  <si>
    <t>No entrego muestra</t>
  </si>
  <si>
    <t>Facturado</t>
  </si>
  <si>
    <t>Confirmado</t>
  </si>
  <si>
    <t>Coprológico</t>
  </si>
  <si>
    <t xml:space="preserve">Archivado </t>
  </si>
  <si>
    <t>Vitamina D25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</si>
  <si>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</si>
  <si>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</si>
  <si>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</si>
  <si>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</si>
  <si>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</si>
  <si>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</si>
  <si>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</si>
  <si>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</si>
  <si>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Perfil Renal</t>
  </si>
  <si>
    <t>Creatinina en suero</t>
  </si>
  <si>
    <t>Uroanálisis</t>
  </si>
  <si>
    <t>Sangre</t>
  </si>
  <si>
    <t>Hemograma completo</t>
  </si>
  <si>
    <t>Hemoglobina glicosilada</t>
  </si>
  <si>
    <t>Ferritina</t>
  </si>
  <si>
    <t>Glucosa sérica</t>
  </si>
  <si>
    <t>Perfil Tiroideo</t>
  </si>
  <si>
    <t>T4L libre</t>
  </si>
  <si>
    <t>TSH</t>
  </si>
  <si>
    <t>Enfermedades de transmisión sexual</t>
  </si>
  <si>
    <t>VDRL serología</t>
  </si>
  <si>
    <t xml:space="preserve">VIH 1 Y 2, Anticuerpos </t>
  </si>
  <si>
    <t>IMÁGENES DIAGNÓSTICAS</t>
  </si>
  <si>
    <t>Radiografía de tórax</t>
  </si>
  <si>
    <t>Electrocardiograma</t>
  </si>
  <si>
    <t>Ecografía de abdomen total</t>
  </si>
  <si>
    <t>Ecografía Mamaria</t>
  </si>
  <si>
    <t>Dr Maximiliano Ortega</t>
  </si>
  <si>
    <t>JURIDICA BANCOLOMBIA</t>
  </si>
  <si>
    <t>TRANSFERENCIA BANCARIA</t>
  </si>
  <si>
    <t>Cita Medico Internista</t>
  </si>
  <si>
    <t>DMS361</t>
  </si>
  <si>
    <t>Traslados CORTOS Hotel - clínica</t>
  </si>
  <si>
    <t>ANDRES</t>
  </si>
  <si>
    <t>4 unidades</t>
  </si>
  <si>
    <t>Andrés Cantero</t>
  </si>
  <si>
    <t>DMS362</t>
  </si>
  <si>
    <t>Servicios Medical Trip colombia acompañamiento virtual y presencial 6 horas</t>
  </si>
  <si>
    <t>YENNY</t>
  </si>
  <si>
    <t>Magda Yenny Roberto</t>
  </si>
  <si>
    <t>Tour grupal Comuna trece</t>
  </si>
  <si>
    <t>AEROTUREX</t>
  </si>
  <si>
    <t>4,00 Unidades</t>
  </si>
  <si>
    <t>$ 22,50</t>
  </si>
  <si>
    <t>$ 90,00</t>
  </si>
  <si>
    <t>Aeroturex</t>
  </si>
  <si>
    <t>Total</t>
  </si>
  <si>
    <t>TOTAL EN USD</t>
  </si>
  <si>
    <t>NETO PAGADO</t>
  </si>
  <si>
    <t>TOTAL EN PESOS</t>
  </si>
  <si>
    <t>COBRADO</t>
  </si>
  <si>
    <t>PAGO CLIENTE</t>
  </si>
  <si>
    <t>UTILIDAD</t>
  </si>
  <si>
    <t>CONFIRMACIÓN</t>
  </si>
  <si>
    <t>DIRECCIÓN</t>
  </si>
  <si>
    <t>SEDE</t>
  </si>
  <si>
    <t>DIA/HORA</t>
  </si>
  <si>
    <t>FECHAS:  07 - 12 ABRIL - 2026</t>
  </si>
  <si>
    <t>Actividad</t>
  </si>
  <si>
    <t>ACP horas</t>
  </si>
  <si>
    <t>Traslado</t>
  </si>
  <si>
    <t>Directo del pax</t>
  </si>
  <si>
    <t>Vuelo Curazao- Medellín</t>
  </si>
  <si>
    <t>Traslado aeropuerto - Hotel</t>
  </si>
  <si>
    <t>Cra. 43A #10-73, El Poblado,</t>
  </si>
  <si>
    <t>Hotel Recuerdos de mi Tierra</t>
  </si>
  <si>
    <t>Alojamiento</t>
  </si>
  <si>
    <t>Martes 07- Abril -Dia Libre</t>
  </si>
  <si>
    <t>Miercoles-08 Abril -Dia Libre</t>
  </si>
  <si>
    <t>No desayunar  - tomar agua tener vejiga llena</t>
  </si>
  <si>
    <t>05:30 am</t>
  </si>
  <si>
    <t>Traslado hotel - centro médico</t>
  </si>
  <si>
    <t>Cra 44 # 18-64</t>
  </si>
  <si>
    <t>Ayudas diagnósticas</t>
  </si>
  <si>
    <t>05:45 am</t>
  </si>
  <si>
    <t xml:space="preserve">Exámenes de laboratorios clínicos </t>
  </si>
  <si>
    <t>Citología Cervical</t>
  </si>
  <si>
    <t>Citologia VPH</t>
  </si>
  <si>
    <t>Tiempo para desayunar</t>
  </si>
  <si>
    <t>Cra 48 # 18A - 126/134</t>
  </si>
  <si>
    <t>Administrativa</t>
  </si>
  <si>
    <t>Traslado Centro medico- Centro Medico</t>
  </si>
  <si>
    <t xml:space="preserve">CARRERA 25A #1ASUR 45 </t>
  </si>
  <si>
    <t>CENTRO COMERCIAL EL TESORO TORRE #2</t>
  </si>
  <si>
    <t>ALTA ESTETICA DENTAL</t>
  </si>
  <si>
    <t>10:00 am</t>
  </si>
  <si>
    <t>Cita Odontologia</t>
  </si>
  <si>
    <t>Tiempo para almorzar  y disfrutar del centro comercial EL TESORO</t>
  </si>
  <si>
    <t>Traslado Centro medico- Hotel</t>
  </si>
  <si>
    <t>1:30 pm</t>
  </si>
  <si>
    <t>Traslado Hotel - parque el poblado por cuenta de los pasajeros</t>
  </si>
  <si>
    <t>2:00 pm</t>
  </si>
  <si>
    <t>Tour Grafitour</t>
  </si>
  <si>
    <t>Traslado parque el poblado-Hotel por cuenta de los pasajeros</t>
  </si>
  <si>
    <t>Viernes-10 Abril -Dia Libre</t>
  </si>
  <si>
    <t xml:space="preserve">Sabado 11 Abril </t>
  </si>
  <si>
    <t>08:30 am</t>
  </si>
  <si>
    <t>Cl. 4 Sur # 43AA – 26</t>
  </si>
  <si>
    <t>Unidad Médica Torre Plaza  Cónsul, 212</t>
  </si>
  <si>
    <t>9:00 am</t>
  </si>
  <si>
    <t>Consulta con especialista en MEDICINA INTERNA</t>
  </si>
  <si>
    <t>TARDE LIBRE</t>
  </si>
  <si>
    <t>Desayuno en el hotel</t>
  </si>
  <si>
    <t>PAX</t>
  </si>
  <si>
    <t>Traslado hotel - aeropuerto</t>
  </si>
  <si>
    <t>Vuelo Medellín - Curazao</t>
  </si>
  <si>
    <t>CITA CON ESPECIALISTA MEDICO INTERNISTA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</si>
</sst>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/mm/yyyy"/>
    <numFmt numFmtId="165" formatCode="d/m/yyyy"/>
    <numFmt numFmtId="166" formatCode="dd-mm-yyyy"/>
    <numFmt numFmtId="167" formatCode="[$cop]#,##0"/>
    <numFmt numFmtId="168" formatCode="d/MM/yyyy"/>
    <numFmt numFmtId="169" formatCode="&quot;$&quot;#,##0"/>
    <numFmt numFmtId="170" formatCode="[$ $]#,##0"/>
    <numFmt numFmtId="171" formatCode="&quot;$&quot;#,##0.00"/>
    <numFmt numFmtId="172" formatCode="dddd dd mmmm"/>
    <numFmt numFmtId="173" formatCode="dd mmmm"/>
    <numFmt numFmtId="174" formatCode="dddd d mmmm"/>
  </numFmts>
  <fonts count="22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sz val="10.0"/>
      <color theme="1"/>
      <name val="Lexend"/>
    </font>
    <font>
      <sz val="10.0"/>
      <color rgb="FF212529"/>
      <name val="Lexend"/>
    </font>
    <font>
      <sz val="8.0"/>
      <color theme="1"/>
      <name val="Lexend"/>
    </font>
    <font>
      <b/>
      <sz val="8.0"/>
      <color rgb="FFFFFFFF"/>
      <name val="Lexend"/>
    </font>
    <font>
      <b/>
      <color rgb="FFFFFFFF"/>
      <name val="Lexend"/>
    </font>
    <font>
      <b/>
      <sz val="10.0"/>
      <color theme="1"/>
      <name val="Lexend"/>
    </font>
    <font>
      <b/>
      <color theme="1"/>
      <name val="Lexend"/>
    </font>
    <font>
      <b/>
      <sz val="10.0"/>
      <color rgb="FF212529"/>
      <name val="Lexend"/>
    </font>
    <font>
      <sz val="10.0"/>
      <color rgb="FF000000"/>
      <name val="Lexend"/>
    </font>
    <font>
      <b/>
      <sz val="10.0"/>
      <color rgb="FFFFFFFF"/>
      <name val="Lexend"/>
    </font>
    <font>
      <sz val="10.0"/>
      <color rgb="FFFFFFFF"/>
      <name val="Lexend"/>
    </font>
    <font>
      <b/>
      <sz val="10.0"/>
      <color rgb="FF000000"/>
      <name val="Lexend"/>
    </font>
    <font>
      <sz val="11.0"/>
      <color rgb="FF1F1F1F"/>
      <name val="Arial"/>
    </font>
    <font>
      <color theme="1"/>
      <name val="Arial"/>
      <scheme val="minor"/>
    </font>
    <font>
      <color theme="1"/>
      <name val="Lexend"/>
    </font>
    <font>
      <b/>
      <sz val="11.0"/>
      <color rgb="FF1F1F1F"/>
      <name val="Arial"/>
    </font>
    <font>
      <b/>
      <sz val="12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6D9EEB"/>
        <bgColor rgb="FF6D9EEB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</fills>
  <borders count="6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Font="1"/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vertical="center"/>
    </xf>
    <xf borderId="0" fillId="0" fontId="1" numFmtId="166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3" fontId="5" numFmtId="0" xfId="0" applyAlignment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4" fontId="8" numFmtId="0" xfId="0" applyAlignment="1" applyBorder="1" applyFill="1" applyFont="1">
      <alignment horizontal="center" shrinkToFit="0" vertical="center" wrapText="1"/>
    </xf>
    <xf borderId="2" fillId="4" fontId="8" numFmtId="0" xfId="0" applyAlignment="1" applyBorder="1" applyFont="1">
      <alignment horizontal="center" shrinkToFit="0" vertical="center" wrapText="1"/>
    </xf>
    <xf borderId="0" fillId="3" fontId="7" numFmtId="0" xfId="0" applyAlignment="1" applyFont="1">
      <alignment horizontal="center" shrinkToFit="0" vertical="center" wrapText="1"/>
    </xf>
    <xf borderId="3" fillId="5" fontId="9" numFmtId="167" xfId="0" applyAlignment="1" applyBorder="1" applyFill="1" applyFont="1" applyNumberFormat="1">
      <alignment horizontal="center" shrinkToFit="0" vertical="center" wrapText="1"/>
    </xf>
    <xf borderId="3" fillId="5" fontId="9" numFmtId="168" xfId="0" applyAlignment="1" applyBorder="1" applyFont="1" applyNumberFormat="1">
      <alignment horizontal="center" shrinkToFit="0" vertical="center" wrapText="1"/>
    </xf>
    <xf borderId="1" fillId="6" fontId="10" numFmtId="0" xfId="0" applyAlignment="1" applyBorder="1" applyFill="1" applyFont="1">
      <alignment horizontal="center" readingOrder="0" shrinkToFit="0" vertical="center" wrapText="1"/>
    </xf>
    <xf borderId="1" fillId="6" fontId="11" numFmtId="0" xfId="0" applyAlignment="1" applyBorder="1" applyFont="1">
      <alignment horizontal="center" readingOrder="0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2" fillId="7" fontId="6" numFmtId="0" xfId="0" applyAlignment="1" applyBorder="1" applyFont="1">
      <alignment horizontal="center" shrinkToFit="0" vertical="center" wrapText="1"/>
    </xf>
    <xf borderId="1" fillId="7" fontId="6" numFmtId="0" xfId="0" applyAlignment="1" applyBorder="1" applyFont="1">
      <alignment horizontal="center" shrinkToFit="0" vertical="center" wrapText="1"/>
    </xf>
    <xf borderId="0" fillId="8" fontId="5" numFmtId="169" xfId="0" applyAlignment="1" applyFill="1" applyFont="1" applyNumberFormat="1">
      <alignment horizontal="center" shrinkToFit="0" vertical="center" wrapText="1"/>
    </xf>
    <xf borderId="0" fillId="8" fontId="5" numFmtId="0" xfId="0" applyAlignment="1" applyFont="1">
      <alignment horizontal="center" shrinkToFit="0" vertical="center" wrapText="1"/>
    </xf>
    <xf borderId="4" fillId="8" fontId="10" numFmtId="0" xfId="0" applyAlignment="1" applyBorder="1" applyFont="1">
      <alignment horizontal="center" shrinkToFit="0" vertical="center" wrapText="1"/>
    </xf>
    <xf borderId="1" fillId="6" fontId="11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0" fillId="9" fontId="5" numFmtId="169" xfId="0" applyAlignment="1" applyFill="1" applyFont="1" applyNumberFormat="1">
      <alignment horizontal="center" readingOrder="0" shrinkToFit="0" vertical="center" wrapText="1"/>
    </xf>
    <xf borderId="4" fillId="8" fontId="10" numFmtId="0" xfId="0" applyAlignment="1" applyBorder="1" applyFont="1">
      <alignment horizontal="center" readingOrder="0"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0" fillId="3" fontId="5" numFmtId="166" xfId="0" applyAlignment="1" applyFont="1" applyNumberFormat="1">
      <alignment horizontal="center" readingOrder="0" shrinkToFit="0" vertical="center" wrapText="1"/>
    </xf>
    <xf borderId="0" fillId="3" fontId="5" numFmtId="169" xfId="0" applyAlignment="1" applyFont="1" applyNumberFormat="1">
      <alignment horizontal="center" shrinkToFit="0" vertical="center" wrapText="1"/>
    </xf>
    <xf borderId="0" fillId="8" fontId="5" numFmtId="0" xfId="0" applyAlignment="1" applyFont="1">
      <alignment horizontal="center" readingOrder="0" shrinkToFit="0" vertical="center" wrapText="1"/>
    </xf>
    <xf borderId="4" fillId="7" fontId="5" numFmtId="0" xfId="0" applyAlignment="1" applyBorder="1" applyFont="1">
      <alignment horizontal="center" vertical="center"/>
    </xf>
    <xf borderId="4" fillId="10" fontId="10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ont="1">
      <alignment horizontal="center" vertical="center"/>
    </xf>
    <xf borderId="0" fillId="8" fontId="10" numFmtId="0" xfId="0" applyAlignment="1" applyFont="1">
      <alignment horizontal="center" shrinkToFit="0" vertical="center" wrapText="1"/>
    </xf>
    <xf borderId="0" fillId="8" fontId="5" numFmtId="167" xfId="0" applyAlignment="1" applyFont="1" applyNumberFormat="1">
      <alignment horizontal="center" shrinkToFit="0" vertical="center" wrapText="1"/>
    </xf>
    <xf borderId="1" fillId="8" fontId="11" numFmtId="0" xfId="0" applyAlignment="1" applyBorder="1" applyFont="1">
      <alignment horizontal="center" readingOrder="0" shrinkToFit="0" vertical="center" wrapText="1"/>
    </xf>
    <xf borderId="1" fillId="11" fontId="11" numFmtId="0" xfId="0" applyAlignment="1" applyBorder="1" applyFill="1" applyFont="1">
      <alignment horizontal="center" readingOrder="0" shrinkToFit="0" vertical="center" wrapText="1"/>
    </xf>
    <xf borderId="4" fillId="7" fontId="5" numFmtId="170" xfId="0" applyAlignment="1" applyBorder="1" applyFont="1" applyNumberFormat="1">
      <alignment horizontal="center" vertical="center"/>
    </xf>
    <xf borderId="0" fillId="8" fontId="5" numFmtId="0" xfId="0" applyAlignment="1" applyFont="1">
      <alignment horizontal="center" vertical="center"/>
    </xf>
    <xf borderId="4" fillId="11" fontId="5" numFmtId="0" xfId="0" applyAlignment="1" applyBorder="1" applyFont="1">
      <alignment horizontal="center" readingOrder="0" shrinkToFit="0" vertical="center" wrapText="1"/>
    </xf>
    <xf borderId="4" fillId="6" fontId="5" numFmtId="0" xfId="0" applyAlignment="1" applyBorder="1" applyFont="1">
      <alignment horizontal="center" readingOrder="0" vertical="center"/>
    </xf>
    <xf borderId="4" fillId="7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0" fillId="3" fontId="5" numFmtId="0" xfId="0" applyAlignment="1" applyFont="1">
      <alignment horizontal="center" vertical="center"/>
    </xf>
    <xf borderId="0" fillId="8" fontId="5" numFmtId="167" xfId="0" applyAlignment="1" applyFont="1" applyNumberFormat="1">
      <alignment horizontal="center" vertical="center"/>
    </xf>
    <xf borderId="0" fillId="8" fontId="5" numFmtId="169" xfId="0" applyAlignment="1" applyFont="1" applyNumberFormat="1">
      <alignment horizontal="center" vertical="center"/>
    </xf>
    <xf borderId="4" fillId="10" fontId="5" numFmtId="171" xfId="0" applyAlignment="1" applyBorder="1" applyFont="1" applyNumberFormat="1">
      <alignment horizontal="center" vertical="center"/>
    </xf>
    <xf borderId="0" fillId="0" fontId="5" numFmtId="166" xfId="0" applyAlignment="1" applyFont="1" applyNumberFormat="1">
      <alignment horizontal="center" readingOrder="0" shrinkToFit="0" vertical="center" wrapText="1"/>
    </xf>
    <xf borderId="0" fillId="0" fontId="5" numFmtId="16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9" fontId="5" numFmtId="169" xfId="0" applyAlignment="1" applyFont="1" applyNumberFormat="1">
      <alignment horizontal="center" shrinkToFit="0" vertical="center" wrapText="1"/>
    </xf>
    <xf borderId="4" fillId="7" fontId="6" numFmtId="0" xfId="0" applyAlignment="1" applyBorder="1" applyFont="1">
      <alignment horizontal="center" shrinkToFit="0" vertical="center" wrapText="1"/>
    </xf>
    <xf borderId="4" fillId="7" fontId="6" numFmtId="0" xfId="0" applyAlignment="1" applyBorder="1" applyFont="1">
      <alignment horizontal="center" readingOrder="0" shrinkToFit="0" vertical="center" wrapText="1"/>
    </xf>
    <xf borderId="0" fillId="0" fontId="5" numFmtId="169" xfId="0" applyAlignment="1" applyFont="1" applyNumberFormat="1">
      <alignment horizontal="center" readingOrder="0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170" xfId="0" applyAlignment="1" applyBorder="1" applyFont="1" applyNumberFormat="1">
      <alignment horizontal="center" vertical="center"/>
    </xf>
    <xf borderId="4" fillId="3" fontId="5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shrinkToFit="0" vertical="center" wrapText="1"/>
    </xf>
    <xf borderId="0" fillId="9" fontId="10" numFmtId="169" xfId="0" applyAlignment="1" applyFont="1" applyNumberFormat="1">
      <alignment horizontal="center" vertical="center"/>
    </xf>
    <xf borderId="0" fillId="9" fontId="10" numFmtId="0" xfId="0" applyAlignment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0" fillId="3" fontId="5" numFmtId="169" xfId="0" applyAlignment="1" applyFont="1" applyNumberFormat="1">
      <alignment horizontal="center" vertical="center"/>
    </xf>
    <xf borderId="0" fillId="12" fontId="10" numFmtId="169" xfId="0" applyAlignment="1" applyFill="1" applyFont="1" applyNumberFormat="1">
      <alignment horizontal="center" vertical="center"/>
    </xf>
    <xf borderId="0" fillId="12" fontId="10" numFmtId="0" xfId="0" applyAlignment="1" applyFont="1">
      <alignment horizontal="center" readingOrder="0" vertical="center"/>
    </xf>
    <xf borderId="0" fillId="13" fontId="5" numFmtId="0" xfId="0" applyAlignment="1" applyFill="1" applyFont="1">
      <alignment horizontal="center" readingOrder="0" vertical="center"/>
    </xf>
    <xf borderId="0" fillId="13" fontId="10" numFmtId="169" xfId="0" applyAlignment="1" applyFont="1" applyNumberFormat="1">
      <alignment horizontal="center" vertical="center"/>
    </xf>
    <xf borderId="0" fillId="13" fontId="10" numFmtId="0" xfId="0" applyAlignment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4" fillId="4" fontId="14" numFmtId="0" xfId="0" applyAlignment="1" applyBorder="1" applyFont="1">
      <alignment horizontal="center" vertical="center"/>
    </xf>
    <xf borderId="4" fillId="4" fontId="15" numFmtId="0" xfId="0" applyAlignment="1" applyBorder="1" applyFont="1">
      <alignment horizontal="center" shrinkToFit="0" vertical="center" wrapText="1"/>
    </xf>
    <xf borderId="4" fillId="4" fontId="14" numFmtId="0" xfId="0" applyAlignment="1" applyBorder="1" applyFont="1">
      <alignment horizontal="center" readingOrder="0" vertical="center"/>
    </xf>
    <xf borderId="4" fillId="4" fontId="16" numFmtId="0" xfId="0" applyAlignment="1" applyBorder="1" applyFont="1">
      <alignment horizontal="center" vertical="center"/>
    </xf>
    <xf borderId="4" fillId="14" fontId="16" numFmtId="0" xfId="0" applyAlignment="1" applyBorder="1" applyFill="1" applyFont="1">
      <alignment horizontal="center" shrinkToFit="0" vertical="center" wrapText="1"/>
    </xf>
    <xf borderId="4" fillId="14" fontId="16" numFmtId="0" xfId="0" applyAlignment="1" applyBorder="1" applyFont="1">
      <alignment horizontal="center" vertical="center"/>
    </xf>
    <xf borderId="5" fillId="14" fontId="16" numFmtId="0" xfId="0" applyAlignment="1" applyBorder="1" applyFont="1">
      <alignment horizontal="center" shrinkToFit="0" vertical="center" wrapText="1"/>
    </xf>
    <xf borderId="4" fillId="14" fontId="13" numFmtId="0" xfId="0" applyAlignment="1" applyBorder="1" applyFont="1">
      <alignment horizontal="center" shrinkToFit="0" vertical="center" wrapText="1"/>
    </xf>
    <xf borderId="4" fillId="14" fontId="16" numFmtId="172" xfId="0" applyAlignment="1" applyBorder="1" applyFont="1" applyNumberFormat="1">
      <alignment horizontal="center" vertical="center"/>
    </xf>
    <xf borderId="4" fillId="14" fontId="13" numFmtId="0" xfId="0" applyAlignment="1" applyBorder="1" applyFont="1">
      <alignment horizontal="center" vertical="center"/>
    </xf>
    <xf borderId="4" fillId="3" fontId="13" numFmtId="0" xfId="0" applyAlignment="1" applyBorder="1" applyFont="1">
      <alignment horizontal="center" shrinkToFit="0" vertical="center" wrapText="1"/>
    </xf>
    <xf borderId="4" fillId="3" fontId="13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readingOrder="0" vertical="center"/>
    </xf>
    <xf borderId="4" fillId="0" fontId="13" numFmtId="173" xfId="0" applyAlignment="1" applyBorder="1" applyFont="1" applyNumberFormat="1">
      <alignment horizontal="center" vertical="center"/>
    </xf>
    <xf borderId="0" fillId="3" fontId="17" numFmtId="0" xfId="0" applyAlignment="1" applyFont="1">
      <alignment readingOrder="0" shrinkToFit="0" wrapText="1"/>
    </xf>
    <xf borderId="4" fillId="3" fontId="13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vertical="center"/>
    </xf>
    <xf borderId="4" fillId="14" fontId="16" numFmtId="0" xfId="0" applyAlignment="1" applyBorder="1" applyFont="1">
      <alignment horizontal="center" readingOrder="0" vertical="center"/>
    </xf>
    <xf borderId="4" fillId="3" fontId="16" numFmtId="0" xfId="0" applyAlignment="1" applyBorder="1" applyFont="1">
      <alignment horizontal="center" vertical="center"/>
    </xf>
    <xf borderId="4" fillId="0" fontId="16" numFmtId="0" xfId="0" applyAlignment="1" applyBorder="1" applyFont="1">
      <alignment horizontal="center" vertical="center"/>
    </xf>
    <xf borderId="4" fillId="15" fontId="13" numFmtId="0" xfId="0" applyAlignment="1" applyBorder="1" applyFill="1" applyFont="1">
      <alignment horizontal="center" vertical="center"/>
    </xf>
    <xf borderId="4" fillId="3" fontId="13" numFmtId="0" xfId="0" applyAlignment="1" applyBorder="1" applyFont="1">
      <alignment horizontal="center" readingOrder="0" vertical="center"/>
    </xf>
    <xf borderId="4" fillId="7" fontId="13" numFmtId="0" xfId="0" applyAlignment="1" applyBorder="1" applyFont="1">
      <alignment horizontal="center" shrinkToFit="0" vertical="center" wrapText="1"/>
    </xf>
    <xf borderId="4" fillId="3" fontId="16" numFmtId="0" xfId="0" applyAlignment="1" applyBorder="1" applyFont="1">
      <alignment horizontal="center" shrinkToFit="0" vertical="center" wrapText="1"/>
    </xf>
    <xf borderId="4" fillId="7" fontId="13" numFmtId="0" xfId="0" applyAlignment="1" applyBorder="1" applyFont="1">
      <alignment horizontal="center" readingOrder="0" shrinkToFit="0" vertical="center" wrapText="1"/>
    </xf>
    <xf borderId="0" fillId="3" fontId="13" numFmtId="0" xfId="0" applyAlignment="1" applyFont="1">
      <alignment horizontal="center" vertical="center"/>
    </xf>
    <xf borderId="4" fillId="15" fontId="13" numFmtId="0" xfId="0" applyAlignment="1" applyBorder="1" applyFont="1">
      <alignment horizontal="center" readingOrder="0" vertical="center"/>
    </xf>
    <xf borderId="0" fillId="0" fontId="18" numFmtId="0" xfId="0" applyAlignment="1" applyFont="1">
      <alignment vertical="center"/>
    </xf>
    <xf borderId="4" fillId="3" fontId="16" numFmtId="0" xfId="0" applyAlignment="1" applyBorder="1" applyFont="1">
      <alignment horizontal="center" readingOrder="0" vertical="center"/>
    </xf>
    <xf borderId="4" fillId="16" fontId="13" numFmtId="0" xfId="0" applyAlignment="1" applyBorder="1" applyFill="1" applyFont="1">
      <alignment horizontal="center" vertical="center"/>
    </xf>
    <xf borderId="1" fillId="3" fontId="11" numFmtId="0" xfId="0" applyAlignment="1" applyBorder="1" applyFont="1">
      <alignment horizontal="center" readingOrder="0" shrinkToFit="0" vertical="center" wrapText="1"/>
    </xf>
    <xf borderId="4" fillId="14" fontId="16" numFmtId="174" xfId="0" applyAlignment="1" applyBorder="1" applyFont="1" applyNumberFormat="1">
      <alignment horizontal="center" readingOrder="0" vertical="center"/>
    </xf>
    <xf borderId="0" fillId="3" fontId="13" numFmtId="0" xfId="0" applyAlignment="1" applyFont="1">
      <alignment horizontal="center" shrinkToFit="0" vertical="center" wrapText="1"/>
    </xf>
    <xf borderId="0" fillId="3" fontId="16" numFmtId="0" xfId="0" applyAlignment="1" applyFont="1">
      <alignment horizontal="center" vertical="center"/>
    </xf>
    <xf borderId="0" fillId="3" fontId="16" numFmtId="0" xfId="0" applyAlignment="1" applyFont="1">
      <alignment horizontal="center" shrinkToFit="0" vertical="center" wrapText="1"/>
    </xf>
    <xf borderId="0" fillId="3" fontId="13" numFmtId="173" xfId="0" applyAlignment="1" applyFont="1" applyNumberFormat="1">
      <alignment horizontal="center" vertical="center"/>
    </xf>
    <xf borderId="0" fillId="0" fontId="19" numFmtId="0" xfId="0" applyFont="1"/>
    <xf borderId="0" fillId="3" fontId="19" numFmtId="0" xfId="0" applyFont="1"/>
    <xf borderId="0" fillId="13" fontId="11" numFmtId="0" xfId="0" applyFont="1"/>
    <xf borderId="0" fillId="13" fontId="19" numFmtId="0" xfId="0" applyFont="1"/>
    <xf borderId="0" fillId="3" fontId="11" numFmtId="0" xfId="0" applyFont="1"/>
    <xf borderId="0" fillId="3" fontId="20" numFmtId="0" xfId="0" applyFont="1"/>
    <xf borderId="0" fillId="0" fontId="21" numFmtId="0" xfId="0" applyFont="1"/>
    <xf borderId="0" fillId="13" fontId="2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1485900</xdr:colOff>
      <xdr:row>49</xdr:row>
      <xdr:rowOff>114300</xdr:rowOff>
    </xdr:from>
    <xdr:ext cx="4876800" cy="3810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742950</xdr:colOff>
      <xdr:row>4</xdr:row>
      <xdr:rowOff>28575</xdr:rowOff>
    </xdr:from>
    <xdr:ext cx="5857875" cy="40386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8.0"/>
  </cols>
  <sheetData>
    <row r="1">
      <c r="A1" s="1"/>
      <c r="B1" s="1"/>
      <c r="C1" s="2"/>
      <c r="D1" s="3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4" t="s">
        <v>0</v>
      </c>
      <c r="B18" s="3" t="s">
        <v>1</v>
      </c>
      <c r="C18" s="2"/>
      <c r="D18" s="1"/>
      <c r="E18" s="1"/>
      <c r="F18" s="2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>
      <c r="A19" s="4" t="s">
        <v>0</v>
      </c>
      <c r="B19" s="1"/>
      <c r="C19" s="2"/>
      <c r="D19" s="1"/>
      <c r="E19" s="1"/>
      <c r="F19" s="2"/>
      <c r="G19" s="4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4" t="s">
        <v>2</v>
      </c>
      <c r="B20" s="3" t="s">
        <v>3</v>
      </c>
      <c r="C20" s="2"/>
      <c r="D20" s="1"/>
      <c r="E20" s="1"/>
      <c r="F20" s="2"/>
      <c r="G20" s="4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>
      <c r="A21" s="4" t="s">
        <v>4</v>
      </c>
      <c r="B21" s="1" t="s">
        <v>5</v>
      </c>
      <c r="C21" s="2"/>
      <c r="D21" s="1"/>
      <c r="E21" s="1"/>
      <c r="F21" s="2"/>
      <c r="G21" s="4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s="4" t="s">
        <v>6</v>
      </c>
      <c r="B22" s="3" t="s">
        <v>7</v>
      </c>
      <c r="C22" s="2"/>
      <c r="D22" s="1"/>
      <c r="E22" s="1"/>
      <c r="F22" s="2"/>
      <c r="G22" s="4"/>
      <c r="I22" s="1"/>
      <c r="J22" s="1"/>
      <c r="K22" s="1"/>
      <c r="L22" s="1"/>
      <c r="M22" s="1"/>
      <c r="N22" s="1"/>
      <c r="O22" s="1"/>
      <c r="P22" s="1"/>
      <c r="Q22" s="1"/>
    </row>
    <row r="23">
      <c r="A23" s="4" t="s">
        <v>8</v>
      </c>
      <c r="B23" s="5">
        <v>29113.0</v>
      </c>
      <c r="C23" s="2"/>
      <c r="D23" s="1"/>
      <c r="E23" s="6"/>
      <c r="F23" s="2"/>
      <c r="G23" s="4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>
      <c r="A24" s="4" t="s">
        <v>9</v>
      </c>
      <c r="B24" s="3">
        <v>47.0</v>
      </c>
      <c r="C24" s="2"/>
      <c r="D24" s="1"/>
      <c r="E24" s="1"/>
      <c r="F24" s="2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4" t="s">
        <v>10</v>
      </c>
      <c r="B25" s="1" t="s">
        <v>11</v>
      </c>
      <c r="C25" s="2"/>
      <c r="D25" s="1"/>
      <c r="E25" s="1"/>
      <c r="F25" s="2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4" t="s">
        <v>12</v>
      </c>
      <c r="B26" s="1" t="s">
        <v>13</v>
      </c>
      <c r="C26" s="2"/>
      <c r="D26" s="1"/>
      <c r="E26" s="1"/>
      <c r="F26" s="2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>
      <c r="A27" s="4" t="s">
        <v>14</v>
      </c>
      <c r="B27" s="3" t="s">
        <v>15</v>
      </c>
      <c r="C27" s="2"/>
      <c r="D27" s="1"/>
      <c r="E27" s="1"/>
      <c r="F27" s="2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s="4" t="s">
        <v>16</v>
      </c>
      <c r="B28" s="3" t="s">
        <v>17</v>
      </c>
      <c r="C28" s="2"/>
      <c r="D28" s="1"/>
      <c r="E28" s="1"/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>
      <c r="A29" s="4" t="s">
        <v>18</v>
      </c>
      <c r="B29" s="3" t="s">
        <v>19</v>
      </c>
      <c r="C29" s="2"/>
      <c r="D29" s="1"/>
      <c r="E29" s="1"/>
      <c r="F29" s="2"/>
      <c r="G29" s="4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>
      <c r="A30" s="4" t="s">
        <v>20</v>
      </c>
      <c r="B30" s="1"/>
      <c r="C30" s="2"/>
      <c r="D30" s="1"/>
      <c r="E30" s="1"/>
      <c r="F30" s="2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>
      <c r="A31" s="4" t="s">
        <v>21</v>
      </c>
      <c r="B31" s="1" t="s">
        <v>22</v>
      </c>
      <c r="C31" s="2"/>
      <c r="D31" s="1"/>
      <c r="E31" s="1"/>
      <c r="F31" s="2"/>
      <c r="G31" s="8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s="4" t="s">
        <v>23</v>
      </c>
      <c r="B32" s="3" t="s">
        <v>24</v>
      </c>
      <c r="C32" s="2"/>
      <c r="D32" s="1"/>
      <c r="E32" s="1"/>
      <c r="F32" s="2"/>
      <c r="G32" s="8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>
      <c r="A33" s="4" t="s">
        <v>25</v>
      </c>
      <c r="B33" s="1"/>
      <c r="C33" s="2"/>
      <c r="D33" s="1"/>
      <c r="E33" s="1"/>
      <c r="F33" s="2"/>
      <c r="G33" s="8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s="4" t="s">
        <v>26</v>
      </c>
      <c r="B34" s="3" t="s">
        <v>27</v>
      </c>
      <c r="C34" s="2"/>
      <c r="D34" s="1"/>
      <c r="E34" s="1"/>
      <c r="F34" s="2"/>
      <c r="G34" s="8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>
      <c r="A35" s="4" t="s">
        <v>28</v>
      </c>
      <c r="B35" s="3" t="s">
        <v>29</v>
      </c>
      <c r="C35" s="2"/>
      <c r="D35" s="1"/>
      <c r="E35" s="1"/>
      <c r="F35" s="2"/>
      <c r="G35" s="8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9" t="s">
        <v>30</v>
      </c>
      <c r="B36" s="3" t="s">
        <v>31</v>
      </c>
      <c r="C36" s="2"/>
      <c r="D36" s="1"/>
      <c r="E36" s="1"/>
      <c r="F36" s="2"/>
      <c r="G36" s="8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A37" s="1"/>
      <c r="B37" s="10"/>
      <c r="C37" s="2"/>
      <c r="D37" s="1"/>
      <c r="E37" s="1"/>
      <c r="F37" s="2"/>
      <c r="G37" s="8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3" t="s">
        <v>32</v>
      </c>
      <c r="B38" s="1"/>
      <c r="C38" s="2"/>
      <c r="D38" s="1"/>
      <c r="E38" s="1"/>
      <c r="F38" s="2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>
      <c r="A39" s="3" t="s">
        <v>33</v>
      </c>
      <c r="B39" s="1"/>
      <c r="C39" s="2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14.25"/>
    <col customWidth="1" min="3" max="3" width="11.0"/>
    <col customWidth="1" min="4" max="4" width="15.75"/>
    <col customWidth="1" min="5" max="5" width="33.25"/>
    <col customWidth="1" min="6" max="6" width="17.63"/>
    <col customWidth="1" min="7" max="7" width="16.38"/>
    <col customWidth="1" min="8" max="8" width="15.38"/>
    <col customWidth="1" min="9" max="9" width="11.5"/>
    <col customWidth="1" min="10" max="10" width="2.38"/>
    <col customWidth="1" min="11" max="11" width="13.38"/>
    <col customWidth="1" min="12" max="12" width="13.5"/>
    <col customWidth="1" min="13" max="13" width="15.13"/>
    <col customWidth="1" min="14" max="14" width="1.38"/>
    <col customWidth="1" min="15" max="15" width="25.0"/>
    <col customWidth="1" min="16" max="17" width="11.5"/>
    <col customWidth="1" min="18" max="18" width="21.63"/>
    <col customWidth="1" min="19" max="19" width="25.13"/>
    <col customWidth="1" min="20" max="20" width="14.5"/>
  </cols>
  <sheetData>
    <row r="1">
      <c r="A1" s="11"/>
      <c r="B1" s="11"/>
      <c r="C1" s="11"/>
      <c r="D1" s="11"/>
      <c r="E1" s="11"/>
      <c r="F1" s="11"/>
      <c r="G1" s="11"/>
      <c r="H1" s="11"/>
      <c r="I1" s="12"/>
      <c r="J1" s="11"/>
      <c r="K1" s="11"/>
      <c r="L1" s="11"/>
      <c r="M1" s="11"/>
      <c r="N1" s="13"/>
      <c r="O1" s="13"/>
      <c r="P1" s="13"/>
      <c r="Q1" s="13"/>
      <c r="R1" s="13"/>
      <c r="S1" s="13"/>
      <c r="T1" s="13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3"/>
      <c r="O2" s="13"/>
      <c r="P2" s="13"/>
      <c r="Q2" s="13"/>
      <c r="R2" s="13"/>
      <c r="S2" s="13"/>
      <c r="T2" s="13"/>
    </row>
    <row r="3" ht="36.0" customHeight="1">
      <c r="A3" s="14"/>
      <c r="B3" s="15" t="s">
        <v>34</v>
      </c>
      <c r="C3" s="15" t="s">
        <v>35</v>
      </c>
      <c r="D3" s="15" t="s">
        <v>36</v>
      </c>
      <c r="E3" s="16" t="s">
        <v>37</v>
      </c>
      <c r="F3" s="16" t="s">
        <v>38</v>
      </c>
      <c r="G3" s="16" t="s">
        <v>39</v>
      </c>
      <c r="H3" s="15" t="s">
        <v>40</v>
      </c>
      <c r="I3" s="15" t="s">
        <v>41</v>
      </c>
      <c r="J3" s="14"/>
      <c r="K3" s="15" t="s">
        <v>42</v>
      </c>
      <c r="L3" s="16" t="s">
        <v>43</v>
      </c>
      <c r="M3" s="16" t="s">
        <v>44</v>
      </c>
      <c r="N3" s="17"/>
      <c r="O3" s="18" t="s">
        <v>45</v>
      </c>
      <c r="P3" s="19" t="s">
        <v>46</v>
      </c>
      <c r="Q3" s="19" t="s">
        <v>47</v>
      </c>
      <c r="R3" s="19" t="s">
        <v>48</v>
      </c>
      <c r="S3" s="19" t="s">
        <v>49</v>
      </c>
      <c r="T3" s="19" t="s">
        <v>50</v>
      </c>
    </row>
    <row r="4">
      <c r="A4" s="11"/>
      <c r="B4" s="20" t="s">
        <v>51</v>
      </c>
      <c r="C4" s="20" t="s">
        <v>52</v>
      </c>
      <c r="D4" s="21" t="s">
        <v>53</v>
      </c>
      <c r="E4" s="22" t="s">
        <v>54</v>
      </c>
      <c r="F4" s="23" t="s">
        <v>55</v>
      </c>
      <c r="G4" s="23"/>
      <c r="H4" s="23"/>
      <c r="I4" s="24"/>
      <c r="J4" s="13"/>
      <c r="K4" s="25">
        <f>2750*8</f>
        <v>22000</v>
      </c>
      <c r="L4" s="25">
        <v>0.0</v>
      </c>
      <c r="M4" s="25">
        <f>K4-L4</f>
        <v>22000</v>
      </c>
      <c r="N4" s="26"/>
      <c r="O4" s="26"/>
      <c r="P4" s="26"/>
      <c r="Q4" s="26"/>
      <c r="R4" s="26"/>
      <c r="S4" s="26"/>
      <c r="T4" s="26"/>
    </row>
    <row r="5" ht="15.75" customHeight="1">
      <c r="A5" s="11"/>
      <c r="B5" s="27"/>
      <c r="C5" s="27"/>
      <c r="D5" s="28" t="s">
        <v>56</v>
      </c>
      <c r="E5" s="29" t="s">
        <v>57</v>
      </c>
      <c r="F5" s="30" t="s">
        <v>58</v>
      </c>
      <c r="G5" s="30" t="s">
        <v>59</v>
      </c>
      <c r="H5" s="29" t="s">
        <v>60</v>
      </c>
      <c r="I5" s="30" t="s">
        <v>61</v>
      </c>
      <c r="J5" s="13"/>
      <c r="K5" s="31">
        <v>13000.0</v>
      </c>
      <c r="L5" s="31">
        <v>0.0</v>
      </c>
      <c r="M5" s="31">
        <v>15000.0</v>
      </c>
      <c r="N5" s="13"/>
      <c r="O5" s="26"/>
      <c r="P5" s="26"/>
      <c r="Q5" s="26"/>
      <c r="R5" s="26"/>
      <c r="S5" s="26"/>
      <c r="T5" s="26"/>
    </row>
    <row r="6" ht="30.0" customHeight="1">
      <c r="A6" s="11"/>
      <c r="B6" s="27"/>
      <c r="C6" s="32" t="s">
        <v>62</v>
      </c>
      <c r="D6" s="28" t="s">
        <v>63</v>
      </c>
      <c r="E6" s="29" t="s">
        <v>64</v>
      </c>
      <c r="F6" s="30" t="s">
        <v>65</v>
      </c>
      <c r="G6" s="30" t="s">
        <v>66</v>
      </c>
      <c r="H6" s="29" t="s">
        <v>67</v>
      </c>
      <c r="I6" s="29" t="s">
        <v>67</v>
      </c>
      <c r="J6" s="13"/>
      <c r="K6" s="31">
        <v>15000.0</v>
      </c>
      <c r="L6" s="31">
        <v>0.0</v>
      </c>
      <c r="M6" s="31">
        <v>15000.0</v>
      </c>
      <c r="N6" s="13"/>
      <c r="O6" s="33" t="s">
        <v>65</v>
      </c>
      <c r="P6" s="34">
        <v>46120.0</v>
      </c>
      <c r="Q6" s="35">
        <f t="shared" ref="Q6:Q7" si="1">M6</f>
        <v>15000</v>
      </c>
      <c r="R6" s="33" t="s">
        <v>68</v>
      </c>
      <c r="S6" s="33" t="s">
        <v>69</v>
      </c>
      <c r="T6" s="13"/>
    </row>
    <row r="7" ht="41.25" customHeight="1">
      <c r="A7" s="11"/>
      <c r="B7" s="27"/>
      <c r="C7" s="32" t="s">
        <v>62</v>
      </c>
      <c r="D7" s="28" t="s">
        <v>63</v>
      </c>
      <c r="E7" s="29" t="s">
        <v>64</v>
      </c>
      <c r="F7" s="30" t="s">
        <v>65</v>
      </c>
      <c r="G7" s="30" t="s">
        <v>66</v>
      </c>
      <c r="H7" s="29" t="s">
        <v>67</v>
      </c>
      <c r="I7" s="29" t="s">
        <v>67</v>
      </c>
      <c r="J7" s="13"/>
      <c r="K7" s="31">
        <v>15000.0</v>
      </c>
      <c r="L7" s="31">
        <v>0.0</v>
      </c>
      <c r="M7" s="31">
        <v>15000.0</v>
      </c>
      <c r="N7" s="13"/>
      <c r="O7" s="33" t="s">
        <v>65</v>
      </c>
      <c r="P7" s="34">
        <v>46120.0</v>
      </c>
      <c r="Q7" s="35">
        <f t="shared" si="1"/>
        <v>15000</v>
      </c>
      <c r="R7" s="33" t="s">
        <v>70</v>
      </c>
      <c r="S7" s="33" t="s">
        <v>69</v>
      </c>
      <c r="T7" s="13"/>
    </row>
    <row r="8">
      <c r="A8" s="11"/>
      <c r="B8" s="27"/>
      <c r="C8" s="27"/>
      <c r="D8" s="27"/>
      <c r="E8" s="29" t="s">
        <v>71</v>
      </c>
      <c r="F8" s="30" t="s">
        <v>72</v>
      </c>
      <c r="G8" s="29" t="s">
        <v>66</v>
      </c>
      <c r="H8" s="29" t="s">
        <v>73</v>
      </c>
      <c r="I8" s="29" t="s">
        <v>73</v>
      </c>
      <c r="J8" s="13"/>
      <c r="K8" s="31">
        <v>569520.0</v>
      </c>
      <c r="L8" s="31">
        <f>K8*2%</f>
        <v>11390.4</v>
      </c>
      <c r="M8" s="31">
        <f>K8-L8</f>
        <v>558129.6</v>
      </c>
      <c r="N8" s="13"/>
      <c r="O8" s="36" t="s">
        <v>74</v>
      </c>
      <c r="P8" s="26"/>
      <c r="Q8" s="26"/>
      <c r="R8" s="26"/>
      <c r="S8" s="26"/>
      <c r="T8" s="26"/>
    </row>
    <row r="9">
      <c r="A9" s="11"/>
      <c r="B9" s="27"/>
      <c r="C9" s="27"/>
      <c r="D9" s="27"/>
      <c r="E9" s="22" t="s">
        <v>75</v>
      </c>
      <c r="F9" s="30" t="s">
        <v>72</v>
      </c>
      <c r="G9" s="37"/>
      <c r="H9" s="37"/>
      <c r="I9" s="37"/>
      <c r="J9" s="26"/>
      <c r="K9" s="31">
        <v>4000.0</v>
      </c>
      <c r="L9" s="31">
        <v>0.0</v>
      </c>
      <c r="M9" s="31">
        <v>4000.0</v>
      </c>
      <c r="N9" s="13"/>
      <c r="O9" s="26"/>
      <c r="P9" s="26"/>
      <c r="Q9" s="26"/>
      <c r="R9" s="26"/>
      <c r="S9" s="26"/>
      <c r="T9" s="26"/>
    </row>
    <row r="10">
      <c r="A10" s="11"/>
      <c r="B10" s="27"/>
      <c r="C10" s="27"/>
      <c r="D10" s="27"/>
      <c r="E10" s="38" t="s">
        <v>76</v>
      </c>
      <c r="F10" s="39"/>
      <c r="G10" s="39"/>
      <c r="H10" s="39"/>
      <c r="I10" s="39"/>
      <c r="J10" s="13"/>
      <c r="K10" s="40"/>
      <c r="L10" s="26"/>
      <c r="M10" s="41"/>
      <c r="N10" s="13"/>
      <c r="O10" s="26"/>
      <c r="P10" s="26"/>
      <c r="Q10" s="26"/>
      <c r="R10" s="26"/>
      <c r="S10" s="26"/>
      <c r="T10" s="26"/>
    </row>
    <row r="11">
      <c r="A11" s="11"/>
      <c r="B11" s="42"/>
      <c r="C11" s="42"/>
      <c r="D11" s="43" t="s">
        <v>77</v>
      </c>
      <c r="E11" s="22" t="s">
        <v>78</v>
      </c>
      <c r="F11" s="22" t="s">
        <v>72</v>
      </c>
      <c r="G11" s="37"/>
      <c r="H11" s="37"/>
      <c r="I11" s="37"/>
      <c r="J11" s="13"/>
      <c r="K11" s="40"/>
      <c r="L11" s="26"/>
      <c r="M11" s="41"/>
      <c r="N11" s="13"/>
      <c r="O11" s="26"/>
      <c r="P11" s="26"/>
      <c r="Q11" s="26"/>
      <c r="R11" s="26"/>
      <c r="S11" s="26"/>
      <c r="T11" s="26"/>
    </row>
    <row r="12" ht="27.0" customHeight="1">
      <c r="A12" s="11"/>
      <c r="B12" s="42"/>
      <c r="C12" s="42"/>
      <c r="D12" s="43" t="s">
        <v>77</v>
      </c>
      <c r="E12" s="22" t="s">
        <v>79</v>
      </c>
      <c r="F12" s="22" t="s">
        <v>72</v>
      </c>
      <c r="G12" s="44" t="s">
        <v>66</v>
      </c>
      <c r="H12" s="44" t="s">
        <v>80</v>
      </c>
      <c r="I12" s="44" t="s">
        <v>80</v>
      </c>
      <c r="J12" s="13"/>
      <c r="K12" s="45"/>
      <c r="L12" s="45"/>
      <c r="M12" s="45"/>
      <c r="N12" s="13"/>
      <c r="O12" s="26"/>
      <c r="P12" s="26"/>
      <c r="Q12" s="26"/>
      <c r="R12" s="26"/>
      <c r="S12" s="26"/>
      <c r="T12" s="26"/>
    </row>
    <row r="13">
      <c r="A13" s="11"/>
      <c r="B13" s="46" t="s">
        <v>81</v>
      </c>
      <c r="C13" s="21" t="s">
        <v>82</v>
      </c>
      <c r="D13" s="21" t="s">
        <v>83</v>
      </c>
      <c r="E13" s="22" t="s">
        <v>84</v>
      </c>
      <c r="F13" s="22" t="s">
        <v>72</v>
      </c>
      <c r="G13" s="37"/>
      <c r="H13" s="37"/>
      <c r="I13" s="37"/>
      <c r="J13" s="13"/>
      <c r="K13" s="40"/>
      <c r="L13" s="26"/>
      <c r="M13" s="41"/>
      <c r="N13" s="13"/>
      <c r="O13" s="26"/>
      <c r="P13" s="26"/>
      <c r="Q13" s="26"/>
      <c r="R13" s="26"/>
      <c r="S13" s="26"/>
      <c r="T13" s="26"/>
    </row>
    <row r="14">
      <c r="A14" s="11"/>
      <c r="B14" s="47" t="s">
        <v>85</v>
      </c>
      <c r="C14" s="21" t="s">
        <v>82</v>
      </c>
      <c r="D14" s="21" t="s">
        <v>83</v>
      </c>
      <c r="E14" s="22" t="s">
        <v>86</v>
      </c>
      <c r="F14" s="22" t="s">
        <v>72</v>
      </c>
      <c r="G14" s="37"/>
      <c r="H14" s="37"/>
      <c r="I14" s="37"/>
      <c r="J14" s="13"/>
      <c r="K14" s="40"/>
      <c r="L14" s="26"/>
      <c r="M14" s="41"/>
      <c r="N14" s="13"/>
      <c r="O14" s="26"/>
      <c r="P14" s="26"/>
      <c r="Q14" s="26"/>
      <c r="R14" s="26"/>
      <c r="S14" s="26"/>
      <c r="T14" s="26"/>
    </row>
    <row r="15">
      <c r="A15" s="11"/>
      <c r="B15" s="27"/>
      <c r="C15" s="27"/>
      <c r="D15" s="27"/>
      <c r="E15" s="38" t="s">
        <v>87</v>
      </c>
      <c r="F15" s="39"/>
      <c r="G15" s="39"/>
      <c r="H15" s="39"/>
      <c r="I15" s="39"/>
      <c r="J15" s="13"/>
      <c r="K15" s="40"/>
      <c r="L15" s="26"/>
      <c r="M15" s="41"/>
      <c r="N15" s="13"/>
      <c r="O15" s="26"/>
      <c r="P15" s="26"/>
      <c r="Q15" s="26"/>
      <c r="R15" s="26"/>
      <c r="S15" s="26"/>
      <c r="T15" s="26"/>
    </row>
    <row r="16">
      <c r="A16" s="11"/>
      <c r="B16" s="47" t="s">
        <v>85</v>
      </c>
      <c r="C16" s="21" t="s">
        <v>82</v>
      </c>
      <c r="D16" s="21" t="s">
        <v>83</v>
      </c>
      <c r="E16" s="22" t="s">
        <v>88</v>
      </c>
      <c r="F16" s="48" t="s">
        <v>72</v>
      </c>
      <c r="G16" s="37"/>
      <c r="H16" s="37"/>
      <c r="I16" s="37"/>
      <c r="J16" s="13"/>
      <c r="K16" s="40"/>
      <c r="L16" s="26"/>
      <c r="M16" s="41"/>
      <c r="N16" s="13"/>
      <c r="O16" s="26"/>
      <c r="P16" s="26"/>
      <c r="Q16" s="26"/>
      <c r="R16" s="26"/>
      <c r="S16" s="26"/>
      <c r="T16" s="26"/>
    </row>
    <row r="17">
      <c r="A17" s="11"/>
      <c r="B17" s="47" t="s">
        <v>85</v>
      </c>
      <c r="C17" s="21" t="s">
        <v>82</v>
      </c>
      <c r="D17" s="21" t="s">
        <v>83</v>
      </c>
      <c r="E17" s="22" t="s">
        <v>89</v>
      </c>
      <c r="F17" s="48" t="s">
        <v>72</v>
      </c>
      <c r="G17" s="37"/>
      <c r="H17" s="37"/>
      <c r="I17" s="37"/>
      <c r="J17" s="13"/>
      <c r="K17" s="40"/>
      <c r="L17" s="26"/>
      <c r="M17" s="41"/>
      <c r="N17" s="13"/>
      <c r="O17" s="26"/>
      <c r="P17" s="26"/>
      <c r="Q17" s="26"/>
      <c r="R17" s="26"/>
      <c r="S17" s="26"/>
      <c r="T17" s="26"/>
    </row>
    <row r="18">
      <c r="A18" s="11"/>
      <c r="B18" s="47" t="s">
        <v>85</v>
      </c>
      <c r="C18" s="21" t="s">
        <v>82</v>
      </c>
      <c r="D18" s="21" t="s">
        <v>83</v>
      </c>
      <c r="E18" s="22" t="s">
        <v>90</v>
      </c>
      <c r="F18" s="48" t="s">
        <v>72</v>
      </c>
      <c r="G18" s="37"/>
      <c r="H18" s="37"/>
      <c r="I18" s="37"/>
      <c r="J18" s="13"/>
      <c r="K18" s="40"/>
      <c r="L18" s="26"/>
      <c r="M18" s="41"/>
      <c r="N18" s="13"/>
      <c r="O18" s="26"/>
      <c r="P18" s="26"/>
      <c r="Q18" s="26"/>
      <c r="R18" s="26"/>
      <c r="S18" s="26"/>
      <c r="T18" s="26"/>
    </row>
    <row r="19">
      <c r="A19" s="11"/>
      <c r="B19" s="47" t="s">
        <v>85</v>
      </c>
      <c r="C19" s="21" t="s">
        <v>82</v>
      </c>
      <c r="D19" s="21" t="s">
        <v>83</v>
      </c>
      <c r="E19" s="22" t="s">
        <v>91</v>
      </c>
      <c r="F19" s="48" t="s">
        <v>72</v>
      </c>
      <c r="G19" s="37"/>
      <c r="H19" s="37"/>
      <c r="I19" s="37"/>
      <c r="J19" s="13"/>
      <c r="K19" s="40"/>
      <c r="L19" s="26"/>
      <c r="M19" s="41"/>
      <c r="N19" s="13"/>
      <c r="O19" s="26"/>
      <c r="P19" s="26"/>
      <c r="Q19" s="26"/>
      <c r="R19" s="26"/>
      <c r="S19" s="26"/>
      <c r="T19" s="26"/>
    </row>
    <row r="20">
      <c r="A20" s="11"/>
      <c r="B20" s="27"/>
      <c r="C20" s="27"/>
      <c r="D20" s="27"/>
      <c r="E20" s="38" t="s">
        <v>92</v>
      </c>
      <c r="F20" s="39"/>
      <c r="G20" s="39"/>
      <c r="H20" s="39"/>
      <c r="I20" s="39"/>
      <c r="J20" s="13"/>
      <c r="K20" s="40"/>
      <c r="L20" s="26"/>
      <c r="M20" s="41"/>
      <c r="N20" s="13"/>
      <c r="O20" s="26"/>
      <c r="P20" s="26"/>
      <c r="Q20" s="26"/>
      <c r="R20" s="26"/>
      <c r="S20" s="26"/>
      <c r="T20" s="26"/>
    </row>
    <row r="21">
      <c r="A21" s="49"/>
      <c r="B21" s="47" t="s">
        <v>85</v>
      </c>
      <c r="C21" s="21" t="s">
        <v>82</v>
      </c>
      <c r="D21" s="21" t="s">
        <v>83</v>
      </c>
      <c r="E21" s="22" t="s">
        <v>93</v>
      </c>
      <c r="F21" s="22" t="s">
        <v>72</v>
      </c>
      <c r="G21" s="37"/>
      <c r="H21" s="37"/>
      <c r="I21" s="37"/>
      <c r="J21" s="50"/>
      <c r="K21" s="45"/>
      <c r="L21" s="45"/>
      <c r="M21" s="51"/>
      <c r="N21" s="50"/>
      <c r="O21" s="26"/>
      <c r="P21" s="26"/>
      <c r="Q21" s="26"/>
      <c r="R21" s="26"/>
      <c r="S21" s="26"/>
      <c r="T21" s="26"/>
    </row>
    <row r="22">
      <c r="A22" s="49"/>
      <c r="B22" s="47" t="s">
        <v>85</v>
      </c>
      <c r="C22" s="21" t="s">
        <v>82</v>
      </c>
      <c r="D22" s="21" t="s">
        <v>83</v>
      </c>
      <c r="E22" s="22" t="s">
        <v>94</v>
      </c>
      <c r="F22" s="22" t="s">
        <v>72</v>
      </c>
      <c r="G22" s="37"/>
      <c r="H22" s="37"/>
      <c r="I22" s="37"/>
      <c r="J22" s="50"/>
      <c r="K22" s="45"/>
      <c r="L22" s="45"/>
      <c r="M22" s="51"/>
      <c r="N22" s="50"/>
      <c r="O22" s="26"/>
      <c r="P22" s="26"/>
      <c r="Q22" s="26"/>
      <c r="R22" s="26"/>
      <c r="S22" s="26"/>
      <c r="T22" s="26"/>
    </row>
    <row r="23">
      <c r="A23" s="49"/>
      <c r="B23" s="27"/>
      <c r="C23" s="27"/>
      <c r="D23" s="27"/>
      <c r="E23" s="38" t="s">
        <v>95</v>
      </c>
      <c r="F23" s="39"/>
      <c r="G23" s="39"/>
      <c r="H23" s="39"/>
      <c r="I23" s="39"/>
      <c r="J23" s="50"/>
      <c r="K23" s="52"/>
      <c r="L23" s="52"/>
      <c r="M23" s="51"/>
      <c r="N23" s="50"/>
      <c r="O23" s="26"/>
      <c r="P23" s="26"/>
      <c r="Q23" s="26"/>
      <c r="R23" s="26"/>
      <c r="S23" s="26"/>
      <c r="T23" s="26"/>
    </row>
    <row r="24">
      <c r="A24" s="49"/>
      <c r="B24" s="47" t="s">
        <v>85</v>
      </c>
      <c r="C24" s="21" t="s">
        <v>82</v>
      </c>
      <c r="D24" s="21" t="s">
        <v>83</v>
      </c>
      <c r="E24" s="22" t="s">
        <v>96</v>
      </c>
      <c r="F24" s="22" t="s">
        <v>72</v>
      </c>
      <c r="G24" s="37"/>
      <c r="H24" s="37"/>
      <c r="I24" s="37"/>
      <c r="J24" s="50"/>
      <c r="K24" s="52"/>
      <c r="L24" s="52"/>
      <c r="M24" s="51"/>
      <c r="N24" s="50"/>
      <c r="O24" s="26"/>
      <c r="P24" s="26"/>
      <c r="Q24" s="26"/>
      <c r="R24" s="26"/>
      <c r="S24" s="26"/>
      <c r="T24" s="26"/>
    </row>
    <row r="25">
      <c r="A25" s="49"/>
      <c r="B25" s="47" t="s">
        <v>85</v>
      </c>
      <c r="C25" s="21" t="s">
        <v>82</v>
      </c>
      <c r="D25" s="21" t="s">
        <v>83</v>
      </c>
      <c r="E25" s="22" t="s">
        <v>97</v>
      </c>
      <c r="F25" s="22" t="s">
        <v>72</v>
      </c>
      <c r="G25" s="37"/>
      <c r="H25" s="37"/>
      <c r="I25" s="37"/>
      <c r="J25" s="50"/>
      <c r="K25" s="52"/>
      <c r="L25" s="52"/>
      <c r="M25" s="51"/>
      <c r="N25" s="50"/>
      <c r="O25" s="26"/>
      <c r="P25" s="26"/>
      <c r="Q25" s="26"/>
      <c r="R25" s="26"/>
      <c r="S25" s="26"/>
      <c r="T25" s="26"/>
    </row>
    <row r="26">
      <c r="A26" s="49"/>
      <c r="B26" s="27"/>
      <c r="C26" s="27"/>
      <c r="D26" s="27"/>
      <c r="E26" s="38" t="s">
        <v>98</v>
      </c>
      <c r="F26" s="39"/>
      <c r="G26" s="39"/>
      <c r="H26" s="39"/>
      <c r="I26" s="39"/>
      <c r="J26" s="50"/>
      <c r="K26" s="52"/>
      <c r="L26" s="52"/>
      <c r="M26" s="51"/>
      <c r="N26" s="50"/>
      <c r="O26" s="26"/>
      <c r="P26" s="26"/>
      <c r="Q26" s="26"/>
      <c r="R26" s="26"/>
      <c r="S26" s="26"/>
      <c r="T26" s="26"/>
    </row>
    <row r="27">
      <c r="A27" s="13"/>
      <c r="B27" s="47" t="s">
        <v>85</v>
      </c>
      <c r="C27" s="21" t="s">
        <v>82</v>
      </c>
      <c r="D27" s="21" t="s">
        <v>83</v>
      </c>
      <c r="E27" s="22" t="s">
        <v>99</v>
      </c>
      <c r="F27" s="22" t="s">
        <v>72</v>
      </c>
      <c r="G27" s="37"/>
      <c r="H27" s="37"/>
      <c r="I27" s="37"/>
      <c r="J27" s="13"/>
      <c r="K27" s="25"/>
      <c r="L27" s="25"/>
      <c r="M27" s="25"/>
      <c r="N27" s="13"/>
      <c r="O27" s="26"/>
      <c r="P27" s="26"/>
      <c r="Q27" s="26"/>
      <c r="R27" s="26"/>
      <c r="S27" s="26"/>
      <c r="T27" s="26"/>
    </row>
    <row r="28">
      <c r="A28" s="13"/>
      <c r="B28" s="47" t="s">
        <v>85</v>
      </c>
      <c r="C28" s="21" t="s">
        <v>82</v>
      </c>
      <c r="D28" s="21" t="s">
        <v>83</v>
      </c>
      <c r="E28" s="22" t="s">
        <v>100</v>
      </c>
      <c r="F28" s="22" t="s">
        <v>72</v>
      </c>
      <c r="G28" s="37"/>
      <c r="H28" s="37"/>
      <c r="I28" s="37"/>
      <c r="J28" s="13"/>
      <c r="K28" s="25"/>
      <c r="L28" s="25"/>
      <c r="M28" s="25"/>
      <c r="N28" s="13"/>
      <c r="O28" s="26"/>
      <c r="P28" s="26"/>
      <c r="Q28" s="26"/>
      <c r="R28" s="26"/>
      <c r="S28" s="26"/>
      <c r="T28" s="26"/>
    </row>
    <row r="29">
      <c r="A29" s="13"/>
      <c r="B29" s="47" t="s">
        <v>85</v>
      </c>
      <c r="C29" s="21" t="s">
        <v>82</v>
      </c>
      <c r="D29" s="21" t="s">
        <v>83</v>
      </c>
      <c r="E29" s="22" t="s">
        <v>101</v>
      </c>
      <c r="F29" s="22" t="s">
        <v>72</v>
      </c>
      <c r="G29" s="37"/>
      <c r="H29" s="37"/>
      <c r="I29" s="37"/>
      <c r="J29" s="13"/>
      <c r="K29" s="25"/>
      <c r="L29" s="25"/>
      <c r="M29" s="25"/>
      <c r="N29" s="13"/>
      <c r="O29" s="26"/>
      <c r="P29" s="26"/>
      <c r="Q29" s="26"/>
      <c r="R29" s="26"/>
      <c r="S29" s="26"/>
      <c r="T29" s="26"/>
    </row>
    <row r="30">
      <c r="A30" s="13"/>
      <c r="B30" s="47" t="s">
        <v>85</v>
      </c>
      <c r="C30" s="21" t="s">
        <v>82</v>
      </c>
      <c r="D30" s="21" t="s">
        <v>83</v>
      </c>
      <c r="E30" s="22" t="s">
        <v>102</v>
      </c>
      <c r="F30" s="22" t="s">
        <v>72</v>
      </c>
      <c r="G30" s="37"/>
      <c r="H30" s="37"/>
      <c r="I30" s="37"/>
      <c r="J30" s="13"/>
      <c r="K30" s="25"/>
      <c r="L30" s="25"/>
      <c r="M30" s="25"/>
      <c r="N30" s="13"/>
      <c r="O30" s="26"/>
      <c r="P30" s="26"/>
      <c r="Q30" s="26"/>
      <c r="R30" s="26"/>
      <c r="S30" s="26"/>
      <c r="T30" s="26"/>
    </row>
    <row r="31">
      <c r="A31" s="13"/>
      <c r="B31" s="27"/>
      <c r="C31" s="27"/>
      <c r="D31" s="27"/>
      <c r="E31" s="38" t="s">
        <v>103</v>
      </c>
      <c r="F31" s="39"/>
      <c r="G31" s="39"/>
      <c r="H31" s="39"/>
      <c r="I31" s="53"/>
      <c r="J31" s="13"/>
      <c r="K31" s="25"/>
      <c r="L31" s="25"/>
      <c r="M31" s="25"/>
      <c r="N31" s="13"/>
      <c r="O31" s="26"/>
      <c r="P31" s="26"/>
      <c r="Q31" s="26"/>
      <c r="R31" s="26"/>
      <c r="S31" s="26"/>
      <c r="T31" s="26"/>
    </row>
    <row r="32">
      <c r="A32" s="13"/>
      <c r="B32" s="47" t="s">
        <v>85</v>
      </c>
      <c r="C32" s="21" t="s">
        <v>82</v>
      </c>
      <c r="D32" s="21" t="s">
        <v>83</v>
      </c>
      <c r="E32" s="22" t="s">
        <v>104</v>
      </c>
      <c r="F32" s="22" t="s">
        <v>72</v>
      </c>
      <c r="G32" s="37"/>
      <c r="H32" s="37"/>
      <c r="I32" s="37"/>
      <c r="J32" s="13"/>
      <c r="K32" s="25"/>
      <c r="L32" s="25"/>
      <c r="M32" s="25"/>
      <c r="N32" s="13"/>
      <c r="O32" s="26"/>
      <c r="P32" s="26"/>
      <c r="Q32" s="26"/>
      <c r="R32" s="26"/>
      <c r="S32" s="26"/>
      <c r="T32" s="26"/>
    </row>
    <row r="33">
      <c r="A33" s="13"/>
      <c r="B33" s="47" t="s">
        <v>85</v>
      </c>
      <c r="C33" s="21" t="s">
        <v>82</v>
      </c>
      <c r="D33" s="21" t="s">
        <v>83</v>
      </c>
      <c r="E33" s="22" t="s">
        <v>105</v>
      </c>
      <c r="F33" s="22" t="s">
        <v>72</v>
      </c>
      <c r="G33" s="37"/>
      <c r="H33" s="37"/>
      <c r="I33" s="37"/>
      <c r="J33" s="13"/>
      <c r="K33" s="25"/>
      <c r="L33" s="26"/>
      <c r="M33" s="25"/>
      <c r="N33" s="13"/>
      <c r="O33" s="26"/>
      <c r="P33" s="26"/>
      <c r="Q33" s="26"/>
      <c r="R33" s="26"/>
      <c r="S33" s="26"/>
      <c r="T33" s="26"/>
    </row>
    <row r="34">
      <c r="A34" s="13"/>
      <c r="B34" s="27"/>
      <c r="C34" s="27"/>
      <c r="D34" s="27"/>
      <c r="E34" s="38" t="s">
        <v>106</v>
      </c>
      <c r="F34" s="39"/>
      <c r="G34" s="39"/>
      <c r="H34" s="39"/>
      <c r="I34" s="39"/>
      <c r="J34" s="13"/>
      <c r="K34" s="25"/>
      <c r="L34" s="25"/>
      <c r="M34" s="26"/>
      <c r="N34" s="13"/>
      <c r="O34" s="26"/>
      <c r="P34" s="26"/>
      <c r="Q34" s="26"/>
      <c r="R34" s="26"/>
      <c r="S34" s="26"/>
      <c r="T34" s="26"/>
    </row>
    <row r="35">
      <c r="A35" s="13"/>
      <c r="B35" s="47" t="s">
        <v>85</v>
      </c>
      <c r="C35" s="21" t="s">
        <v>82</v>
      </c>
      <c r="D35" s="21" t="s">
        <v>83</v>
      </c>
      <c r="E35" s="22" t="s">
        <v>107</v>
      </c>
      <c r="F35" s="22" t="s">
        <v>72</v>
      </c>
      <c r="G35" s="37"/>
      <c r="H35" s="37"/>
      <c r="I35" s="37"/>
      <c r="J35" s="13"/>
      <c r="K35" s="25"/>
      <c r="L35" s="25"/>
      <c r="M35" s="25"/>
      <c r="N35" s="13"/>
      <c r="O35" s="26"/>
      <c r="P35" s="26"/>
      <c r="Q35" s="26"/>
      <c r="R35" s="26"/>
      <c r="S35" s="26"/>
      <c r="T35" s="26"/>
    </row>
    <row r="36">
      <c r="A36" s="13"/>
      <c r="B36" s="47" t="s">
        <v>85</v>
      </c>
      <c r="C36" s="21" t="s">
        <v>82</v>
      </c>
      <c r="D36" s="21" t="s">
        <v>83</v>
      </c>
      <c r="E36" s="22" t="s">
        <v>108</v>
      </c>
      <c r="F36" s="22" t="s">
        <v>72</v>
      </c>
      <c r="G36" s="37"/>
      <c r="H36" s="37"/>
      <c r="I36" s="37"/>
      <c r="J36" s="13"/>
      <c r="K36" s="25"/>
      <c r="L36" s="26"/>
      <c r="M36" s="25"/>
      <c r="N36" s="13"/>
      <c r="O36" s="26"/>
      <c r="P36" s="26"/>
      <c r="Q36" s="26"/>
      <c r="R36" s="26"/>
      <c r="S36" s="26"/>
      <c r="T36" s="26"/>
    </row>
    <row r="37">
      <c r="A37" s="11"/>
      <c r="B37" s="27"/>
      <c r="C37" s="27"/>
      <c r="D37" s="27"/>
      <c r="E37" s="38" t="s">
        <v>109</v>
      </c>
      <c r="F37" s="39"/>
      <c r="G37" s="39"/>
      <c r="H37" s="39"/>
      <c r="I37" s="39"/>
      <c r="J37" s="13"/>
      <c r="K37" s="25"/>
      <c r="L37" s="25"/>
      <c r="M37" s="25"/>
      <c r="N37" s="13"/>
      <c r="O37" s="26"/>
      <c r="P37" s="26"/>
      <c r="Q37" s="26"/>
      <c r="R37" s="26"/>
      <c r="S37" s="26"/>
      <c r="T37" s="26"/>
    </row>
    <row r="38" ht="27.0" customHeight="1">
      <c r="A38" s="11"/>
      <c r="B38" s="47" t="s">
        <v>85</v>
      </c>
      <c r="C38" s="21" t="s">
        <v>82</v>
      </c>
      <c r="D38" s="21" t="s">
        <v>83</v>
      </c>
      <c r="E38" s="22" t="s">
        <v>110</v>
      </c>
      <c r="F38" s="22" t="s">
        <v>72</v>
      </c>
      <c r="G38" s="44"/>
      <c r="H38" s="44"/>
      <c r="I38" s="44"/>
      <c r="J38" s="13"/>
      <c r="K38" s="25"/>
      <c r="L38" s="25"/>
      <c r="M38" s="25"/>
      <c r="N38" s="13"/>
      <c r="O38" s="26"/>
      <c r="P38" s="26"/>
      <c r="Q38" s="26"/>
      <c r="R38" s="26"/>
      <c r="S38" s="26"/>
      <c r="T38" s="26"/>
    </row>
    <row r="39" ht="27.0" customHeight="1">
      <c r="A39" s="11"/>
      <c r="B39" s="47" t="s">
        <v>85</v>
      </c>
      <c r="C39" s="21" t="s">
        <v>82</v>
      </c>
      <c r="D39" s="21" t="s">
        <v>83</v>
      </c>
      <c r="E39" s="22" t="s">
        <v>111</v>
      </c>
      <c r="F39" s="22" t="s">
        <v>72</v>
      </c>
      <c r="G39" s="44"/>
      <c r="H39" s="44"/>
      <c r="I39" s="44"/>
      <c r="J39" s="13"/>
      <c r="K39" s="25"/>
      <c r="L39" s="25"/>
      <c r="M39" s="25"/>
      <c r="N39" s="13"/>
      <c r="O39" s="26"/>
      <c r="P39" s="26"/>
      <c r="Q39" s="26"/>
      <c r="R39" s="26"/>
      <c r="S39" s="26"/>
      <c r="T39" s="26"/>
    </row>
    <row r="40" ht="27.0" customHeight="1">
      <c r="A40" s="11"/>
      <c r="B40" s="47" t="s">
        <v>85</v>
      </c>
      <c r="C40" s="21" t="s">
        <v>82</v>
      </c>
      <c r="D40" s="21" t="s">
        <v>83</v>
      </c>
      <c r="E40" s="22" t="s">
        <v>112</v>
      </c>
      <c r="F40" s="22" t="s">
        <v>72</v>
      </c>
      <c r="G40" s="44"/>
      <c r="H40" s="44"/>
      <c r="I40" s="44"/>
      <c r="J40" s="13"/>
      <c r="K40" s="25"/>
      <c r="L40" s="25"/>
      <c r="M40" s="25"/>
      <c r="N40" s="13"/>
      <c r="O40" s="26"/>
      <c r="P40" s="26"/>
      <c r="Q40" s="26"/>
      <c r="R40" s="26"/>
      <c r="S40" s="26"/>
      <c r="T40" s="26"/>
    </row>
    <row r="41" ht="27.0" customHeight="1">
      <c r="A41" s="11"/>
      <c r="B41" s="47" t="s">
        <v>85</v>
      </c>
      <c r="C41" s="21" t="s">
        <v>82</v>
      </c>
      <c r="D41" s="21" t="s">
        <v>83</v>
      </c>
      <c r="E41" s="22" t="s">
        <v>113</v>
      </c>
      <c r="F41" s="22" t="s">
        <v>72</v>
      </c>
      <c r="G41" s="44"/>
      <c r="H41" s="44"/>
      <c r="I41" s="44"/>
      <c r="J41" s="13"/>
      <c r="K41" s="45"/>
      <c r="L41" s="45"/>
      <c r="M41" s="45"/>
      <c r="N41" s="13"/>
      <c r="O41" s="11" t="s">
        <v>114</v>
      </c>
      <c r="P41" s="54">
        <v>46126.0</v>
      </c>
      <c r="Q41" s="55">
        <v>10000.0</v>
      </c>
      <c r="R41" s="56" t="s">
        <v>115</v>
      </c>
      <c r="S41" s="56" t="s">
        <v>116</v>
      </c>
      <c r="T41" s="11"/>
    </row>
    <row r="42" ht="27.0" customHeight="1">
      <c r="A42" s="11"/>
      <c r="B42" s="47" t="s">
        <v>85</v>
      </c>
      <c r="C42" s="21" t="s">
        <v>82</v>
      </c>
      <c r="D42" s="21" t="s">
        <v>83</v>
      </c>
      <c r="E42" s="48" t="s">
        <v>117</v>
      </c>
      <c r="F42" s="48" t="s">
        <v>114</v>
      </c>
      <c r="G42" s="44"/>
      <c r="H42" s="44"/>
      <c r="I42" s="44"/>
      <c r="J42" s="13"/>
      <c r="K42" s="31">
        <v>271000.0</v>
      </c>
      <c r="L42" s="57">
        <f>K42*4%</f>
        <v>10840</v>
      </c>
      <c r="M42" s="57">
        <f>K42-L42</f>
        <v>260160</v>
      </c>
      <c r="N42" s="13"/>
      <c r="O42" s="11" t="s">
        <v>114</v>
      </c>
      <c r="P42" s="54">
        <v>46121.0</v>
      </c>
      <c r="Q42" s="55">
        <v>250000.0</v>
      </c>
      <c r="R42" s="56" t="s">
        <v>115</v>
      </c>
      <c r="S42" s="56" t="s">
        <v>116</v>
      </c>
      <c r="T42" s="11"/>
    </row>
    <row r="43" ht="30.75" customHeight="1">
      <c r="A43" s="11"/>
      <c r="B43" s="27"/>
      <c r="C43" s="21" t="s">
        <v>118</v>
      </c>
      <c r="D43" s="21" t="s">
        <v>83</v>
      </c>
      <c r="E43" s="58" t="s">
        <v>119</v>
      </c>
      <c r="F43" s="59" t="s">
        <v>120</v>
      </c>
      <c r="G43" s="58" t="s">
        <v>121</v>
      </c>
      <c r="H43" s="58"/>
      <c r="I43" s="58"/>
      <c r="J43" s="13"/>
      <c r="K43" s="31">
        <v>307500.0</v>
      </c>
      <c r="L43" s="57">
        <v>0.0</v>
      </c>
      <c r="M43" s="57">
        <f t="shared" ref="M43:M45" si="2">K43</f>
        <v>307500</v>
      </c>
      <c r="N43" s="13"/>
      <c r="O43" s="33" t="s">
        <v>122</v>
      </c>
      <c r="P43" s="54">
        <v>46126.0</v>
      </c>
      <c r="Q43" s="60">
        <v>307500.0</v>
      </c>
      <c r="R43" s="56" t="s">
        <v>115</v>
      </c>
      <c r="S43" s="56" t="s">
        <v>116</v>
      </c>
      <c r="T43" s="13"/>
    </row>
    <row r="44">
      <c r="A44" s="11"/>
      <c r="B44" s="27"/>
      <c r="C44" s="21" t="s">
        <v>123</v>
      </c>
      <c r="D44" s="21" t="s">
        <v>83</v>
      </c>
      <c r="E44" s="58" t="s">
        <v>124</v>
      </c>
      <c r="F44" s="59" t="s">
        <v>125</v>
      </c>
      <c r="G44" s="58">
        <v>0.75</v>
      </c>
      <c r="H44" s="58"/>
      <c r="I44" s="58"/>
      <c r="J44" s="13"/>
      <c r="K44" s="31">
        <v>102500.0</v>
      </c>
      <c r="L44" s="57">
        <v>0.0</v>
      </c>
      <c r="M44" s="57">
        <f t="shared" si="2"/>
        <v>102500</v>
      </c>
      <c r="N44" s="13"/>
      <c r="O44" s="33" t="s">
        <v>126</v>
      </c>
      <c r="P44" s="54">
        <v>46126.0</v>
      </c>
      <c r="Q44" s="60">
        <v>102500.0</v>
      </c>
      <c r="R44" s="56" t="s">
        <v>115</v>
      </c>
      <c r="S44" s="56" t="s">
        <v>116</v>
      </c>
      <c r="T44" s="13"/>
    </row>
    <row r="45" ht="22.5" customHeight="1">
      <c r="A45" s="11"/>
      <c r="B45" s="27"/>
      <c r="C45" s="21" t="s">
        <v>82</v>
      </c>
      <c r="D45" s="21" t="s">
        <v>83</v>
      </c>
      <c r="E45" s="61" t="s">
        <v>127</v>
      </c>
      <c r="F45" s="62" t="s">
        <v>128</v>
      </c>
      <c r="G45" s="63" t="s">
        <v>129</v>
      </c>
      <c r="H45" s="63" t="s">
        <v>130</v>
      </c>
      <c r="I45" s="63" t="s">
        <v>131</v>
      </c>
      <c r="J45" s="13"/>
      <c r="K45" s="31">
        <f>87000*4</f>
        <v>348000</v>
      </c>
      <c r="L45" s="57">
        <v>0.0</v>
      </c>
      <c r="M45" s="57">
        <f t="shared" si="2"/>
        <v>348000</v>
      </c>
      <c r="N45" s="13"/>
      <c r="O45" s="33" t="s">
        <v>132</v>
      </c>
      <c r="P45" s="54">
        <v>46126.0</v>
      </c>
      <c r="Q45" s="60">
        <v>348000.0</v>
      </c>
      <c r="R45" s="56" t="s">
        <v>115</v>
      </c>
      <c r="S45" s="56" t="s">
        <v>116</v>
      </c>
      <c r="T45" s="13"/>
    </row>
    <row r="46" ht="15.75" customHeight="1">
      <c r="A46" s="11"/>
      <c r="B46" s="64"/>
      <c r="C46" s="64"/>
      <c r="D46" s="64"/>
      <c r="E46" s="65" t="s">
        <v>133</v>
      </c>
      <c r="F46" s="65"/>
      <c r="G46" s="65"/>
      <c r="H46" s="66" t="s">
        <v>134</v>
      </c>
      <c r="I46" s="67">
        <v>682.0</v>
      </c>
      <c r="J46" s="13"/>
      <c r="K46" s="68">
        <f>SUM(K4:K45)</f>
        <v>1667520</v>
      </c>
      <c r="L46" s="69" t="s">
        <v>135</v>
      </c>
      <c r="M46" s="50"/>
      <c r="N46" s="13"/>
      <c r="O46" s="13"/>
      <c r="P46" s="13"/>
      <c r="Q46" s="13"/>
      <c r="R46" s="13"/>
      <c r="S46" s="13"/>
      <c r="T46" s="13"/>
    </row>
    <row r="47" ht="15.75" customHeight="1">
      <c r="A47" s="11"/>
      <c r="B47" s="50"/>
      <c r="C47" s="50"/>
      <c r="D47" s="50"/>
      <c r="E47" s="50"/>
      <c r="F47" s="50"/>
      <c r="G47" s="50"/>
      <c r="H47" s="70" t="s">
        <v>136</v>
      </c>
      <c r="I47" s="71">
        <f>I46*3500</f>
        <v>2387000</v>
      </c>
      <c r="J47" s="50"/>
      <c r="K47" s="72">
        <f>I47</f>
        <v>2387000</v>
      </c>
      <c r="L47" s="73" t="s">
        <v>137</v>
      </c>
      <c r="M47" s="50"/>
      <c r="N47" s="13"/>
      <c r="O47" s="13"/>
      <c r="P47" s="13"/>
      <c r="Q47" s="13"/>
      <c r="R47" s="13"/>
      <c r="S47" s="13"/>
      <c r="T47" s="13"/>
    </row>
    <row r="48" ht="15.75" customHeight="1">
      <c r="A48" s="11"/>
      <c r="B48" s="50"/>
      <c r="C48" s="50"/>
      <c r="D48" s="50"/>
      <c r="E48" s="50"/>
      <c r="F48" s="74" t="s">
        <v>138</v>
      </c>
      <c r="G48" s="50"/>
      <c r="H48" s="50"/>
      <c r="I48" s="50"/>
      <c r="J48" s="50"/>
      <c r="K48" s="75">
        <f>K47-K46</f>
        <v>719480</v>
      </c>
      <c r="L48" s="76" t="s">
        <v>139</v>
      </c>
      <c r="M48" s="50"/>
      <c r="N48" s="13"/>
      <c r="O48" s="13"/>
      <c r="P48" s="13"/>
      <c r="Q48" s="13"/>
      <c r="R48" s="13"/>
      <c r="S48" s="13"/>
      <c r="T48" s="13"/>
    </row>
    <row r="49" ht="15.75" customHeight="1">
      <c r="A49" s="11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70"/>
      <c r="N49" s="13"/>
      <c r="O49" s="13"/>
      <c r="P49" s="13"/>
      <c r="Q49" s="13"/>
      <c r="R49" s="13"/>
      <c r="S49" s="13"/>
      <c r="T49" s="13"/>
    </row>
    <row r="50" ht="15.75" customHeight="1">
      <c r="A50" s="11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13"/>
      <c r="O50" s="13"/>
      <c r="P50" s="13"/>
      <c r="Q50" s="13"/>
      <c r="R50" s="13"/>
      <c r="S50" s="13"/>
      <c r="T50" s="13"/>
    </row>
    <row r="51" ht="15.75" customHeight="1">
      <c r="A51" s="11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13"/>
      <c r="O51" s="13"/>
      <c r="P51" s="13"/>
      <c r="Q51" s="13"/>
      <c r="R51" s="13"/>
      <c r="S51" s="13"/>
      <c r="T51" s="13"/>
    </row>
    <row r="52" ht="15.75" customHeight="1">
      <c r="A52" s="11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13"/>
      <c r="O52" s="13"/>
      <c r="P52" s="13"/>
      <c r="Q52" s="13"/>
      <c r="R52" s="13"/>
      <c r="S52" s="13"/>
      <c r="T52" s="13"/>
    </row>
    <row r="53" ht="15.75" customHeight="1">
      <c r="A53" s="11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13"/>
      <c r="O53" s="13"/>
      <c r="P53" s="13"/>
      <c r="Q53" s="13"/>
      <c r="R53" s="13"/>
      <c r="S53" s="13"/>
      <c r="T53" s="13"/>
    </row>
    <row r="54" ht="15.75" customHeight="1">
      <c r="A54" s="11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13"/>
      <c r="O54" s="13"/>
      <c r="P54" s="13"/>
      <c r="Q54" s="13"/>
      <c r="R54" s="13"/>
      <c r="S54" s="13"/>
      <c r="T54" s="13"/>
    </row>
    <row r="55" ht="15.75" customHeight="1">
      <c r="A55" s="11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13"/>
      <c r="O55" s="13"/>
      <c r="P55" s="13"/>
      <c r="Q55" s="13"/>
      <c r="R55" s="13"/>
      <c r="S55" s="13"/>
      <c r="T55" s="13"/>
    </row>
    <row r="56" ht="15.75" customHeight="1">
      <c r="A56" s="11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13"/>
      <c r="O56" s="13"/>
      <c r="P56" s="13"/>
      <c r="Q56" s="13"/>
      <c r="R56" s="13"/>
      <c r="S56" s="13"/>
      <c r="T56" s="13"/>
    </row>
    <row r="57" ht="15.75" customHeight="1">
      <c r="A57" s="11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13"/>
      <c r="O57" s="13"/>
      <c r="P57" s="13"/>
      <c r="Q57" s="13"/>
      <c r="R57" s="13"/>
      <c r="S57" s="13"/>
      <c r="T57" s="13"/>
    </row>
    <row r="58" ht="15.75" customHeight="1">
      <c r="A58" s="11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13"/>
      <c r="O58" s="13"/>
      <c r="P58" s="13"/>
      <c r="Q58" s="13"/>
      <c r="R58" s="13"/>
      <c r="S58" s="13"/>
      <c r="T58" s="13"/>
    </row>
    <row r="59" ht="15.75" customHeight="1">
      <c r="A59" s="11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13"/>
      <c r="O59" s="13"/>
      <c r="P59" s="13"/>
      <c r="Q59" s="13"/>
      <c r="R59" s="13"/>
      <c r="S59" s="13"/>
      <c r="T59" s="13"/>
    </row>
    <row r="60" ht="15.75" customHeight="1">
      <c r="A60" s="11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13"/>
      <c r="O60" s="13"/>
      <c r="P60" s="13"/>
      <c r="Q60" s="13"/>
      <c r="R60" s="13"/>
      <c r="S60" s="13"/>
      <c r="T60" s="13"/>
    </row>
    <row r="61" ht="15.75" customHeight="1">
      <c r="A61" s="11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13"/>
      <c r="O61" s="13"/>
      <c r="P61" s="13"/>
      <c r="Q61" s="13"/>
      <c r="R61" s="13"/>
      <c r="S61" s="13"/>
      <c r="T61" s="13"/>
    </row>
    <row r="62" ht="15.75" customHeight="1">
      <c r="A62" s="11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13"/>
      <c r="O62" s="13"/>
      <c r="P62" s="13"/>
      <c r="Q62" s="13"/>
      <c r="R62" s="13"/>
      <c r="S62" s="13"/>
      <c r="T62" s="13"/>
    </row>
    <row r="63" ht="15.75" customHeight="1">
      <c r="A63" s="11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13"/>
      <c r="O63" s="13"/>
      <c r="P63" s="13"/>
      <c r="Q63" s="13"/>
      <c r="R63" s="13"/>
      <c r="S63" s="13"/>
      <c r="T63" s="13"/>
    </row>
    <row r="64" ht="15.75" customHeight="1">
      <c r="A64" s="11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13"/>
      <c r="O64" s="13"/>
      <c r="P64" s="13"/>
      <c r="Q64" s="13"/>
      <c r="R64" s="13"/>
      <c r="S64" s="13"/>
      <c r="T64" s="13"/>
    </row>
    <row r="65" ht="15.75" customHeight="1">
      <c r="A65" s="11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13"/>
      <c r="O65" s="13"/>
      <c r="P65" s="13"/>
      <c r="Q65" s="13"/>
      <c r="R65" s="13"/>
      <c r="S65" s="13"/>
      <c r="T65" s="13"/>
    </row>
    <row r="66" ht="15.75" customHeight="1">
      <c r="A66" s="11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13"/>
      <c r="O66" s="13"/>
      <c r="P66" s="13"/>
      <c r="Q66" s="13"/>
      <c r="R66" s="13"/>
      <c r="S66" s="13"/>
      <c r="T66" s="13"/>
    </row>
    <row r="67" ht="15.75" customHeight="1">
      <c r="A67" s="11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13"/>
      <c r="O67" s="13"/>
      <c r="P67" s="13"/>
      <c r="Q67" s="13"/>
      <c r="R67" s="13"/>
      <c r="S67" s="13"/>
      <c r="T67" s="13"/>
    </row>
    <row r="68" ht="15.75" customHeight="1">
      <c r="A68" s="11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13"/>
      <c r="O68" s="13"/>
      <c r="P68" s="13"/>
      <c r="Q68" s="13"/>
      <c r="R68" s="13"/>
      <c r="S68" s="13"/>
      <c r="T68" s="13"/>
    </row>
    <row r="69" ht="15.75" customHeight="1">
      <c r="A69" s="11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13"/>
      <c r="O69" s="13"/>
      <c r="P69" s="13"/>
      <c r="Q69" s="13"/>
      <c r="R69" s="13"/>
      <c r="S69" s="13"/>
      <c r="T69" s="13"/>
    </row>
    <row r="70" ht="15.75" customHeight="1">
      <c r="A70" s="11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13"/>
      <c r="O70" s="13"/>
      <c r="P70" s="13"/>
      <c r="Q70" s="13"/>
      <c r="R70" s="13"/>
      <c r="S70" s="13"/>
      <c r="T70" s="13"/>
    </row>
    <row r="71" ht="15.75" customHeight="1">
      <c r="A71" s="11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13"/>
      <c r="O71" s="13"/>
      <c r="P71" s="13"/>
      <c r="Q71" s="13"/>
      <c r="R71" s="13"/>
      <c r="S71" s="13"/>
      <c r="T71" s="13"/>
    </row>
    <row r="72" ht="15.75" customHeight="1">
      <c r="A72" s="11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13"/>
      <c r="O72" s="13"/>
      <c r="P72" s="13"/>
      <c r="Q72" s="13"/>
      <c r="R72" s="13"/>
      <c r="S72" s="13"/>
      <c r="T72" s="13"/>
    </row>
    <row r="73" ht="15.75" customHeight="1">
      <c r="A73" s="11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13"/>
      <c r="O73" s="13"/>
      <c r="P73" s="13"/>
      <c r="Q73" s="13"/>
      <c r="R73" s="13"/>
      <c r="S73" s="13"/>
      <c r="T73" s="13"/>
    </row>
    <row r="74" ht="15.75" customHeight="1">
      <c r="A74" s="11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13"/>
      <c r="O74" s="13"/>
      <c r="P74" s="13"/>
      <c r="Q74" s="13"/>
      <c r="R74" s="13"/>
      <c r="S74" s="13"/>
      <c r="T74" s="13"/>
    </row>
    <row r="75" ht="15.75" customHeight="1">
      <c r="A75" s="11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13"/>
      <c r="O75" s="13"/>
      <c r="P75" s="13"/>
      <c r="Q75" s="13"/>
      <c r="R75" s="13"/>
      <c r="S75" s="13"/>
      <c r="T75" s="13"/>
    </row>
    <row r="76" ht="15.75" customHeight="1">
      <c r="A76" s="11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13"/>
      <c r="O76" s="13"/>
      <c r="P76" s="13"/>
      <c r="Q76" s="13"/>
      <c r="R76" s="13"/>
      <c r="S76" s="13"/>
      <c r="T76" s="13"/>
    </row>
    <row r="77" ht="15.75" customHeight="1">
      <c r="A77" s="11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13"/>
      <c r="O77" s="13"/>
      <c r="P77" s="13"/>
      <c r="Q77" s="13"/>
      <c r="R77" s="13"/>
      <c r="S77" s="13"/>
      <c r="T77" s="13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13"/>
    <col customWidth="1" min="2" max="2" width="16.0"/>
    <col customWidth="1" min="3" max="3" width="19.88"/>
    <col customWidth="1" min="4" max="4" width="14.25"/>
    <col customWidth="1" min="5" max="5" width="18.75"/>
    <col customWidth="1" min="6" max="6" width="9.88"/>
    <col customWidth="1" min="7" max="7" width="56.88"/>
    <col customWidth="1" min="8" max="8" width="8.38"/>
    <col customWidth="1" min="9" max="9" width="10.88"/>
    <col customWidth="1" min="10" max="11" width="11.0"/>
  </cols>
  <sheetData>
    <row r="1" ht="23.25" customHeight="1">
      <c r="A1" s="77"/>
      <c r="B1" s="78" t="s">
        <v>140</v>
      </c>
      <c r="C1" s="78" t="s">
        <v>141</v>
      </c>
      <c r="D1" s="79" t="s">
        <v>142</v>
      </c>
      <c r="E1" s="80"/>
      <c r="F1" s="78" t="s">
        <v>143</v>
      </c>
      <c r="G1" s="80" t="s">
        <v>144</v>
      </c>
      <c r="H1" s="78"/>
      <c r="I1" s="81"/>
      <c r="J1" s="77"/>
      <c r="K1" s="77"/>
    </row>
    <row r="2">
      <c r="A2" s="77"/>
      <c r="B2" s="82"/>
      <c r="C2" s="82"/>
      <c r="D2" s="82"/>
      <c r="E2" s="82"/>
      <c r="F2" s="83"/>
      <c r="G2" s="82" t="s">
        <v>145</v>
      </c>
      <c r="H2" s="84" t="s">
        <v>146</v>
      </c>
      <c r="I2" s="84" t="s">
        <v>147</v>
      </c>
      <c r="J2" s="77"/>
      <c r="K2" s="77"/>
    </row>
    <row r="3">
      <c r="A3" s="77"/>
      <c r="B3" s="82"/>
      <c r="C3" s="82"/>
      <c r="D3" s="82"/>
      <c r="E3" s="82"/>
      <c r="F3" s="85">
        <v>1.0</v>
      </c>
      <c r="G3" s="86">
        <v>46118.0</v>
      </c>
      <c r="H3" s="87"/>
      <c r="I3" s="87"/>
      <c r="J3" s="77"/>
      <c r="K3" s="77"/>
    </row>
    <row r="4">
      <c r="A4" s="77"/>
      <c r="B4" s="88" t="s">
        <v>148</v>
      </c>
      <c r="C4" s="89"/>
      <c r="D4" s="88"/>
      <c r="E4" s="89"/>
      <c r="F4" s="89"/>
      <c r="G4" s="90" t="s">
        <v>149</v>
      </c>
      <c r="H4" s="91"/>
      <c r="I4" s="91"/>
      <c r="J4" s="77"/>
      <c r="K4" s="77"/>
    </row>
    <row r="5">
      <c r="A5" s="77"/>
      <c r="B5" s="88" t="s">
        <v>148</v>
      </c>
      <c r="C5" s="89"/>
      <c r="D5" s="88"/>
      <c r="E5" s="89"/>
      <c r="F5" s="89"/>
      <c r="G5" s="90" t="s">
        <v>150</v>
      </c>
      <c r="H5" s="91"/>
      <c r="I5" s="91"/>
      <c r="J5" s="77"/>
      <c r="K5" s="77"/>
    </row>
    <row r="6">
      <c r="A6" s="77"/>
      <c r="B6" s="88" t="s">
        <v>148</v>
      </c>
      <c r="C6" s="92" t="s">
        <v>151</v>
      </c>
      <c r="D6" s="88"/>
      <c r="E6" s="93" t="s">
        <v>152</v>
      </c>
      <c r="F6" s="89"/>
      <c r="G6" s="89" t="s">
        <v>153</v>
      </c>
      <c r="H6" s="94"/>
      <c r="I6" s="94"/>
      <c r="J6" s="77"/>
      <c r="K6" s="77"/>
    </row>
    <row r="7">
      <c r="A7" s="77"/>
      <c r="B7" s="87"/>
      <c r="C7" s="87"/>
      <c r="D7" s="85"/>
      <c r="E7" s="87"/>
      <c r="F7" s="85"/>
      <c r="G7" s="95" t="s">
        <v>154</v>
      </c>
      <c r="H7" s="87"/>
      <c r="I7" s="87"/>
      <c r="J7" s="77"/>
      <c r="K7" s="77"/>
    </row>
    <row r="8">
      <c r="A8" s="77"/>
      <c r="B8" s="87"/>
      <c r="C8" s="87"/>
      <c r="D8" s="85"/>
      <c r="E8" s="87"/>
      <c r="F8" s="85"/>
      <c r="G8" s="83" t="s">
        <v>155</v>
      </c>
      <c r="H8" s="87"/>
      <c r="I8" s="87"/>
      <c r="J8" s="77"/>
      <c r="K8" s="77"/>
    </row>
    <row r="9">
      <c r="A9" s="77"/>
      <c r="B9" s="87"/>
      <c r="C9" s="87"/>
      <c r="D9" s="85"/>
      <c r="E9" s="87"/>
      <c r="F9" s="85">
        <v>2.0</v>
      </c>
      <c r="G9" s="86">
        <v>46121.0</v>
      </c>
      <c r="H9" s="87"/>
      <c r="I9" s="87"/>
      <c r="J9" s="77"/>
      <c r="K9" s="77"/>
    </row>
    <row r="10">
      <c r="A10" s="77"/>
      <c r="B10" s="88"/>
      <c r="C10" s="89"/>
      <c r="D10" s="88"/>
      <c r="E10" s="89"/>
      <c r="F10" s="96"/>
      <c r="G10" s="97" t="s">
        <v>156</v>
      </c>
      <c r="H10" s="94"/>
      <c r="I10" s="94"/>
      <c r="J10" s="77"/>
      <c r="K10" s="77"/>
    </row>
    <row r="11" ht="20.25" customHeight="1">
      <c r="A11" s="77"/>
      <c r="B11" s="21" t="s">
        <v>83</v>
      </c>
      <c r="C11" s="89"/>
      <c r="D11" s="88"/>
      <c r="E11" s="93" t="s">
        <v>120</v>
      </c>
      <c r="F11" s="89" t="s">
        <v>157</v>
      </c>
      <c r="G11" s="98" t="s">
        <v>158</v>
      </c>
      <c r="H11" s="94">
        <v>0.5</v>
      </c>
      <c r="I11" s="94">
        <v>1.0</v>
      </c>
      <c r="J11" s="77"/>
      <c r="K11" s="77"/>
    </row>
    <row r="12">
      <c r="A12" s="77"/>
      <c r="B12" s="21" t="s">
        <v>83</v>
      </c>
      <c r="C12" s="99" t="s">
        <v>159</v>
      </c>
      <c r="D12" s="88" t="s">
        <v>160</v>
      </c>
      <c r="E12" s="88" t="s">
        <v>72</v>
      </c>
      <c r="F12" s="89" t="s">
        <v>161</v>
      </c>
      <c r="G12" s="100" t="s">
        <v>112</v>
      </c>
      <c r="H12" s="94"/>
      <c r="I12" s="94"/>
      <c r="J12" s="77"/>
      <c r="K12" s="77"/>
    </row>
    <row r="13" ht="13.5" customHeight="1">
      <c r="A13" s="77"/>
      <c r="B13" s="21" t="s">
        <v>83</v>
      </c>
      <c r="C13" s="89"/>
      <c r="D13" s="88"/>
      <c r="E13" s="101"/>
      <c r="F13" s="96"/>
      <c r="G13" s="100" t="s">
        <v>113</v>
      </c>
      <c r="H13" s="94"/>
      <c r="I13" s="94"/>
      <c r="J13" s="77"/>
      <c r="K13" s="77"/>
    </row>
    <row r="14" ht="15.0" customHeight="1">
      <c r="A14" s="77"/>
      <c r="B14" s="21" t="s">
        <v>83</v>
      </c>
      <c r="C14" s="89"/>
      <c r="D14" s="88"/>
      <c r="E14" s="101"/>
      <c r="F14" s="96"/>
      <c r="G14" s="100" t="s">
        <v>162</v>
      </c>
      <c r="H14" s="94"/>
      <c r="I14" s="94"/>
      <c r="J14" s="77"/>
      <c r="K14" s="77"/>
    </row>
    <row r="15">
      <c r="A15" s="77"/>
      <c r="B15" s="21" t="s">
        <v>83</v>
      </c>
      <c r="C15" s="89"/>
      <c r="D15" s="88"/>
      <c r="E15" s="89"/>
      <c r="F15" s="89"/>
      <c r="G15" s="102" t="s">
        <v>163</v>
      </c>
      <c r="H15" s="89"/>
      <c r="I15" s="89"/>
      <c r="J15" s="103"/>
      <c r="K15" s="103"/>
    </row>
    <row r="16">
      <c r="A16" s="77"/>
      <c r="B16" s="21" t="s">
        <v>83</v>
      </c>
      <c r="C16" s="89"/>
      <c r="D16" s="88"/>
      <c r="E16" s="89"/>
      <c r="F16" s="96"/>
      <c r="G16" s="102" t="s">
        <v>164</v>
      </c>
      <c r="H16" s="94"/>
      <c r="I16" s="94"/>
      <c r="J16" s="77"/>
      <c r="K16" s="77"/>
    </row>
    <row r="17">
      <c r="A17" s="77"/>
      <c r="B17" s="21" t="s">
        <v>83</v>
      </c>
      <c r="C17" s="89"/>
      <c r="D17" s="88"/>
      <c r="E17" s="89"/>
      <c r="F17" s="96"/>
      <c r="G17" s="100" t="s">
        <v>110</v>
      </c>
      <c r="H17" s="94"/>
      <c r="I17" s="94"/>
      <c r="J17" s="77"/>
      <c r="K17" s="77"/>
    </row>
    <row r="18">
      <c r="A18" s="77"/>
      <c r="B18" s="89"/>
      <c r="C18" s="89"/>
      <c r="D18" s="88"/>
      <c r="E18" s="89"/>
      <c r="F18" s="96"/>
      <c r="G18" s="89" t="s">
        <v>165</v>
      </c>
      <c r="H18" s="94"/>
      <c r="I18" s="94"/>
      <c r="J18" s="77"/>
      <c r="K18" s="77"/>
    </row>
    <row r="19">
      <c r="A19" s="77"/>
      <c r="B19" s="21" t="s">
        <v>83</v>
      </c>
      <c r="C19" s="99" t="s">
        <v>166</v>
      </c>
      <c r="D19" s="88" t="s">
        <v>167</v>
      </c>
      <c r="E19" s="88" t="s">
        <v>72</v>
      </c>
      <c r="F19" s="89"/>
      <c r="G19" s="100" t="s">
        <v>111</v>
      </c>
      <c r="H19" s="94"/>
      <c r="I19" s="94"/>
      <c r="J19" s="77"/>
      <c r="K19" s="77"/>
    </row>
    <row r="20">
      <c r="A20" s="77"/>
      <c r="B20" s="89"/>
      <c r="C20" s="93"/>
      <c r="D20" s="93"/>
      <c r="E20" s="93"/>
      <c r="F20" s="99"/>
      <c r="G20" s="104" t="s">
        <v>168</v>
      </c>
      <c r="H20" s="94"/>
      <c r="I20" s="90">
        <v>1.0</v>
      </c>
      <c r="J20" s="77"/>
      <c r="K20" s="77"/>
    </row>
    <row r="21">
      <c r="A21" s="77"/>
      <c r="B21" s="21" t="s">
        <v>83</v>
      </c>
      <c r="C21" s="93" t="s">
        <v>169</v>
      </c>
      <c r="D21" s="93" t="s">
        <v>170</v>
      </c>
      <c r="E21" s="93" t="s">
        <v>171</v>
      </c>
      <c r="F21" s="99" t="s">
        <v>172</v>
      </c>
      <c r="G21" s="100" t="s">
        <v>173</v>
      </c>
      <c r="H21" s="94"/>
      <c r="I21" s="94"/>
      <c r="J21" s="77"/>
      <c r="K21" s="77"/>
    </row>
    <row r="22">
      <c r="A22" s="77"/>
      <c r="B22" s="89"/>
      <c r="C22" s="89"/>
      <c r="D22" s="88"/>
      <c r="E22" s="88"/>
      <c r="F22" s="99"/>
      <c r="G22" s="99" t="s">
        <v>174</v>
      </c>
      <c r="H22" s="94"/>
      <c r="I22" s="94"/>
      <c r="J22" s="77"/>
      <c r="K22" s="77"/>
    </row>
    <row r="23">
      <c r="A23" s="105"/>
      <c r="B23" s="21" t="s">
        <v>83</v>
      </c>
      <c r="C23" s="89"/>
      <c r="D23" s="88"/>
      <c r="E23" s="93" t="s">
        <v>120</v>
      </c>
      <c r="F23" s="99"/>
      <c r="G23" s="104" t="s">
        <v>175</v>
      </c>
      <c r="H23" s="94"/>
      <c r="I23" s="90">
        <v>1.0</v>
      </c>
      <c r="J23" s="105"/>
      <c r="K23" s="105"/>
    </row>
    <row r="24">
      <c r="A24" s="77"/>
      <c r="B24" s="89"/>
      <c r="C24" s="89"/>
      <c r="D24" s="88"/>
      <c r="E24" s="88"/>
      <c r="F24" s="99" t="s">
        <v>176</v>
      </c>
      <c r="G24" s="99" t="s">
        <v>177</v>
      </c>
      <c r="H24" s="94"/>
      <c r="I24" s="94"/>
      <c r="J24" s="77"/>
      <c r="K24" s="77"/>
    </row>
    <row r="25">
      <c r="A25" s="77"/>
      <c r="B25" s="21" t="s">
        <v>83</v>
      </c>
      <c r="C25" s="89"/>
      <c r="D25" s="88"/>
      <c r="E25" s="93" t="s">
        <v>128</v>
      </c>
      <c r="F25" s="99" t="s">
        <v>178</v>
      </c>
      <c r="G25" s="21" t="s">
        <v>179</v>
      </c>
      <c r="H25" s="94"/>
      <c r="I25" s="94"/>
      <c r="J25" s="77"/>
      <c r="K25" s="77"/>
    </row>
    <row r="26">
      <c r="A26" s="77"/>
      <c r="B26" s="89"/>
      <c r="C26" s="89"/>
      <c r="D26" s="88"/>
      <c r="E26" s="88"/>
      <c r="F26" s="99"/>
      <c r="G26" s="99" t="s">
        <v>180</v>
      </c>
      <c r="H26" s="94"/>
      <c r="I26" s="94"/>
      <c r="J26" s="77"/>
      <c r="K26" s="77"/>
    </row>
    <row r="27">
      <c r="A27" s="77"/>
      <c r="B27" s="87"/>
      <c r="C27" s="87"/>
      <c r="D27" s="85"/>
      <c r="E27" s="87"/>
      <c r="F27" s="85">
        <v>3.0</v>
      </c>
      <c r="G27" s="95" t="s">
        <v>181</v>
      </c>
      <c r="H27" s="87"/>
      <c r="I27" s="87"/>
      <c r="J27" s="77"/>
      <c r="K27" s="77"/>
    </row>
    <row r="28">
      <c r="A28" s="77"/>
      <c r="B28" s="87"/>
      <c r="C28" s="87"/>
      <c r="D28" s="85"/>
      <c r="E28" s="87"/>
      <c r="F28" s="85">
        <v>4.0</v>
      </c>
      <c r="G28" s="95" t="s">
        <v>182</v>
      </c>
      <c r="H28" s="87"/>
      <c r="I28" s="87"/>
      <c r="J28" s="77"/>
      <c r="K28" s="77"/>
    </row>
    <row r="29">
      <c r="A29" s="77"/>
      <c r="B29" s="89"/>
      <c r="C29" s="89"/>
      <c r="D29" s="88"/>
      <c r="E29" s="89"/>
      <c r="F29" s="88"/>
      <c r="G29" s="99" t="s">
        <v>165</v>
      </c>
      <c r="H29" s="89"/>
      <c r="I29" s="89"/>
      <c r="J29" s="77"/>
      <c r="K29" s="77"/>
    </row>
    <row r="30">
      <c r="A30" s="77"/>
      <c r="B30" s="89"/>
      <c r="C30" s="89"/>
      <c r="D30" s="88"/>
      <c r="E30" s="93" t="s">
        <v>120</v>
      </c>
      <c r="F30" s="99" t="s">
        <v>183</v>
      </c>
      <c r="G30" s="98" t="s">
        <v>158</v>
      </c>
      <c r="H30" s="94">
        <v>0.25</v>
      </c>
      <c r="I30" s="94">
        <v>1.0</v>
      </c>
      <c r="J30" s="77"/>
      <c r="K30" s="77"/>
    </row>
    <row r="31">
      <c r="A31" s="77"/>
      <c r="B31" s="21" t="s">
        <v>83</v>
      </c>
      <c r="C31" s="99" t="s">
        <v>184</v>
      </c>
      <c r="D31" s="93" t="s">
        <v>185</v>
      </c>
      <c r="E31" s="93" t="s">
        <v>114</v>
      </c>
      <c r="F31" s="106" t="s">
        <v>186</v>
      </c>
      <c r="G31" s="107" t="s">
        <v>187</v>
      </c>
      <c r="H31" s="94"/>
      <c r="I31" s="94"/>
      <c r="J31" s="77"/>
      <c r="K31" s="77"/>
    </row>
    <row r="32">
      <c r="A32" s="77"/>
      <c r="B32" s="108"/>
      <c r="C32" s="99"/>
      <c r="D32" s="93"/>
      <c r="E32" s="93"/>
      <c r="F32" s="99" t="s">
        <v>172</v>
      </c>
      <c r="G32" s="104" t="s">
        <v>175</v>
      </c>
      <c r="H32" s="94"/>
      <c r="I32" s="94"/>
      <c r="J32" s="77"/>
      <c r="K32" s="77"/>
    </row>
    <row r="33">
      <c r="A33" s="77"/>
      <c r="B33" s="99"/>
      <c r="C33" s="99"/>
      <c r="D33" s="99"/>
      <c r="E33" s="99"/>
      <c r="F33" s="99"/>
      <c r="G33" s="99" t="s">
        <v>188</v>
      </c>
      <c r="H33" s="99"/>
      <c r="I33" s="99"/>
      <c r="J33" s="77"/>
      <c r="K33" s="77"/>
    </row>
    <row r="34">
      <c r="A34" s="77"/>
      <c r="B34" s="87"/>
      <c r="C34" s="87"/>
      <c r="D34" s="85"/>
      <c r="E34" s="87"/>
      <c r="F34" s="85">
        <v>5.0</v>
      </c>
      <c r="G34" s="109">
        <v>46124.0</v>
      </c>
      <c r="H34" s="87"/>
      <c r="I34" s="87"/>
      <c r="J34" s="77"/>
      <c r="K34" s="77"/>
    </row>
    <row r="35">
      <c r="A35" s="77"/>
      <c r="B35" s="89"/>
      <c r="C35" s="89"/>
      <c r="D35" s="88"/>
      <c r="E35" s="89"/>
      <c r="F35" s="88"/>
      <c r="G35" s="94" t="s">
        <v>189</v>
      </c>
      <c r="H35" s="89"/>
      <c r="I35" s="89"/>
      <c r="J35" s="77"/>
      <c r="K35" s="77"/>
    </row>
    <row r="36">
      <c r="A36" s="77"/>
      <c r="B36" s="89"/>
      <c r="C36" s="89"/>
      <c r="D36" s="88"/>
      <c r="E36" s="99" t="s">
        <v>190</v>
      </c>
      <c r="F36" s="88"/>
      <c r="G36" s="98" t="s">
        <v>191</v>
      </c>
      <c r="H36" s="89"/>
      <c r="I36" s="89"/>
      <c r="J36" s="77"/>
      <c r="K36" s="77"/>
    </row>
    <row r="37">
      <c r="A37" s="77"/>
      <c r="B37" s="89"/>
      <c r="C37" s="89"/>
      <c r="D37" s="88"/>
      <c r="E37" s="89"/>
      <c r="F37" s="89"/>
      <c r="G37" s="90" t="s">
        <v>192</v>
      </c>
      <c r="H37" s="94"/>
      <c r="I37" s="94"/>
      <c r="J37" s="77"/>
      <c r="K37" s="77"/>
    </row>
    <row r="38">
      <c r="A38" s="77"/>
      <c r="B38" s="103"/>
      <c r="C38" s="103"/>
      <c r="D38" s="110"/>
      <c r="E38" s="103"/>
      <c r="F38" s="111"/>
      <c r="G38" s="111"/>
      <c r="H38" s="111"/>
      <c r="I38" s="111"/>
      <c r="J38" s="103"/>
      <c r="K38" s="103"/>
    </row>
    <row r="39">
      <c r="A39" s="77"/>
      <c r="B39" s="103"/>
      <c r="C39" s="103"/>
      <c r="D39" s="110"/>
      <c r="E39" s="103"/>
      <c r="F39" s="110"/>
      <c r="G39" s="111"/>
      <c r="H39" s="103"/>
      <c r="I39" s="103"/>
      <c r="J39" s="103"/>
      <c r="K39" s="103"/>
    </row>
    <row r="40">
      <c r="A40" s="77"/>
      <c r="B40" s="103"/>
      <c r="C40" s="103"/>
      <c r="D40" s="110"/>
      <c r="E40" s="103"/>
      <c r="F40" s="103"/>
      <c r="G40" s="103"/>
      <c r="H40" s="103"/>
      <c r="I40" s="103"/>
      <c r="J40" s="103"/>
      <c r="K40" s="103"/>
    </row>
    <row r="41">
      <c r="A41" s="77"/>
      <c r="B41" s="103"/>
      <c r="C41" s="103"/>
      <c r="D41" s="110"/>
      <c r="E41" s="103"/>
      <c r="F41" s="111"/>
      <c r="G41" s="103"/>
      <c r="H41" s="103"/>
      <c r="I41" s="103"/>
      <c r="J41" s="103"/>
      <c r="K41" s="103"/>
    </row>
    <row r="42">
      <c r="A42" s="77"/>
      <c r="B42" s="103"/>
      <c r="C42" s="110"/>
      <c r="D42" s="110"/>
      <c r="E42" s="103"/>
      <c r="F42" s="111"/>
      <c r="G42" s="103"/>
      <c r="H42" s="103"/>
      <c r="I42" s="103"/>
      <c r="J42" s="103"/>
      <c r="K42" s="103"/>
    </row>
    <row r="43">
      <c r="A43" s="77"/>
      <c r="B43" s="103"/>
      <c r="C43" s="103"/>
      <c r="D43" s="110"/>
      <c r="E43" s="103"/>
      <c r="F43" s="103"/>
      <c r="G43" s="103"/>
      <c r="H43" s="103"/>
      <c r="I43" s="103"/>
      <c r="J43" s="103"/>
      <c r="K43" s="103"/>
    </row>
    <row r="44">
      <c r="A44" s="77"/>
      <c r="B44" s="103"/>
      <c r="C44" s="103"/>
      <c r="D44" s="110"/>
      <c r="E44" s="103"/>
      <c r="F44" s="103"/>
      <c r="G44" s="103"/>
      <c r="H44" s="103"/>
      <c r="I44" s="103"/>
      <c r="J44" s="103"/>
      <c r="K44" s="103"/>
    </row>
    <row r="45">
      <c r="A45" s="77"/>
      <c r="B45" s="103"/>
      <c r="C45" s="103"/>
      <c r="D45" s="110"/>
      <c r="E45" s="111"/>
      <c r="F45" s="103"/>
      <c r="G45" s="103"/>
      <c r="H45" s="103"/>
      <c r="I45" s="103"/>
      <c r="J45" s="103"/>
      <c r="K45" s="103"/>
    </row>
    <row r="46">
      <c r="A46" s="77"/>
      <c r="B46" s="103"/>
      <c r="C46" s="103"/>
      <c r="D46" s="110"/>
      <c r="E46" s="103"/>
      <c r="F46" s="111"/>
      <c r="G46" s="103"/>
      <c r="H46" s="103"/>
      <c r="I46" s="103"/>
      <c r="J46" s="103"/>
      <c r="K46" s="103"/>
    </row>
    <row r="47">
      <c r="A47" s="103"/>
      <c r="B47" s="103"/>
      <c r="C47" s="103"/>
      <c r="D47" s="110"/>
      <c r="E47" s="111"/>
      <c r="F47" s="111"/>
      <c r="G47" s="103"/>
      <c r="H47" s="103"/>
      <c r="I47" s="103"/>
      <c r="J47" s="103"/>
      <c r="K47" s="103"/>
    </row>
    <row r="48">
      <c r="A48" s="77"/>
      <c r="B48" s="103"/>
      <c r="C48" s="103"/>
      <c r="D48" s="110"/>
      <c r="E48" s="103"/>
      <c r="F48" s="110"/>
      <c r="G48" s="111"/>
      <c r="H48" s="103"/>
      <c r="I48" s="103"/>
      <c r="J48" s="103"/>
      <c r="K48" s="103"/>
    </row>
    <row r="49">
      <c r="A49" s="77"/>
      <c r="B49" s="103"/>
      <c r="C49" s="103"/>
      <c r="D49" s="110"/>
      <c r="E49" s="103"/>
      <c r="F49" s="103"/>
      <c r="G49" s="111"/>
      <c r="H49" s="103"/>
      <c r="I49" s="103"/>
      <c r="J49" s="103"/>
      <c r="K49" s="103"/>
    </row>
    <row r="50">
      <c r="A50" s="77"/>
      <c r="B50" s="103"/>
      <c r="C50" s="103"/>
      <c r="D50" s="110"/>
      <c r="E50" s="103"/>
      <c r="F50" s="111"/>
      <c r="G50" s="103"/>
      <c r="H50" s="103"/>
      <c r="I50" s="103"/>
      <c r="J50" s="103"/>
      <c r="K50" s="103"/>
    </row>
    <row r="51">
      <c r="A51" s="77"/>
      <c r="B51" s="103"/>
      <c r="C51" s="110"/>
      <c r="D51" s="110"/>
      <c r="E51" s="103"/>
      <c r="F51" s="111"/>
      <c r="G51" s="110"/>
      <c r="H51" s="103"/>
      <c r="I51" s="103"/>
      <c r="J51" s="103"/>
      <c r="K51" s="103"/>
    </row>
    <row r="52">
      <c r="A52" s="77"/>
      <c r="B52" s="103"/>
      <c r="C52" s="103"/>
      <c r="D52" s="110"/>
      <c r="E52" s="110"/>
      <c r="F52" s="111"/>
      <c r="G52" s="103"/>
      <c r="H52" s="103"/>
      <c r="I52" s="103"/>
      <c r="J52" s="103"/>
      <c r="K52" s="103"/>
    </row>
    <row r="53">
      <c r="A53" s="77"/>
      <c r="B53" s="103"/>
      <c r="C53" s="103"/>
      <c r="D53" s="110"/>
      <c r="E53" s="110"/>
      <c r="F53" s="111"/>
      <c r="G53" s="103"/>
      <c r="H53" s="103"/>
      <c r="I53" s="103"/>
      <c r="J53" s="103"/>
      <c r="K53" s="103"/>
    </row>
    <row r="54">
      <c r="A54" s="77"/>
      <c r="B54" s="103"/>
      <c r="C54" s="103"/>
      <c r="D54" s="110"/>
      <c r="E54" s="103"/>
      <c r="F54" s="103"/>
      <c r="G54" s="103"/>
      <c r="H54" s="103"/>
      <c r="I54" s="103"/>
      <c r="J54" s="103"/>
      <c r="K54" s="103"/>
    </row>
    <row r="55">
      <c r="A55" s="77"/>
      <c r="B55" s="103"/>
      <c r="C55" s="103"/>
      <c r="D55" s="110"/>
      <c r="E55" s="103"/>
      <c r="F55" s="103"/>
      <c r="G55" s="103"/>
      <c r="H55" s="103"/>
      <c r="I55" s="103"/>
      <c r="J55" s="103"/>
      <c r="K55" s="103"/>
    </row>
    <row r="56">
      <c r="A56" s="77"/>
      <c r="B56" s="103"/>
      <c r="C56" s="110"/>
      <c r="D56" s="110"/>
      <c r="E56" s="103"/>
      <c r="F56" s="111"/>
      <c r="G56" s="103"/>
      <c r="H56" s="103"/>
      <c r="I56" s="103"/>
      <c r="J56" s="103"/>
      <c r="K56" s="103"/>
    </row>
    <row r="57">
      <c r="A57" s="77"/>
      <c r="B57" s="103"/>
      <c r="C57" s="110"/>
      <c r="D57" s="110"/>
      <c r="E57" s="103"/>
      <c r="F57" s="111"/>
      <c r="G57" s="103"/>
      <c r="H57" s="103"/>
      <c r="I57" s="103"/>
      <c r="J57" s="103"/>
      <c r="K57" s="103"/>
    </row>
    <row r="58">
      <c r="A58" s="77"/>
      <c r="B58" s="103"/>
      <c r="C58" s="110"/>
      <c r="D58" s="110"/>
      <c r="E58" s="103"/>
      <c r="F58" s="103"/>
      <c r="G58" s="103"/>
      <c r="H58" s="103"/>
      <c r="I58" s="103"/>
      <c r="J58" s="103"/>
      <c r="K58" s="103"/>
    </row>
    <row r="59">
      <c r="A59" s="77"/>
      <c r="B59" s="103"/>
      <c r="C59" s="103"/>
      <c r="D59" s="110"/>
      <c r="E59" s="103"/>
      <c r="F59" s="110"/>
      <c r="G59" s="111"/>
      <c r="H59" s="103"/>
      <c r="I59" s="103"/>
      <c r="J59" s="103"/>
      <c r="K59" s="103"/>
    </row>
    <row r="60">
      <c r="A60" s="77"/>
      <c r="B60" s="103"/>
      <c r="C60" s="103"/>
      <c r="D60" s="110"/>
      <c r="E60" s="103"/>
      <c r="F60" s="110"/>
      <c r="G60" s="111"/>
      <c r="H60" s="103"/>
      <c r="I60" s="103"/>
      <c r="J60" s="103"/>
      <c r="K60" s="103"/>
    </row>
    <row r="61">
      <c r="A61" s="103"/>
      <c r="B61" s="103"/>
      <c r="C61" s="103"/>
      <c r="D61" s="110"/>
      <c r="E61" s="103"/>
      <c r="F61" s="110"/>
      <c r="G61" s="103"/>
      <c r="H61" s="103"/>
      <c r="I61" s="103"/>
      <c r="J61" s="103"/>
      <c r="K61" s="103"/>
    </row>
    <row r="62">
      <c r="A62" s="103"/>
      <c r="B62" s="103"/>
      <c r="C62" s="103"/>
      <c r="D62" s="110"/>
      <c r="E62" s="103"/>
      <c r="F62" s="110"/>
      <c r="G62" s="103"/>
      <c r="H62" s="103"/>
      <c r="I62" s="103"/>
      <c r="J62" s="103"/>
      <c r="K62" s="103"/>
    </row>
    <row r="63">
      <c r="A63" s="103"/>
      <c r="B63" s="103"/>
      <c r="C63" s="103"/>
      <c r="D63" s="110"/>
      <c r="E63" s="103"/>
      <c r="F63" s="110"/>
      <c r="G63" s="110"/>
      <c r="H63" s="103"/>
      <c r="I63" s="103"/>
      <c r="J63" s="103"/>
      <c r="K63" s="103"/>
    </row>
    <row r="64">
      <c r="A64" s="103"/>
      <c r="B64" s="103"/>
      <c r="C64" s="110"/>
      <c r="D64" s="110"/>
      <c r="E64" s="103"/>
      <c r="F64" s="112"/>
      <c r="G64" s="110"/>
      <c r="H64" s="103"/>
      <c r="I64" s="103"/>
      <c r="J64" s="103"/>
      <c r="K64" s="103"/>
    </row>
    <row r="65">
      <c r="A65" s="103"/>
      <c r="B65" s="103"/>
      <c r="C65" s="103"/>
      <c r="D65" s="110"/>
      <c r="E65" s="103"/>
      <c r="F65" s="110"/>
      <c r="G65" s="103"/>
      <c r="H65" s="103"/>
      <c r="I65" s="103"/>
      <c r="J65" s="103"/>
      <c r="K65" s="103"/>
    </row>
    <row r="66">
      <c r="A66" s="77"/>
      <c r="B66" s="103"/>
      <c r="C66" s="103"/>
      <c r="D66" s="110"/>
      <c r="E66" s="103"/>
      <c r="F66" s="110"/>
      <c r="G66" s="111"/>
      <c r="H66" s="103"/>
      <c r="I66" s="103"/>
      <c r="J66" s="103"/>
      <c r="K66" s="103"/>
    </row>
    <row r="67">
      <c r="A67" s="77"/>
      <c r="B67" s="103"/>
      <c r="C67" s="103"/>
      <c r="D67" s="110"/>
      <c r="E67" s="103"/>
      <c r="F67" s="110"/>
      <c r="G67" s="111"/>
      <c r="H67" s="103"/>
      <c r="I67" s="103"/>
      <c r="J67" s="103"/>
      <c r="K67" s="103"/>
    </row>
    <row r="68">
      <c r="A68" s="77"/>
      <c r="B68" s="103"/>
      <c r="C68" s="103"/>
      <c r="D68" s="110"/>
      <c r="E68" s="103"/>
      <c r="F68" s="103"/>
      <c r="G68" s="103"/>
      <c r="H68" s="103"/>
      <c r="I68" s="103"/>
      <c r="J68" s="103"/>
      <c r="K68" s="103"/>
    </row>
    <row r="69">
      <c r="A69" s="77"/>
      <c r="B69" s="103"/>
      <c r="C69" s="103"/>
      <c r="D69" s="110"/>
      <c r="E69" s="103"/>
      <c r="F69" s="111"/>
      <c r="G69" s="103"/>
      <c r="H69" s="103"/>
      <c r="I69" s="103"/>
      <c r="J69" s="103"/>
      <c r="K69" s="103"/>
    </row>
    <row r="70">
      <c r="A70" s="77"/>
      <c r="B70" s="103"/>
      <c r="C70" s="103"/>
      <c r="D70" s="110"/>
      <c r="E70" s="103"/>
      <c r="F70" s="111"/>
      <c r="G70" s="103"/>
      <c r="H70" s="103"/>
      <c r="I70" s="103"/>
      <c r="J70" s="103"/>
      <c r="K70" s="103"/>
    </row>
    <row r="71" ht="23.25" customHeight="1">
      <c r="A71" s="77"/>
      <c r="B71" s="113"/>
      <c r="C71" s="103"/>
      <c r="D71" s="110"/>
      <c r="E71" s="103"/>
      <c r="F71" s="103"/>
      <c r="G71" s="103"/>
      <c r="H71" s="110"/>
      <c r="I71" s="110"/>
      <c r="J71" s="103"/>
      <c r="K71" s="103"/>
    </row>
    <row r="72" ht="23.25" customHeight="1">
      <c r="A72" s="77"/>
      <c r="B72" s="113"/>
      <c r="C72" s="103"/>
      <c r="D72" s="110"/>
      <c r="E72" s="103"/>
      <c r="F72" s="103"/>
      <c r="G72" s="103"/>
      <c r="H72" s="103"/>
      <c r="I72" s="103"/>
      <c r="J72" s="103"/>
      <c r="K72" s="103"/>
    </row>
    <row r="73" ht="23.25" customHeight="1">
      <c r="A73" s="77"/>
      <c r="B73" s="113"/>
      <c r="C73" s="103"/>
      <c r="D73" s="110"/>
      <c r="E73" s="103"/>
      <c r="F73" s="103"/>
      <c r="G73" s="103"/>
      <c r="H73" s="103"/>
      <c r="I73" s="103"/>
      <c r="J73" s="103"/>
      <c r="K73" s="103"/>
    </row>
    <row r="74" ht="23.25" customHeight="1">
      <c r="A74" s="77"/>
      <c r="B74" s="113"/>
      <c r="C74" s="103"/>
      <c r="D74" s="110"/>
      <c r="E74" s="103"/>
      <c r="F74" s="103"/>
      <c r="G74" s="103"/>
      <c r="H74" s="103"/>
      <c r="I74" s="103"/>
      <c r="J74" s="103"/>
      <c r="K74" s="103"/>
    </row>
    <row r="75" ht="23.25" customHeight="1">
      <c r="A75" s="77"/>
      <c r="B75" s="113"/>
      <c r="C75" s="103"/>
      <c r="D75" s="110"/>
      <c r="E75" s="103"/>
      <c r="F75" s="103"/>
      <c r="G75" s="103"/>
      <c r="H75" s="103"/>
      <c r="I75" s="103"/>
      <c r="J75" s="103"/>
      <c r="K75" s="10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34.25"/>
  </cols>
  <sheetData>
    <row r="1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</row>
    <row r="4">
      <c r="A4" s="115"/>
      <c r="B4" s="116" t="s">
        <v>193</v>
      </c>
      <c r="C4" s="117"/>
      <c r="D4" s="117"/>
      <c r="E4" s="117"/>
      <c r="F4" s="114"/>
      <c r="G4" s="115"/>
      <c r="H4" s="118"/>
      <c r="I4" s="115"/>
      <c r="J4" s="115"/>
      <c r="K4" s="115"/>
      <c r="L4" s="115"/>
      <c r="M4" s="115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</row>
    <row r="5">
      <c r="A5" s="115"/>
      <c r="B5" s="115"/>
      <c r="C5" s="115"/>
      <c r="D5" s="115"/>
      <c r="E5" s="115"/>
      <c r="F5" s="114"/>
      <c r="G5" s="115"/>
      <c r="H5" s="115"/>
      <c r="I5" s="115"/>
      <c r="J5" s="115"/>
      <c r="K5" s="115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</row>
    <row r="6">
      <c r="A6" s="114"/>
      <c r="B6" s="119"/>
      <c r="C6" s="114"/>
      <c r="D6" s="114"/>
      <c r="E6" s="114"/>
      <c r="F6" s="114"/>
      <c r="G6" s="115"/>
      <c r="H6" s="115"/>
      <c r="I6" s="115"/>
      <c r="J6" s="115"/>
      <c r="K6" s="115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</row>
    <row r="7">
      <c r="A7" s="114"/>
      <c r="B7" s="119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</row>
    <row r="8">
      <c r="A8" s="114"/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</row>
    <row r="9">
      <c r="A9" s="114"/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</row>
    <row r="10">
      <c r="A10" s="114"/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</row>
    <row r="11">
      <c r="A11" s="114"/>
      <c r="B11" s="114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</row>
    <row r="12">
      <c r="A12" s="114"/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</row>
    <row r="13">
      <c r="A13" s="114"/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</row>
    <row r="14">
      <c r="A14" s="114"/>
      <c r="B14" s="114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</row>
    <row r="15">
      <c r="A15" s="114"/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</row>
    <row r="16">
      <c r="A16" s="114"/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</row>
    <row r="17">
      <c r="A17" s="114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</row>
    <row r="18">
      <c r="A18" s="114"/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</row>
    <row r="19">
      <c r="A19" s="114"/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</row>
    <row r="20">
      <c r="A20" s="114"/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</row>
    <row r="21">
      <c r="A21" s="114"/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</row>
    <row r="22">
      <c r="A22" s="114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</row>
    <row r="23">
      <c r="A23" s="114"/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</row>
    <row r="24">
      <c r="A24" s="114"/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</row>
    <row r="25">
      <c r="A25" s="114"/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</row>
    <row r="26">
      <c r="A26" s="114"/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</row>
    <row r="27">
      <c r="A27" s="114"/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</row>
    <row r="28">
      <c r="A28" s="114"/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</row>
    <row r="29">
      <c r="A29" s="114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</row>
    <row r="30">
      <c r="A30" s="114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</row>
    <row r="31">
      <c r="A31" s="114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</row>
    <row r="32">
      <c r="A32" s="114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</row>
    <row r="33">
      <c r="A33" s="114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</row>
    <row r="34">
      <c r="A34" s="114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</row>
    <row r="35">
      <c r="A35" s="114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</row>
    <row r="36">
      <c r="A36" s="114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</row>
    <row r="37">
      <c r="A37" s="114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</row>
    <row r="38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</row>
    <row r="39">
      <c r="A39" s="114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</row>
    <row r="40">
      <c r="A40" s="114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</row>
    <row r="41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</row>
    <row r="42">
      <c r="A42" s="114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</row>
    <row r="43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</row>
    <row r="44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</row>
    <row r="45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</row>
    <row r="46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</row>
    <row r="47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</row>
    <row r="48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</row>
    <row r="49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</row>
    <row r="50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</row>
    <row r="51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</row>
    <row r="52">
      <c r="A52" s="114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</row>
    <row r="53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</row>
    <row r="54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</row>
    <row r="55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</row>
    <row r="56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</row>
    <row r="57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</row>
    <row r="58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</row>
    <row r="59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</row>
    <row r="60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</row>
    <row r="61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</row>
    <row r="62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</row>
    <row r="63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</row>
    <row r="64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</row>
    <row r="6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</row>
    <row r="66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</row>
    <row r="67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</row>
    <row r="68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</row>
    <row r="69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</row>
    <row r="70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</row>
    <row r="71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</row>
    <row r="72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</row>
    <row r="73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</row>
    <row r="74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</row>
    <row r="75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</row>
    <row r="76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</row>
    <row r="77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</row>
    <row r="78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</row>
    <row r="79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</row>
    <row r="80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</row>
    <row r="8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</row>
    <row r="82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</row>
    <row r="83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</row>
    <row r="84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</row>
    <row r="85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</row>
    <row r="86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</row>
    <row r="87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</row>
    <row r="88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</row>
    <row r="89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</row>
    <row r="90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</row>
    <row r="91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</row>
    <row r="92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</row>
    <row r="93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</row>
    <row r="94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</row>
    <row r="95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</row>
    <row r="96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</row>
    <row r="97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</row>
    <row r="98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</row>
    <row r="99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</row>
    <row r="100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</row>
    <row r="101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</row>
    <row r="102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</row>
    <row r="103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</row>
    <row r="104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</row>
    <row r="105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</row>
    <row r="106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</row>
    <row r="107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</row>
    <row r="108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</row>
    <row r="109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</row>
    <row r="110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</row>
    <row r="111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</row>
    <row r="112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</row>
    <row r="113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</row>
    <row r="114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</row>
    <row r="115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</row>
    <row r="116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</row>
    <row r="117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</row>
    <row r="118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</row>
    <row r="119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</row>
    <row r="120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</row>
    <row r="121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</row>
    <row r="122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</row>
    <row r="123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</row>
    <row r="124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</row>
    <row r="125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</row>
    <row r="126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</row>
    <row r="127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</row>
    <row r="128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</row>
    <row r="129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</row>
    <row r="130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</row>
    <row r="131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</row>
    <row r="132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</row>
    <row r="133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</row>
    <row r="134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</row>
    <row r="135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</row>
    <row r="136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</row>
    <row r="137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</row>
    <row r="138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</row>
    <row r="139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</row>
    <row r="140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</row>
    <row r="141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</row>
    <row r="142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</row>
    <row r="143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</row>
    <row r="144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</row>
    <row r="145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</row>
    <row r="146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</row>
    <row r="147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</row>
    <row r="148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</row>
    <row r="149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</row>
    <row r="150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</row>
    <row r="151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</row>
    <row r="152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</row>
    <row r="153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</row>
    <row r="154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</row>
    <row r="155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</row>
    <row r="156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</row>
    <row r="157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</row>
    <row r="158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</row>
    <row r="159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</row>
    <row r="160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</row>
    <row r="161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</row>
    <row r="162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</row>
    <row r="163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</row>
    <row r="164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</row>
    <row r="165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</row>
    <row r="166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</row>
    <row r="167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</row>
    <row r="168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</row>
    <row r="169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</row>
    <row r="170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</row>
    <row r="171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</row>
    <row r="172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</row>
    <row r="173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</row>
    <row r="174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</row>
    <row r="175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</row>
    <row r="176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</row>
    <row r="177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</row>
    <row r="178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</row>
    <row r="179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</row>
    <row r="180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</row>
    <row r="181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</row>
    <row r="182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</row>
    <row r="183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</row>
    <row r="184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</row>
    <row r="185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</row>
    <row r="186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</row>
    <row r="187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</row>
    <row r="188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</row>
    <row r="189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</row>
    <row r="190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</row>
    <row r="191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</row>
    <row r="192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</row>
    <row r="193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</row>
    <row r="194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</row>
    <row r="195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</row>
    <row r="196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</row>
    <row r="197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</row>
    <row r="198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</row>
    <row r="199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</row>
    <row r="200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</row>
    <row r="201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</row>
    <row r="202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</row>
    <row r="203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</row>
    <row r="204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</row>
    <row r="205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</row>
    <row r="206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</row>
    <row r="207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</row>
    <row r="208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</row>
    <row r="209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</row>
    <row r="210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</row>
    <row r="211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</row>
    <row r="212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</row>
    <row r="213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</row>
    <row r="214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</row>
    <row r="215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</row>
    <row r="216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</row>
    <row r="217">
      <c r="A217" s="114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</row>
    <row r="218">
      <c r="A218" s="114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</row>
    <row r="219">
      <c r="A219" s="114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</row>
    <row r="220">
      <c r="A220" s="114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</row>
    <row r="221">
      <c r="A221" s="114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</row>
    <row r="222">
      <c r="A222" s="114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</row>
    <row r="223">
      <c r="A223" s="114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</row>
    <row r="224">
      <c r="A224" s="114"/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</row>
    <row r="225">
      <c r="A225" s="114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</row>
    <row r="226">
      <c r="A226" s="114"/>
      <c r="B226" s="114"/>
      <c r="C226" s="114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</row>
    <row r="227">
      <c r="A227" s="114"/>
      <c r="B227" s="114"/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</row>
    <row r="228">
      <c r="A228" s="114"/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</row>
    <row r="229">
      <c r="A229" s="114"/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</row>
    <row r="230">
      <c r="A230" s="114"/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</row>
    <row r="231">
      <c r="A231" s="114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</row>
    <row r="232">
      <c r="A232" s="114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</row>
    <row r="233">
      <c r="A233" s="114"/>
      <c r="B233" s="114"/>
      <c r="C233" s="114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</row>
    <row r="234">
      <c r="A234" s="114"/>
      <c r="B234" s="114"/>
      <c r="C234" s="114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</row>
    <row r="235">
      <c r="A235" s="114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</row>
    <row r="236">
      <c r="A236" s="114"/>
      <c r="B236" s="114"/>
      <c r="C236" s="114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</row>
    <row r="237">
      <c r="A237" s="114"/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</row>
    <row r="238">
      <c r="A238" s="114"/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</row>
    <row r="239">
      <c r="A239" s="114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</row>
    <row r="240">
      <c r="A240" s="114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</row>
    <row r="241">
      <c r="A241" s="114"/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</row>
    <row r="242">
      <c r="A242" s="114"/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4"/>
      <c r="Y242" s="114"/>
      <c r="Z242" s="114"/>
    </row>
    <row r="243">
      <c r="A243" s="114"/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</row>
    <row r="244">
      <c r="A244" s="114"/>
      <c r="B244" s="114"/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</row>
    <row r="245">
      <c r="A245" s="114"/>
      <c r="B245" s="114"/>
      <c r="C245" s="114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</row>
    <row r="246">
      <c r="A246" s="114"/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</row>
    <row r="247">
      <c r="A247" s="114"/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</row>
    <row r="248">
      <c r="A248" s="114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</row>
    <row r="249">
      <c r="A249" s="114"/>
      <c r="B249" s="114"/>
      <c r="C249" s="114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</row>
    <row r="250">
      <c r="A250" s="114"/>
      <c r="B250" s="114"/>
      <c r="C250" s="114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</row>
    <row r="251">
      <c r="A251" s="114"/>
      <c r="B251" s="114"/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</row>
    <row r="252">
      <c r="A252" s="114"/>
      <c r="B252" s="114"/>
      <c r="C252" s="114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</row>
    <row r="253">
      <c r="A253" s="114"/>
      <c r="B253" s="114"/>
      <c r="C253" s="114"/>
      <c r="D253" s="114"/>
      <c r="E253" s="114"/>
      <c r="F253" s="114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4"/>
    </row>
    <row r="254">
      <c r="A254" s="114"/>
      <c r="B254" s="114"/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</row>
    <row r="255">
      <c r="A255" s="114"/>
      <c r="B255" s="114"/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</row>
    <row r="256">
      <c r="A256" s="114"/>
      <c r="B256" s="114"/>
      <c r="C256" s="114"/>
      <c r="D256" s="114"/>
      <c r="E256" s="114"/>
      <c r="F256" s="114"/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</row>
    <row r="257">
      <c r="A257" s="114"/>
      <c r="B257" s="114"/>
      <c r="C257" s="114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</row>
    <row r="258">
      <c r="A258" s="114"/>
      <c r="B258" s="114"/>
      <c r="C258" s="114"/>
      <c r="D258" s="114"/>
      <c r="E258" s="114"/>
      <c r="F258" s="114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  <c r="X258" s="114"/>
      <c r="Y258" s="114"/>
      <c r="Z258" s="114"/>
    </row>
    <row r="259">
      <c r="A259" s="114"/>
      <c r="B259" s="114"/>
      <c r="C259" s="114"/>
      <c r="D259" s="114"/>
      <c r="E259" s="114"/>
      <c r="F259" s="114"/>
      <c r="G259" s="114"/>
      <c r="H259" s="114"/>
      <c r="I259" s="114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</row>
    <row r="260">
      <c r="A260" s="114"/>
      <c r="B260" s="114"/>
      <c r="C260" s="114"/>
      <c r="D260" s="114"/>
      <c r="E260" s="114"/>
      <c r="F260" s="114"/>
      <c r="G260" s="114"/>
      <c r="H260" s="114"/>
      <c r="I260" s="114"/>
      <c r="J260" s="114"/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  <c r="X260" s="114"/>
      <c r="Y260" s="114"/>
      <c r="Z260" s="114"/>
    </row>
    <row r="261">
      <c r="A261" s="114"/>
      <c r="B261" s="114"/>
      <c r="C261" s="114"/>
      <c r="D261" s="114"/>
      <c r="E261" s="114"/>
      <c r="F261" s="114"/>
      <c r="G261" s="114"/>
      <c r="H261" s="114"/>
      <c r="I261" s="114"/>
      <c r="J261" s="114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  <c r="X261" s="114"/>
      <c r="Y261" s="114"/>
      <c r="Z261" s="114"/>
    </row>
    <row r="262">
      <c r="A262" s="114"/>
      <c r="B262" s="114"/>
      <c r="C262" s="114"/>
      <c r="D262" s="114"/>
      <c r="E262" s="114"/>
      <c r="F262" s="114"/>
      <c r="G262" s="114"/>
      <c r="H262" s="114"/>
      <c r="I262" s="114"/>
      <c r="J262" s="114"/>
      <c r="K262" s="114"/>
      <c r="L262" s="114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  <c r="W262" s="114"/>
      <c r="X262" s="114"/>
      <c r="Y262" s="114"/>
      <c r="Z262" s="114"/>
    </row>
    <row r="263">
      <c r="A263" s="114"/>
      <c r="B263" s="114"/>
      <c r="C263" s="114"/>
      <c r="D263" s="114"/>
      <c r="E263" s="114"/>
      <c r="F263" s="114"/>
      <c r="G263" s="114"/>
      <c r="H263" s="114"/>
      <c r="I263" s="114"/>
      <c r="J263" s="114"/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  <c r="X263" s="114"/>
      <c r="Y263" s="114"/>
      <c r="Z263" s="114"/>
    </row>
    <row r="264">
      <c r="A264" s="114"/>
      <c r="B264" s="114"/>
      <c r="C264" s="114"/>
      <c r="D264" s="114"/>
      <c r="E264" s="114"/>
      <c r="F264" s="114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</row>
    <row r="265">
      <c r="A265" s="114"/>
      <c r="B265" s="114"/>
      <c r="C265" s="114"/>
      <c r="D265" s="114"/>
      <c r="E265" s="114"/>
      <c r="F265" s="114"/>
      <c r="G265" s="114"/>
      <c r="H265" s="114"/>
      <c r="I265" s="114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</row>
    <row r="266">
      <c r="A266" s="114"/>
      <c r="B266" s="114"/>
      <c r="C266" s="114"/>
      <c r="D266" s="114"/>
      <c r="E266" s="114"/>
      <c r="F266" s="114"/>
      <c r="G266" s="114"/>
      <c r="H266" s="114"/>
      <c r="I266" s="114"/>
      <c r="J266" s="114"/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  <c r="X266" s="114"/>
      <c r="Y266" s="114"/>
      <c r="Z266" s="114"/>
    </row>
    <row r="267">
      <c r="A267" s="114"/>
      <c r="B267" s="114"/>
      <c r="C267" s="114"/>
      <c r="D267" s="114"/>
      <c r="E267" s="114"/>
      <c r="F267" s="114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</row>
    <row r="268">
      <c r="A268" s="114"/>
      <c r="B268" s="114"/>
      <c r="C268" s="114"/>
      <c r="D268" s="114"/>
      <c r="E268" s="114"/>
      <c r="F268" s="114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</row>
    <row r="269">
      <c r="A269" s="114"/>
      <c r="B269" s="114"/>
      <c r="C269" s="114"/>
      <c r="D269" s="114"/>
      <c r="E269" s="114"/>
      <c r="F269" s="114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</row>
    <row r="270">
      <c r="A270" s="114"/>
      <c r="B270" s="114"/>
      <c r="C270" s="114"/>
      <c r="D270" s="114"/>
      <c r="E270" s="114"/>
      <c r="F270" s="114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4"/>
      <c r="Y270" s="114"/>
      <c r="Z270" s="114"/>
    </row>
    <row r="271">
      <c r="A271" s="114"/>
      <c r="B271" s="114"/>
      <c r="C271" s="114"/>
      <c r="D271" s="114"/>
      <c r="E271" s="114"/>
      <c r="F271" s="114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  <c r="X271" s="114"/>
      <c r="Y271" s="114"/>
      <c r="Z271" s="114"/>
    </row>
    <row r="272">
      <c r="A272" s="114"/>
      <c r="B272" s="114"/>
      <c r="C272" s="114"/>
      <c r="D272" s="114"/>
      <c r="E272" s="114"/>
      <c r="F272" s="114"/>
      <c r="G272" s="114"/>
      <c r="H272" s="114"/>
      <c r="I272" s="114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  <c r="X272" s="114"/>
      <c r="Y272" s="114"/>
      <c r="Z272" s="114"/>
    </row>
    <row r="273">
      <c r="A273" s="114"/>
      <c r="B273" s="114"/>
      <c r="C273" s="114"/>
      <c r="D273" s="114"/>
      <c r="E273" s="114"/>
      <c r="F273" s="114"/>
      <c r="G273" s="114"/>
      <c r="H273" s="114"/>
      <c r="I273" s="114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  <c r="X273" s="114"/>
      <c r="Y273" s="114"/>
      <c r="Z273" s="114"/>
    </row>
    <row r="274">
      <c r="A274" s="114"/>
      <c r="B274" s="114"/>
      <c r="C274" s="114"/>
      <c r="D274" s="114"/>
      <c r="E274" s="114"/>
      <c r="F274" s="114"/>
      <c r="G274" s="114"/>
      <c r="H274" s="114"/>
      <c r="I274" s="114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4"/>
      <c r="Y274" s="114"/>
      <c r="Z274" s="114"/>
    </row>
    <row r="275">
      <c r="A275" s="114"/>
      <c r="B275" s="114"/>
      <c r="C275" s="114"/>
      <c r="D275" s="114"/>
      <c r="E275" s="114"/>
      <c r="F275" s="114"/>
      <c r="G275" s="114"/>
      <c r="H275" s="114"/>
      <c r="I275" s="114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  <c r="X275" s="114"/>
      <c r="Y275" s="114"/>
      <c r="Z275" s="114"/>
    </row>
    <row r="276">
      <c r="A276" s="114"/>
      <c r="B276" s="114"/>
      <c r="C276" s="114"/>
      <c r="D276" s="114"/>
      <c r="E276" s="114"/>
      <c r="F276" s="114"/>
      <c r="G276" s="114"/>
      <c r="H276" s="114"/>
      <c r="I276" s="114"/>
      <c r="J276" s="114"/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  <c r="W276" s="114"/>
      <c r="X276" s="114"/>
      <c r="Y276" s="114"/>
      <c r="Z276" s="114"/>
    </row>
    <row r="277">
      <c r="A277" s="114"/>
      <c r="B277" s="114"/>
      <c r="C277" s="114"/>
      <c r="D277" s="114"/>
      <c r="E277" s="114"/>
      <c r="F277" s="114"/>
      <c r="G277" s="114"/>
      <c r="H277" s="114"/>
      <c r="I277" s="114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</row>
    <row r="278">
      <c r="A278" s="114"/>
      <c r="B278" s="114"/>
      <c r="C278" s="114"/>
      <c r="D278" s="114"/>
      <c r="E278" s="114"/>
      <c r="F278" s="114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</row>
    <row r="279">
      <c r="A279" s="114"/>
      <c r="B279" s="114"/>
      <c r="C279" s="114"/>
      <c r="D279" s="114"/>
      <c r="E279" s="114"/>
      <c r="F279" s="114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</row>
    <row r="280">
      <c r="A280" s="114"/>
      <c r="B280" s="114"/>
      <c r="C280" s="114"/>
      <c r="D280" s="114"/>
      <c r="E280" s="114"/>
      <c r="F280" s="114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</row>
    <row r="281">
      <c r="A281" s="114"/>
      <c r="B281" s="114"/>
      <c r="C281" s="114"/>
      <c r="D281" s="114"/>
      <c r="E281" s="114"/>
      <c r="F281" s="114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</row>
    <row r="282">
      <c r="A282" s="114"/>
      <c r="B282" s="114"/>
      <c r="C282" s="114"/>
      <c r="D282" s="114"/>
      <c r="E282" s="114"/>
      <c r="F282" s="114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</row>
    <row r="283">
      <c r="A283" s="114"/>
      <c r="B283" s="114"/>
      <c r="C283" s="114"/>
      <c r="D283" s="114"/>
      <c r="E283" s="114"/>
      <c r="F283" s="114"/>
      <c r="G283" s="114"/>
      <c r="H283" s="114"/>
      <c r="I283" s="114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</row>
    <row r="284">
      <c r="A284" s="114"/>
      <c r="B284" s="114"/>
      <c r="C284" s="114"/>
      <c r="D284" s="114"/>
      <c r="E284" s="114"/>
      <c r="F284" s="114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</row>
    <row r="285">
      <c r="A285" s="114"/>
      <c r="B285" s="114"/>
      <c r="C285" s="114"/>
      <c r="D285" s="114"/>
      <c r="E285" s="114"/>
      <c r="F285" s="114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</row>
    <row r="286">
      <c r="A286" s="114"/>
      <c r="B286" s="114"/>
      <c r="C286" s="114"/>
      <c r="D286" s="114"/>
      <c r="E286" s="114"/>
      <c r="F286" s="114"/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</row>
    <row r="287">
      <c r="A287" s="114"/>
      <c r="B287" s="114"/>
      <c r="C287" s="114"/>
      <c r="D287" s="114"/>
      <c r="E287" s="114"/>
      <c r="F287" s="114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  <c r="X287" s="114"/>
      <c r="Y287" s="114"/>
      <c r="Z287" s="114"/>
    </row>
    <row r="288">
      <c r="A288" s="114"/>
      <c r="B288" s="114"/>
      <c r="C288" s="114"/>
      <c r="D288" s="114"/>
      <c r="E288" s="114"/>
      <c r="F288" s="114"/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</row>
    <row r="289">
      <c r="A289" s="114"/>
      <c r="B289" s="114"/>
      <c r="C289" s="114"/>
      <c r="D289" s="114"/>
      <c r="E289" s="114"/>
      <c r="F289" s="114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</row>
    <row r="290">
      <c r="A290" s="114"/>
      <c r="B290" s="114"/>
      <c r="C290" s="114"/>
      <c r="D290" s="114"/>
      <c r="E290" s="114"/>
      <c r="F290" s="114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</row>
    <row r="291">
      <c r="A291" s="114"/>
      <c r="B291" s="114"/>
      <c r="C291" s="114"/>
      <c r="D291" s="114"/>
      <c r="E291" s="114"/>
      <c r="F291" s="114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  <c r="X291" s="114"/>
      <c r="Y291" s="114"/>
      <c r="Z291" s="114"/>
    </row>
    <row r="292">
      <c r="A292" s="114"/>
      <c r="B292" s="114"/>
      <c r="C292" s="114"/>
      <c r="D292" s="114"/>
      <c r="E292" s="114"/>
      <c r="F292" s="114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  <c r="X292" s="114"/>
      <c r="Y292" s="114"/>
      <c r="Z292" s="114"/>
    </row>
    <row r="293">
      <c r="A293" s="114"/>
      <c r="B293" s="114"/>
      <c r="C293" s="114"/>
      <c r="D293" s="114"/>
      <c r="E293" s="114"/>
      <c r="F293" s="114"/>
      <c r="G293" s="114"/>
      <c r="H293" s="114"/>
      <c r="I293" s="114"/>
      <c r="J293" s="114"/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  <c r="X293" s="114"/>
      <c r="Y293" s="114"/>
      <c r="Z293" s="114"/>
    </row>
    <row r="294">
      <c r="A294" s="114"/>
      <c r="B294" s="114"/>
      <c r="C294" s="114"/>
      <c r="D294" s="114"/>
      <c r="E294" s="114"/>
      <c r="F294" s="114"/>
      <c r="G294" s="114"/>
      <c r="H294" s="114"/>
      <c r="I294" s="114"/>
      <c r="J294" s="114"/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  <c r="X294" s="114"/>
      <c r="Y294" s="114"/>
      <c r="Z294" s="114"/>
    </row>
    <row r="295">
      <c r="A295" s="114"/>
      <c r="B295" s="114"/>
      <c r="C295" s="114"/>
      <c r="D295" s="114"/>
      <c r="E295" s="114"/>
      <c r="F295" s="114"/>
      <c r="G295" s="114"/>
      <c r="H295" s="114"/>
      <c r="I295" s="114"/>
      <c r="J295" s="114"/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</row>
    <row r="296">
      <c r="A296" s="114"/>
      <c r="B296" s="114"/>
      <c r="C296" s="114"/>
      <c r="D296" s="114"/>
      <c r="E296" s="114"/>
      <c r="F296" s="114"/>
      <c r="G296" s="114"/>
      <c r="H296" s="114"/>
      <c r="I296" s="114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</row>
    <row r="297">
      <c r="A297" s="114"/>
      <c r="B297" s="114"/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</row>
    <row r="298">
      <c r="A298" s="114"/>
      <c r="B298" s="114"/>
      <c r="C298" s="114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</row>
    <row r="299">
      <c r="A299" s="114"/>
      <c r="B299" s="114"/>
      <c r="C299" s="114"/>
      <c r="D299" s="114"/>
      <c r="E299" s="114"/>
      <c r="F299" s="114"/>
      <c r="G299" s="114"/>
      <c r="H299" s="114"/>
      <c r="I299" s="114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  <c r="X299" s="114"/>
      <c r="Y299" s="114"/>
      <c r="Z299" s="114"/>
    </row>
    <row r="300">
      <c r="A300" s="114"/>
      <c r="B300" s="114"/>
      <c r="C300" s="114"/>
      <c r="D300" s="114"/>
      <c r="E300" s="114"/>
      <c r="F300" s="114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</row>
    <row r="301">
      <c r="A301" s="114"/>
      <c r="B301" s="114"/>
      <c r="C301" s="114"/>
      <c r="D301" s="114"/>
      <c r="E301" s="114"/>
      <c r="F301" s="114"/>
      <c r="G301" s="114"/>
      <c r="H301" s="114"/>
      <c r="I301" s="114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</row>
    <row r="302">
      <c r="A302" s="114"/>
      <c r="B302" s="114"/>
      <c r="C302" s="114"/>
      <c r="D302" s="114"/>
      <c r="E302" s="114"/>
      <c r="F302" s="114"/>
      <c r="G302" s="114"/>
      <c r="H302" s="114"/>
      <c r="I302" s="114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</row>
    <row r="303">
      <c r="A303" s="114"/>
      <c r="B303" s="114"/>
      <c r="C303" s="114"/>
      <c r="D303" s="114"/>
      <c r="E303" s="114"/>
      <c r="F303" s="114"/>
      <c r="G303" s="114"/>
      <c r="H303" s="114"/>
      <c r="I303" s="114"/>
      <c r="J303" s="114"/>
      <c r="K303" s="114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  <c r="X303" s="114"/>
      <c r="Y303" s="114"/>
      <c r="Z303" s="114"/>
    </row>
    <row r="304">
      <c r="A304" s="114"/>
      <c r="B304" s="114"/>
      <c r="C304" s="114"/>
      <c r="D304" s="114"/>
      <c r="E304" s="114"/>
      <c r="F304" s="114"/>
      <c r="G304" s="114"/>
      <c r="H304" s="114"/>
      <c r="I304" s="114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</row>
    <row r="305">
      <c r="A305" s="114"/>
      <c r="B305" s="114"/>
      <c r="C305" s="114"/>
      <c r="D305" s="114"/>
      <c r="E305" s="114"/>
      <c r="F305" s="114"/>
      <c r="G305" s="114"/>
      <c r="H305" s="114"/>
      <c r="I305" s="114"/>
      <c r="J305" s="114"/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</row>
    <row r="306">
      <c r="A306" s="114"/>
      <c r="B306" s="114"/>
      <c r="C306" s="114"/>
      <c r="D306" s="114"/>
      <c r="E306" s="114"/>
      <c r="F306" s="114"/>
      <c r="G306" s="114"/>
      <c r="H306" s="114"/>
      <c r="I306" s="114"/>
      <c r="J306" s="114"/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</row>
    <row r="307">
      <c r="A307" s="114"/>
      <c r="B307" s="114"/>
      <c r="C307" s="114"/>
      <c r="D307" s="114"/>
      <c r="E307" s="114"/>
      <c r="F307" s="114"/>
      <c r="G307" s="114"/>
      <c r="H307" s="114"/>
      <c r="I307" s="114"/>
      <c r="J307" s="114"/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</row>
    <row r="308">
      <c r="A308" s="114"/>
      <c r="B308" s="114"/>
      <c r="C308" s="114"/>
      <c r="D308" s="114"/>
      <c r="E308" s="114"/>
      <c r="F308" s="114"/>
      <c r="G308" s="114"/>
      <c r="H308" s="114"/>
      <c r="I308" s="114"/>
      <c r="J308" s="114"/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</row>
    <row r="309">
      <c r="A309" s="114"/>
      <c r="B309" s="114"/>
      <c r="C309" s="114"/>
      <c r="D309" s="114"/>
      <c r="E309" s="114"/>
      <c r="F309" s="114"/>
      <c r="G309" s="114"/>
      <c r="H309" s="114"/>
      <c r="I309" s="114"/>
      <c r="J309" s="114"/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</row>
    <row r="310">
      <c r="A310" s="114"/>
      <c r="B310" s="114"/>
      <c r="C310" s="114"/>
      <c r="D310" s="114"/>
      <c r="E310" s="114"/>
      <c r="F310" s="114"/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</row>
    <row r="311">
      <c r="A311" s="114"/>
      <c r="B311" s="114"/>
      <c r="C311" s="114"/>
      <c r="D311" s="114"/>
      <c r="E311" s="114"/>
      <c r="F311" s="114"/>
      <c r="G311" s="114"/>
      <c r="H311" s="114"/>
      <c r="I311" s="114"/>
      <c r="J311" s="114"/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</row>
    <row r="312">
      <c r="A312" s="114"/>
      <c r="B312" s="114"/>
      <c r="C312" s="114"/>
      <c r="D312" s="114"/>
      <c r="E312" s="114"/>
      <c r="F312" s="114"/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</row>
    <row r="313">
      <c r="A313" s="114"/>
      <c r="B313" s="114"/>
      <c r="C313" s="114"/>
      <c r="D313" s="114"/>
      <c r="E313" s="114"/>
      <c r="F313" s="114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</row>
    <row r="314">
      <c r="A314" s="114"/>
      <c r="B314" s="114"/>
      <c r="C314" s="114"/>
      <c r="D314" s="114"/>
      <c r="E314" s="114"/>
      <c r="F314" s="114"/>
      <c r="G314" s="114"/>
      <c r="H314" s="114"/>
      <c r="I314" s="114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</row>
    <row r="315">
      <c r="A315" s="114"/>
      <c r="B315" s="114"/>
      <c r="C315" s="114"/>
      <c r="D315" s="114"/>
      <c r="E315" s="114"/>
      <c r="F315" s="114"/>
      <c r="G315" s="114"/>
      <c r="H315" s="114"/>
      <c r="I315" s="114"/>
      <c r="J315" s="114"/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</row>
    <row r="316">
      <c r="A316" s="114"/>
      <c r="B316" s="114"/>
      <c r="C316" s="114"/>
      <c r="D316" s="114"/>
      <c r="E316" s="114"/>
      <c r="F316" s="114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</row>
    <row r="317">
      <c r="A317" s="114"/>
      <c r="B317" s="114"/>
      <c r="C317" s="114"/>
      <c r="D317" s="114"/>
      <c r="E317" s="114"/>
      <c r="F317" s="114"/>
      <c r="G317" s="114"/>
      <c r="H317" s="114"/>
      <c r="I317" s="114"/>
      <c r="J317" s="114"/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</row>
    <row r="318">
      <c r="A318" s="114"/>
      <c r="B318" s="114"/>
      <c r="C318" s="114"/>
      <c r="D318" s="114"/>
      <c r="E318" s="114"/>
      <c r="F318" s="114"/>
      <c r="G318" s="114"/>
      <c r="H318" s="114"/>
      <c r="I318" s="114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</row>
    <row r="319">
      <c r="A319" s="114"/>
      <c r="B319" s="114"/>
      <c r="C319" s="114"/>
      <c r="D319" s="114"/>
      <c r="E319" s="114"/>
      <c r="F319" s="114"/>
      <c r="G319" s="114"/>
      <c r="H319" s="114"/>
      <c r="I319" s="114"/>
      <c r="J319" s="114"/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  <c r="Z319" s="114"/>
    </row>
    <row r="320">
      <c r="A320" s="114"/>
      <c r="B320" s="114"/>
      <c r="C320" s="114"/>
      <c r="D320" s="114"/>
      <c r="E320" s="114"/>
      <c r="F320" s="114"/>
      <c r="G320" s="114"/>
      <c r="H320" s="114"/>
      <c r="I320" s="114"/>
      <c r="J320" s="114"/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</row>
    <row r="321">
      <c r="A321" s="114"/>
      <c r="B321" s="114"/>
      <c r="C321" s="114"/>
      <c r="D321" s="114"/>
      <c r="E321" s="114"/>
      <c r="F321" s="114"/>
      <c r="G321" s="114"/>
      <c r="H321" s="114"/>
      <c r="I321" s="114"/>
      <c r="J321" s="114"/>
      <c r="K321" s="114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</row>
    <row r="322">
      <c r="A322" s="114"/>
      <c r="B322" s="114"/>
      <c r="C322" s="114"/>
      <c r="D322" s="114"/>
      <c r="E322" s="114"/>
      <c r="F322" s="114"/>
      <c r="G322" s="114"/>
      <c r="H322" s="114"/>
      <c r="I322" s="114"/>
      <c r="J322" s="114"/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</row>
    <row r="323">
      <c r="A323" s="114"/>
      <c r="B323" s="114"/>
      <c r="C323" s="114"/>
      <c r="D323" s="114"/>
      <c r="E323" s="114"/>
      <c r="F323" s="114"/>
      <c r="G323" s="114"/>
      <c r="H323" s="114"/>
      <c r="I323" s="114"/>
      <c r="J323" s="114"/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</row>
    <row r="324">
      <c r="A324" s="114"/>
      <c r="B324" s="114"/>
      <c r="C324" s="114"/>
      <c r="D324" s="114"/>
      <c r="E324" s="114"/>
      <c r="F324" s="114"/>
      <c r="G324" s="114"/>
      <c r="H324" s="114"/>
      <c r="I324" s="114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</row>
    <row r="325">
      <c r="A325" s="114"/>
      <c r="B325" s="114"/>
      <c r="C325" s="114"/>
      <c r="D325" s="114"/>
      <c r="E325" s="114"/>
      <c r="F325" s="114"/>
      <c r="G325" s="114"/>
      <c r="H325" s="114"/>
      <c r="I325" s="114"/>
      <c r="J325" s="114"/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</row>
    <row r="326">
      <c r="A326" s="114"/>
      <c r="B326" s="114"/>
      <c r="C326" s="114"/>
      <c r="D326" s="114"/>
      <c r="E326" s="114"/>
      <c r="F326" s="114"/>
      <c r="G326" s="114"/>
      <c r="H326" s="114"/>
      <c r="I326" s="114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</row>
    <row r="327">
      <c r="A327" s="114"/>
      <c r="B327" s="114"/>
      <c r="C327" s="114"/>
      <c r="D327" s="114"/>
      <c r="E327" s="114"/>
      <c r="F327" s="114"/>
      <c r="G327" s="114"/>
      <c r="H327" s="114"/>
      <c r="I327" s="114"/>
      <c r="J327" s="114"/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</row>
    <row r="328">
      <c r="A328" s="114"/>
      <c r="B328" s="114"/>
      <c r="C328" s="114"/>
      <c r="D328" s="114"/>
      <c r="E328" s="114"/>
      <c r="F328" s="114"/>
      <c r="G328" s="114"/>
      <c r="H328" s="114"/>
      <c r="I328" s="114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</row>
    <row r="329">
      <c r="A329" s="114"/>
      <c r="B329" s="114"/>
      <c r="C329" s="114"/>
      <c r="D329" s="114"/>
      <c r="E329" s="114"/>
      <c r="F329" s="114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</row>
    <row r="330">
      <c r="A330" s="114"/>
      <c r="B330" s="114"/>
      <c r="C330" s="114"/>
      <c r="D330" s="114"/>
      <c r="E330" s="114"/>
      <c r="F330" s="114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</row>
    <row r="331">
      <c r="A331" s="114"/>
      <c r="B331" s="114"/>
      <c r="C331" s="114"/>
      <c r="D331" s="114"/>
      <c r="E331" s="114"/>
      <c r="F331" s="114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</row>
    <row r="332">
      <c r="A332" s="114"/>
      <c r="B332" s="114"/>
      <c r="C332" s="114"/>
      <c r="D332" s="114"/>
      <c r="E332" s="114"/>
      <c r="F332" s="114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</row>
    <row r="333">
      <c r="A333" s="114"/>
      <c r="B333" s="114"/>
      <c r="C333" s="114"/>
      <c r="D333" s="114"/>
      <c r="E333" s="114"/>
      <c r="F333" s="114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</row>
    <row r="334">
      <c r="A334" s="114"/>
      <c r="B334" s="114"/>
      <c r="C334" s="114"/>
      <c r="D334" s="114"/>
      <c r="E334" s="114"/>
      <c r="F334" s="114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</row>
    <row r="335">
      <c r="A335" s="114"/>
      <c r="B335" s="114"/>
      <c r="C335" s="114"/>
      <c r="D335" s="114"/>
      <c r="E335" s="114"/>
      <c r="F335" s="114"/>
      <c r="G335" s="114"/>
      <c r="H335" s="114"/>
      <c r="I335" s="114"/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  <c r="X335" s="114"/>
      <c r="Y335" s="114"/>
      <c r="Z335" s="114"/>
    </row>
    <row r="336">
      <c r="A336" s="114"/>
      <c r="B336" s="114"/>
      <c r="C336" s="114"/>
      <c r="D336" s="114"/>
      <c r="E336" s="114"/>
      <c r="F336" s="114"/>
      <c r="G336" s="114"/>
      <c r="H336" s="114"/>
      <c r="I336" s="114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  <c r="X336" s="114"/>
      <c r="Y336" s="114"/>
      <c r="Z336" s="114"/>
    </row>
    <row r="337">
      <c r="A337" s="114"/>
      <c r="B337" s="114"/>
      <c r="C337" s="114"/>
      <c r="D337" s="114"/>
      <c r="E337" s="114"/>
      <c r="F337" s="114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  <c r="X337" s="114"/>
      <c r="Y337" s="114"/>
      <c r="Z337" s="114"/>
    </row>
    <row r="338">
      <c r="A338" s="114"/>
      <c r="B338" s="114"/>
      <c r="C338" s="114"/>
      <c r="D338" s="114"/>
      <c r="E338" s="114"/>
      <c r="F338" s="114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</row>
    <row r="339">
      <c r="A339" s="114"/>
      <c r="B339" s="114"/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</row>
    <row r="340">
      <c r="A340" s="114"/>
      <c r="B340" s="114"/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</row>
    <row r="341">
      <c r="A341" s="114"/>
      <c r="B341" s="114"/>
      <c r="C341" s="114"/>
      <c r="D341" s="114"/>
      <c r="E341" s="114"/>
      <c r="F341" s="114"/>
      <c r="G341" s="114"/>
      <c r="H341" s="114"/>
      <c r="I341" s="114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  <c r="X341" s="114"/>
      <c r="Y341" s="114"/>
      <c r="Z341" s="114"/>
    </row>
    <row r="342">
      <c r="A342" s="114"/>
      <c r="B342" s="114"/>
      <c r="C342" s="114"/>
      <c r="D342" s="114"/>
      <c r="E342" s="114"/>
      <c r="F342" s="114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</row>
    <row r="343">
      <c r="A343" s="114"/>
      <c r="B343" s="114"/>
      <c r="C343" s="114"/>
      <c r="D343" s="114"/>
      <c r="E343" s="114"/>
      <c r="F343" s="114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</row>
    <row r="344">
      <c r="A344" s="114"/>
      <c r="B344" s="114"/>
      <c r="C344" s="114"/>
      <c r="D344" s="114"/>
      <c r="E344" s="114"/>
      <c r="F344" s="114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</row>
    <row r="345">
      <c r="A345" s="114"/>
      <c r="B345" s="114"/>
      <c r="C345" s="114"/>
      <c r="D345" s="114"/>
      <c r="E345" s="114"/>
      <c r="F345" s="114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</row>
    <row r="346">
      <c r="A346" s="114"/>
      <c r="B346" s="114"/>
      <c r="C346" s="114"/>
      <c r="D346" s="114"/>
      <c r="E346" s="114"/>
      <c r="F346" s="114"/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</row>
    <row r="347">
      <c r="A347" s="114"/>
      <c r="B347" s="114"/>
      <c r="C347" s="114"/>
      <c r="D347" s="114"/>
      <c r="E347" s="114"/>
      <c r="F347" s="114"/>
      <c r="G347" s="114"/>
      <c r="H347" s="114"/>
      <c r="I347" s="11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</row>
    <row r="348">
      <c r="A348" s="114"/>
      <c r="B348" s="114"/>
      <c r="C348" s="114"/>
      <c r="D348" s="114"/>
      <c r="E348" s="114"/>
      <c r="F348" s="114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</row>
    <row r="349">
      <c r="A349" s="114"/>
      <c r="B349" s="114"/>
      <c r="C349" s="114"/>
      <c r="D349" s="114"/>
      <c r="E349" s="114"/>
      <c r="F349" s="114"/>
      <c r="G349" s="114"/>
      <c r="H349" s="114"/>
      <c r="I349" s="11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</row>
    <row r="350">
      <c r="A350" s="114"/>
      <c r="B350" s="114"/>
      <c r="C350" s="114"/>
      <c r="D350" s="114"/>
      <c r="E350" s="114"/>
      <c r="F350" s="114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</row>
    <row r="351">
      <c r="A351" s="114"/>
      <c r="B351" s="114"/>
      <c r="C351" s="114"/>
      <c r="D351" s="114"/>
      <c r="E351" s="114"/>
      <c r="F351" s="114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</row>
    <row r="352">
      <c r="A352" s="114"/>
      <c r="B352" s="114"/>
      <c r="C352" s="114"/>
      <c r="D352" s="114"/>
      <c r="E352" s="114"/>
      <c r="F352" s="114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</row>
    <row r="353">
      <c r="A353" s="114"/>
      <c r="B353" s="114"/>
      <c r="C353" s="114"/>
      <c r="D353" s="114"/>
      <c r="E353" s="114"/>
      <c r="F353" s="114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</row>
    <row r="354">
      <c r="A354" s="114"/>
      <c r="B354" s="114"/>
      <c r="C354" s="114"/>
      <c r="D354" s="114"/>
      <c r="E354" s="114"/>
      <c r="F354" s="114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</row>
    <row r="355">
      <c r="A355" s="114"/>
      <c r="B355" s="114"/>
      <c r="C355" s="114"/>
      <c r="D355" s="114"/>
      <c r="E355" s="114"/>
      <c r="F355" s="114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</row>
    <row r="356">
      <c r="A356" s="114"/>
      <c r="B356" s="114"/>
      <c r="C356" s="114"/>
      <c r="D356" s="114"/>
      <c r="E356" s="114"/>
      <c r="F356" s="114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</row>
    <row r="357">
      <c r="A357" s="114"/>
      <c r="B357" s="114"/>
      <c r="C357" s="114"/>
      <c r="D357" s="114"/>
      <c r="E357" s="114"/>
      <c r="F357" s="114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</row>
    <row r="358">
      <c r="A358" s="114"/>
      <c r="B358" s="114"/>
      <c r="C358" s="114"/>
      <c r="D358" s="114"/>
      <c r="E358" s="114"/>
      <c r="F358" s="114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</row>
    <row r="359">
      <c r="A359" s="114"/>
      <c r="B359" s="114"/>
      <c r="C359" s="114"/>
      <c r="D359" s="114"/>
      <c r="E359" s="114"/>
      <c r="F359" s="114"/>
      <c r="G359" s="114"/>
      <c r="H359" s="114"/>
      <c r="I359" s="114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</row>
    <row r="360">
      <c r="A360" s="114"/>
      <c r="B360" s="114"/>
      <c r="C360" s="114"/>
      <c r="D360" s="114"/>
      <c r="E360" s="114"/>
      <c r="F360" s="114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</row>
    <row r="361">
      <c r="A361" s="114"/>
      <c r="B361" s="114"/>
      <c r="C361" s="114"/>
      <c r="D361" s="114"/>
      <c r="E361" s="114"/>
      <c r="F361" s="114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</row>
    <row r="362">
      <c r="A362" s="114"/>
      <c r="B362" s="114"/>
      <c r="C362" s="114"/>
      <c r="D362" s="114"/>
      <c r="E362" s="114"/>
      <c r="F362" s="114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</row>
    <row r="363">
      <c r="A363" s="114"/>
      <c r="B363" s="114"/>
      <c r="C363" s="114"/>
      <c r="D363" s="114"/>
      <c r="E363" s="114"/>
      <c r="F363" s="114"/>
      <c r="G363" s="114"/>
      <c r="H363" s="114"/>
      <c r="I363" s="114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</row>
    <row r="364">
      <c r="A364" s="114"/>
      <c r="B364" s="114"/>
      <c r="C364" s="114"/>
      <c r="D364" s="114"/>
      <c r="E364" s="114"/>
      <c r="F364" s="114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</row>
    <row r="365">
      <c r="A365" s="114"/>
      <c r="B365" s="114"/>
      <c r="C365" s="114"/>
      <c r="D365" s="114"/>
      <c r="E365" s="114"/>
      <c r="F365" s="114"/>
      <c r="G365" s="114"/>
      <c r="H365" s="114"/>
      <c r="I365" s="114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</row>
    <row r="366">
      <c r="A366" s="114"/>
      <c r="B366" s="114"/>
      <c r="C366" s="114"/>
      <c r="D366" s="114"/>
      <c r="E366" s="114"/>
      <c r="F366" s="114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</row>
    <row r="367">
      <c r="A367" s="114"/>
      <c r="B367" s="114"/>
      <c r="C367" s="114"/>
      <c r="D367" s="114"/>
      <c r="E367" s="114"/>
      <c r="F367" s="114"/>
      <c r="G367" s="114"/>
      <c r="H367" s="114"/>
      <c r="I367" s="114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</row>
    <row r="368">
      <c r="A368" s="114"/>
      <c r="B368" s="114"/>
      <c r="C368" s="114"/>
      <c r="D368" s="114"/>
      <c r="E368" s="114"/>
      <c r="F368" s="114"/>
      <c r="G368" s="114"/>
      <c r="H368" s="114"/>
      <c r="I368" s="114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</row>
    <row r="369">
      <c r="A369" s="114"/>
      <c r="B369" s="114"/>
      <c r="C369" s="114"/>
      <c r="D369" s="114"/>
      <c r="E369" s="114"/>
      <c r="F369" s="114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</row>
    <row r="370">
      <c r="A370" s="114"/>
      <c r="B370" s="114"/>
      <c r="C370" s="114"/>
      <c r="D370" s="114"/>
      <c r="E370" s="114"/>
      <c r="F370" s="114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</row>
    <row r="371">
      <c r="A371" s="114"/>
      <c r="B371" s="114"/>
      <c r="C371" s="114"/>
      <c r="D371" s="114"/>
      <c r="E371" s="114"/>
      <c r="F371" s="114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</row>
    <row r="372">
      <c r="A372" s="114"/>
      <c r="B372" s="114"/>
      <c r="C372" s="114"/>
      <c r="D372" s="114"/>
      <c r="E372" s="114"/>
      <c r="F372" s="114"/>
      <c r="G372" s="114"/>
      <c r="H372" s="114"/>
      <c r="I372" s="114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</row>
    <row r="373">
      <c r="A373" s="114"/>
      <c r="B373" s="114"/>
      <c r="C373" s="114"/>
      <c r="D373" s="114"/>
      <c r="E373" s="114"/>
      <c r="F373" s="114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</row>
    <row r="374">
      <c r="A374" s="114"/>
      <c r="B374" s="114"/>
      <c r="C374" s="114"/>
      <c r="D374" s="114"/>
      <c r="E374" s="114"/>
      <c r="F374" s="114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</row>
    <row r="375">
      <c r="A375" s="114"/>
      <c r="B375" s="114"/>
      <c r="C375" s="114"/>
      <c r="D375" s="114"/>
      <c r="E375" s="114"/>
      <c r="F375" s="114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</row>
    <row r="376">
      <c r="A376" s="114"/>
      <c r="B376" s="114"/>
      <c r="C376" s="114"/>
      <c r="D376" s="114"/>
      <c r="E376" s="114"/>
      <c r="F376" s="114"/>
      <c r="G376" s="114"/>
      <c r="H376" s="114"/>
      <c r="I376" s="114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</row>
    <row r="377">
      <c r="A377" s="114"/>
      <c r="B377" s="114"/>
      <c r="C377" s="114"/>
      <c r="D377" s="114"/>
      <c r="E377" s="114"/>
      <c r="F377" s="114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</row>
    <row r="378">
      <c r="A378" s="114"/>
      <c r="B378" s="114"/>
      <c r="C378" s="114"/>
      <c r="D378" s="114"/>
      <c r="E378" s="114"/>
      <c r="F378" s="114"/>
      <c r="G378" s="114"/>
      <c r="H378" s="114"/>
      <c r="I378" s="114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</row>
    <row r="379">
      <c r="A379" s="114"/>
      <c r="B379" s="114"/>
      <c r="C379" s="114"/>
      <c r="D379" s="114"/>
      <c r="E379" s="114"/>
      <c r="F379" s="114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</row>
    <row r="380">
      <c r="A380" s="114"/>
      <c r="B380" s="114"/>
      <c r="C380" s="114"/>
      <c r="D380" s="114"/>
      <c r="E380" s="114"/>
      <c r="F380" s="114"/>
      <c r="G380" s="114"/>
      <c r="H380" s="114"/>
      <c r="I380" s="114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</row>
    <row r="381">
      <c r="A381" s="114"/>
      <c r="B381" s="114"/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</row>
    <row r="382">
      <c r="A382" s="114"/>
      <c r="B382" s="114"/>
      <c r="C382" s="114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</row>
    <row r="383">
      <c r="A383" s="114"/>
      <c r="B383" s="114"/>
      <c r="C383" s="114"/>
      <c r="D383" s="114"/>
      <c r="E383" s="114"/>
      <c r="F383" s="114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</row>
    <row r="384">
      <c r="A384" s="114"/>
      <c r="B384" s="114"/>
      <c r="C384" s="114"/>
      <c r="D384" s="114"/>
      <c r="E384" s="114"/>
      <c r="F384" s="114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</row>
    <row r="385">
      <c r="A385" s="114"/>
      <c r="B385" s="114"/>
      <c r="C385" s="114"/>
      <c r="D385" s="114"/>
      <c r="E385" s="114"/>
      <c r="F385" s="114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</row>
    <row r="386">
      <c r="A386" s="114"/>
      <c r="B386" s="114"/>
      <c r="C386" s="114"/>
      <c r="D386" s="114"/>
      <c r="E386" s="114"/>
      <c r="F386" s="114"/>
      <c r="G386" s="114"/>
      <c r="H386" s="114"/>
      <c r="I386" s="114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</row>
    <row r="387">
      <c r="A387" s="114"/>
      <c r="B387" s="114"/>
      <c r="C387" s="114"/>
      <c r="D387" s="114"/>
      <c r="E387" s="114"/>
      <c r="F387" s="114"/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</row>
    <row r="388">
      <c r="A388" s="114"/>
      <c r="B388" s="114"/>
      <c r="C388" s="114"/>
      <c r="D388" s="114"/>
      <c r="E388" s="114"/>
      <c r="F388" s="114"/>
      <c r="G388" s="114"/>
      <c r="H388" s="114"/>
      <c r="I388" s="114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</row>
    <row r="389">
      <c r="A389" s="114"/>
      <c r="B389" s="114"/>
      <c r="C389" s="114"/>
      <c r="D389" s="114"/>
      <c r="E389" s="114"/>
      <c r="F389" s="114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</row>
    <row r="390">
      <c r="A390" s="114"/>
      <c r="B390" s="114"/>
      <c r="C390" s="114"/>
      <c r="D390" s="114"/>
      <c r="E390" s="114"/>
      <c r="F390" s="114"/>
      <c r="G390" s="114"/>
      <c r="H390" s="114"/>
      <c r="I390" s="114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</row>
    <row r="391">
      <c r="A391" s="114"/>
      <c r="B391" s="114"/>
      <c r="C391" s="114"/>
      <c r="D391" s="114"/>
      <c r="E391" s="114"/>
      <c r="F391" s="114"/>
      <c r="G391" s="114"/>
      <c r="H391" s="114"/>
      <c r="I391" s="114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</row>
    <row r="392">
      <c r="A392" s="114"/>
      <c r="B392" s="114"/>
      <c r="C392" s="114"/>
      <c r="D392" s="114"/>
      <c r="E392" s="114"/>
      <c r="F392" s="114"/>
      <c r="G392" s="114"/>
      <c r="H392" s="114"/>
      <c r="I392" s="114"/>
      <c r="J392" s="114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</row>
    <row r="393">
      <c r="A393" s="114"/>
      <c r="B393" s="114"/>
      <c r="C393" s="114"/>
      <c r="D393" s="114"/>
      <c r="E393" s="114"/>
      <c r="F393" s="114"/>
      <c r="G393" s="114"/>
      <c r="H393" s="114"/>
      <c r="I393" s="114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</row>
    <row r="394">
      <c r="A394" s="114"/>
      <c r="B394" s="114"/>
      <c r="C394" s="114"/>
      <c r="D394" s="114"/>
      <c r="E394" s="114"/>
      <c r="F394" s="114"/>
      <c r="G394" s="114"/>
      <c r="H394" s="114"/>
      <c r="I394" s="114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</row>
    <row r="395">
      <c r="A395" s="114"/>
      <c r="B395" s="114"/>
      <c r="C395" s="114"/>
      <c r="D395" s="114"/>
      <c r="E395" s="114"/>
      <c r="F395" s="114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</row>
    <row r="396">
      <c r="A396" s="114"/>
      <c r="B396" s="114"/>
      <c r="C396" s="114"/>
      <c r="D396" s="114"/>
      <c r="E396" s="114"/>
      <c r="F396" s="114"/>
      <c r="G396" s="114"/>
      <c r="H396" s="114"/>
      <c r="I396" s="114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</row>
    <row r="397">
      <c r="A397" s="114"/>
      <c r="B397" s="114"/>
      <c r="C397" s="114"/>
      <c r="D397" s="114"/>
      <c r="E397" s="114"/>
      <c r="F397" s="114"/>
      <c r="G397" s="114"/>
      <c r="H397" s="114"/>
      <c r="I397" s="114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</row>
    <row r="398">
      <c r="A398" s="114"/>
      <c r="B398" s="114"/>
      <c r="C398" s="114"/>
      <c r="D398" s="114"/>
      <c r="E398" s="114"/>
      <c r="F398" s="114"/>
      <c r="G398" s="114"/>
      <c r="H398" s="114"/>
      <c r="I398" s="114"/>
      <c r="J398" s="114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</row>
    <row r="399">
      <c r="A399" s="114"/>
      <c r="B399" s="114"/>
      <c r="C399" s="114"/>
      <c r="D399" s="114"/>
      <c r="E399" s="114"/>
      <c r="F399" s="114"/>
      <c r="G399" s="114"/>
      <c r="H399" s="114"/>
      <c r="I399" s="114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</row>
    <row r="400">
      <c r="A400" s="114"/>
      <c r="B400" s="114"/>
      <c r="C400" s="114"/>
      <c r="D400" s="114"/>
      <c r="E400" s="114"/>
      <c r="F400" s="114"/>
      <c r="G400" s="114"/>
      <c r="H400" s="114"/>
      <c r="I400" s="114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</row>
    <row r="401">
      <c r="A401" s="114"/>
      <c r="B401" s="114"/>
      <c r="C401" s="114"/>
      <c r="D401" s="114"/>
      <c r="E401" s="114"/>
      <c r="F401" s="114"/>
      <c r="G401" s="114"/>
      <c r="H401" s="114"/>
      <c r="I401" s="114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</row>
    <row r="402">
      <c r="A402" s="114"/>
      <c r="B402" s="114"/>
      <c r="C402" s="114"/>
      <c r="D402" s="114"/>
      <c r="E402" s="114"/>
      <c r="F402" s="114"/>
      <c r="G402" s="114"/>
      <c r="H402" s="114"/>
      <c r="I402" s="114"/>
      <c r="J402" s="114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</row>
    <row r="403">
      <c r="A403" s="114"/>
      <c r="B403" s="114"/>
      <c r="C403" s="114"/>
      <c r="D403" s="114"/>
      <c r="E403" s="114"/>
      <c r="F403" s="114"/>
      <c r="G403" s="114"/>
      <c r="H403" s="114"/>
      <c r="I403" s="114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</row>
    <row r="404">
      <c r="A404" s="114"/>
      <c r="B404" s="114"/>
      <c r="C404" s="114"/>
      <c r="D404" s="114"/>
      <c r="E404" s="114"/>
      <c r="F404" s="114"/>
      <c r="G404" s="114"/>
      <c r="H404" s="114"/>
      <c r="I404" s="114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</row>
    <row r="405">
      <c r="A405" s="114"/>
      <c r="B405" s="114"/>
      <c r="C405" s="114"/>
      <c r="D405" s="114"/>
      <c r="E405" s="114"/>
      <c r="F405" s="114"/>
      <c r="G405" s="114"/>
      <c r="H405" s="114"/>
      <c r="I405" s="114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</row>
    <row r="406">
      <c r="A406" s="114"/>
      <c r="B406" s="114"/>
      <c r="C406" s="114"/>
      <c r="D406" s="114"/>
      <c r="E406" s="114"/>
      <c r="F406" s="114"/>
      <c r="G406" s="114"/>
      <c r="H406" s="114"/>
      <c r="I406" s="114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</row>
    <row r="407">
      <c r="A407" s="114"/>
      <c r="B407" s="114"/>
      <c r="C407" s="114"/>
      <c r="D407" s="114"/>
      <c r="E407" s="114"/>
      <c r="F407" s="114"/>
      <c r="G407" s="114"/>
      <c r="H407" s="114"/>
      <c r="I407" s="114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</row>
    <row r="408">
      <c r="A408" s="114"/>
      <c r="B408" s="114"/>
      <c r="C408" s="114"/>
      <c r="D408" s="114"/>
      <c r="E408" s="114"/>
      <c r="F408" s="114"/>
      <c r="G408" s="114"/>
      <c r="H408" s="114"/>
      <c r="I408" s="114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</row>
    <row r="409">
      <c r="A409" s="114"/>
      <c r="B409" s="114"/>
      <c r="C409" s="114"/>
      <c r="D409" s="114"/>
      <c r="E409" s="114"/>
      <c r="F409" s="114"/>
      <c r="G409" s="114"/>
      <c r="H409" s="114"/>
      <c r="I409" s="114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</row>
    <row r="410">
      <c r="A410" s="114"/>
      <c r="B410" s="114"/>
      <c r="C410" s="114"/>
      <c r="D410" s="114"/>
      <c r="E410" s="114"/>
      <c r="F410" s="114"/>
      <c r="G410" s="114"/>
      <c r="H410" s="114"/>
      <c r="I410" s="114"/>
      <c r="J410" s="114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</row>
    <row r="411">
      <c r="A411" s="114"/>
      <c r="B411" s="114"/>
      <c r="C411" s="114"/>
      <c r="D411" s="114"/>
      <c r="E411" s="114"/>
      <c r="F411" s="114"/>
      <c r="G411" s="114"/>
      <c r="H411" s="114"/>
      <c r="I411" s="114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</row>
    <row r="412">
      <c r="A412" s="114"/>
      <c r="B412" s="114"/>
      <c r="C412" s="114"/>
      <c r="D412" s="114"/>
      <c r="E412" s="114"/>
      <c r="F412" s="114"/>
      <c r="G412" s="114"/>
      <c r="H412" s="114"/>
      <c r="I412" s="114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</row>
    <row r="413">
      <c r="A413" s="114"/>
      <c r="B413" s="114"/>
      <c r="C413" s="114"/>
      <c r="D413" s="114"/>
      <c r="E413" s="114"/>
      <c r="F413" s="114"/>
      <c r="G413" s="114"/>
      <c r="H413" s="114"/>
      <c r="I413" s="114"/>
      <c r="J413" s="114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</row>
    <row r="414">
      <c r="A414" s="114"/>
      <c r="B414" s="114"/>
      <c r="C414" s="114"/>
      <c r="D414" s="114"/>
      <c r="E414" s="114"/>
      <c r="F414" s="114"/>
      <c r="G414" s="114"/>
      <c r="H414" s="114"/>
      <c r="I414" s="114"/>
      <c r="J414" s="114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</row>
    <row r="415">
      <c r="A415" s="114"/>
      <c r="B415" s="114"/>
      <c r="C415" s="114"/>
      <c r="D415" s="114"/>
      <c r="E415" s="114"/>
      <c r="F415" s="114"/>
      <c r="G415" s="114"/>
      <c r="H415" s="114"/>
      <c r="I415" s="114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</row>
    <row r="416">
      <c r="A416" s="114"/>
      <c r="B416" s="114"/>
      <c r="C416" s="114"/>
      <c r="D416" s="114"/>
      <c r="E416" s="114"/>
      <c r="F416" s="114"/>
      <c r="G416" s="114"/>
      <c r="H416" s="114"/>
      <c r="I416" s="114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</row>
    <row r="417">
      <c r="A417" s="114"/>
      <c r="B417" s="114"/>
      <c r="C417" s="114"/>
      <c r="D417" s="114"/>
      <c r="E417" s="114"/>
      <c r="F417" s="114"/>
      <c r="G417" s="114"/>
      <c r="H417" s="114"/>
      <c r="I417" s="114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</row>
    <row r="418">
      <c r="A418" s="114"/>
      <c r="B418" s="114"/>
      <c r="C418" s="114"/>
      <c r="D418" s="114"/>
      <c r="E418" s="114"/>
      <c r="F418" s="114"/>
      <c r="G418" s="114"/>
      <c r="H418" s="114"/>
      <c r="I418" s="114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</row>
    <row r="419">
      <c r="A419" s="114"/>
      <c r="B419" s="114"/>
      <c r="C419" s="114"/>
      <c r="D419" s="114"/>
      <c r="E419" s="114"/>
      <c r="F419" s="114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</row>
    <row r="420">
      <c r="A420" s="114"/>
      <c r="B420" s="114"/>
      <c r="C420" s="114"/>
      <c r="D420" s="114"/>
      <c r="E420" s="114"/>
      <c r="F420" s="114"/>
      <c r="G420" s="114"/>
      <c r="H420" s="114"/>
      <c r="I420" s="114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</row>
    <row r="421">
      <c r="A421" s="114"/>
      <c r="B421" s="114"/>
      <c r="C421" s="114"/>
      <c r="D421" s="114"/>
      <c r="E421" s="114"/>
      <c r="F421" s="114"/>
      <c r="G421" s="114"/>
      <c r="H421" s="114"/>
      <c r="I421" s="114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</row>
    <row r="422">
      <c r="A422" s="114"/>
      <c r="B422" s="114"/>
      <c r="C422" s="114"/>
      <c r="D422" s="114"/>
      <c r="E422" s="114"/>
      <c r="F422" s="114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</row>
    <row r="423">
      <c r="A423" s="114"/>
      <c r="B423" s="114"/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</row>
    <row r="424">
      <c r="A424" s="114"/>
      <c r="B424" s="114"/>
      <c r="C424" s="114"/>
      <c r="D424" s="114"/>
      <c r="E424" s="114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</row>
    <row r="425">
      <c r="A425" s="114"/>
      <c r="B425" s="114"/>
      <c r="C425" s="114"/>
      <c r="D425" s="114"/>
      <c r="E425" s="114"/>
      <c r="F425" s="114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</row>
    <row r="426">
      <c r="A426" s="114"/>
      <c r="B426" s="114"/>
      <c r="C426" s="114"/>
      <c r="D426" s="114"/>
      <c r="E426" s="114"/>
      <c r="F426" s="114"/>
      <c r="G426" s="114"/>
      <c r="H426" s="114"/>
      <c r="I426" s="114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</row>
    <row r="427">
      <c r="A427" s="114"/>
      <c r="B427" s="114"/>
      <c r="C427" s="114"/>
      <c r="D427" s="114"/>
      <c r="E427" s="114"/>
      <c r="F427" s="114"/>
      <c r="G427" s="114"/>
      <c r="H427" s="114"/>
      <c r="I427" s="114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</row>
    <row r="428">
      <c r="A428" s="114"/>
      <c r="B428" s="114"/>
      <c r="C428" s="114"/>
      <c r="D428" s="114"/>
      <c r="E428" s="114"/>
      <c r="F428" s="114"/>
      <c r="G428" s="114"/>
      <c r="H428" s="114"/>
      <c r="I428" s="114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</row>
    <row r="429">
      <c r="A429" s="114"/>
      <c r="B429" s="114"/>
      <c r="C429" s="114"/>
      <c r="D429" s="114"/>
      <c r="E429" s="114"/>
      <c r="F429" s="114"/>
      <c r="G429" s="114"/>
      <c r="H429" s="114"/>
      <c r="I429" s="114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</row>
    <row r="430">
      <c r="A430" s="114"/>
      <c r="B430" s="114"/>
      <c r="C430" s="114"/>
      <c r="D430" s="114"/>
      <c r="E430" s="114"/>
      <c r="F430" s="114"/>
      <c r="G430" s="114"/>
      <c r="H430" s="114"/>
      <c r="I430" s="114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</row>
    <row r="431">
      <c r="A431" s="114"/>
      <c r="B431" s="114"/>
      <c r="C431" s="114"/>
      <c r="D431" s="114"/>
      <c r="E431" s="114"/>
      <c r="F431" s="114"/>
      <c r="G431" s="114"/>
      <c r="H431" s="114"/>
      <c r="I431" s="114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</row>
    <row r="432">
      <c r="A432" s="114"/>
      <c r="B432" s="114"/>
      <c r="C432" s="114"/>
      <c r="D432" s="114"/>
      <c r="E432" s="114"/>
      <c r="F432" s="114"/>
      <c r="G432" s="114"/>
      <c r="H432" s="114"/>
      <c r="I432" s="114"/>
      <c r="J432" s="114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</row>
    <row r="433">
      <c r="A433" s="114"/>
      <c r="B433" s="114"/>
      <c r="C433" s="114"/>
      <c r="D433" s="114"/>
      <c r="E433" s="114"/>
      <c r="F433" s="114"/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</row>
    <row r="434">
      <c r="A434" s="114"/>
      <c r="B434" s="114"/>
      <c r="C434" s="114"/>
      <c r="D434" s="114"/>
      <c r="E434" s="114"/>
      <c r="F434" s="114"/>
      <c r="G434" s="114"/>
      <c r="H434" s="114"/>
      <c r="I434" s="114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</row>
    <row r="435">
      <c r="A435" s="114"/>
      <c r="B435" s="114"/>
      <c r="C435" s="114"/>
      <c r="D435" s="114"/>
      <c r="E435" s="114"/>
      <c r="F435" s="114"/>
      <c r="G435" s="114"/>
      <c r="H435" s="114"/>
      <c r="I435" s="114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</row>
    <row r="436">
      <c r="A436" s="114"/>
      <c r="B436" s="114"/>
      <c r="C436" s="114"/>
      <c r="D436" s="114"/>
      <c r="E436" s="114"/>
      <c r="F436" s="114"/>
      <c r="G436" s="114"/>
      <c r="H436" s="114"/>
      <c r="I436" s="114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</row>
    <row r="437">
      <c r="A437" s="114"/>
      <c r="B437" s="114"/>
      <c r="C437" s="114"/>
      <c r="D437" s="114"/>
      <c r="E437" s="114"/>
      <c r="F437" s="114"/>
      <c r="G437" s="114"/>
      <c r="H437" s="114"/>
      <c r="I437" s="114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</row>
    <row r="438">
      <c r="A438" s="114"/>
      <c r="B438" s="114"/>
      <c r="C438" s="114"/>
      <c r="D438" s="114"/>
      <c r="E438" s="114"/>
      <c r="F438" s="114"/>
      <c r="G438" s="114"/>
      <c r="H438" s="114"/>
      <c r="I438" s="114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</row>
    <row r="439">
      <c r="A439" s="114"/>
      <c r="B439" s="114"/>
      <c r="C439" s="114"/>
      <c r="D439" s="114"/>
      <c r="E439" s="114"/>
      <c r="F439" s="114"/>
      <c r="G439" s="114"/>
      <c r="H439" s="114"/>
      <c r="I439" s="114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</row>
    <row r="440">
      <c r="A440" s="114"/>
      <c r="B440" s="114"/>
      <c r="C440" s="114"/>
      <c r="D440" s="114"/>
      <c r="E440" s="114"/>
      <c r="F440" s="114"/>
      <c r="G440" s="114"/>
      <c r="H440" s="114"/>
      <c r="I440" s="114"/>
      <c r="J440" s="114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</row>
    <row r="441">
      <c r="A441" s="114"/>
      <c r="B441" s="114"/>
      <c r="C441" s="114"/>
      <c r="D441" s="114"/>
      <c r="E441" s="114"/>
      <c r="F441" s="114"/>
      <c r="G441" s="114"/>
      <c r="H441" s="114"/>
      <c r="I441" s="114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</row>
    <row r="442">
      <c r="A442" s="114"/>
      <c r="B442" s="114"/>
      <c r="C442" s="114"/>
      <c r="D442" s="114"/>
      <c r="E442" s="114"/>
      <c r="F442" s="114"/>
      <c r="G442" s="114"/>
      <c r="H442" s="114"/>
      <c r="I442" s="114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</row>
    <row r="443">
      <c r="A443" s="114"/>
      <c r="B443" s="114"/>
      <c r="C443" s="114"/>
      <c r="D443" s="114"/>
      <c r="E443" s="114"/>
      <c r="F443" s="114"/>
      <c r="G443" s="114"/>
      <c r="H443" s="114"/>
      <c r="I443" s="114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</row>
    <row r="444">
      <c r="A444" s="114"/>
      <c r="B444" s="114"/>
      <c r="C444" s="114"/>
      <c r="D444" s="114"/>
      <c r="E444" s="114"/>
      <c r="F444" s="114"/>
      <c r="G444" s="114"/>
      <c r="H444" s="114"/>
      <c r="I444" s="114"/>
      <c r="J444" s="114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</row>
    <row r="445">
      <c r="A445" s="114"/>
      <c r="B445" s="114"/>
      <c r="C445" s="114"/>
      <c r="D445" s="114"/>
      <c r="E445" s="114"/>
      <c r="F445" s="114"/>
      <c r="G445" s="114"/>
      <c r="H445" s="114"/>
      <c r="I445" s="114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</row>
    <row r="446">
      <c r="A446" s="114"/>
      <c r="B446" s="114"/>
      <c r="C446" s="114"/>
      <c r="D446" s="114"/>
      <c r="E446" s="114"/>
      <c r="F446" s="114"/>
      <c r="G446" s="114"/>
      <c r="H446" s="114"/>
      <c r="I446" s="114"/>
      <c r="J446" s="114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</row>
    <row r="447">
      <c r="A447" s="114"/>
      <c r="B447" s="114"/>
      <c r="C447" s="114"/>
      <c r="D447" s="114"/>
      <c r="E447" s="114"/>
      <c r="F447" s="114"/>
      <c r="G447" s="114"/>
      <c r="H447" s="114"/>
      <c r="I447" s="114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</row>
    <row r="448">
      <c r="A448" s="114"/>
      <c r="B448" s="114"/>
      <c r="C448" s="114"/>
      <c r="D448" s="114"/>
      <c r="E448" s="114"/>
      <c r="F448" s="114"/>
      <c r="G448" s="114"/>
      <c r="H448" s="114"/>
      <c r="I448" s="114"/>
      <c r="J448" s="114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</row>
    <row r="449">
      <c r="A449" s="114"/>
      <c r="B449" s="114"/>
      <c r="C449" s="114"/>
      <c r="D449" s="114"/>
      <c r="E449" s="114"/>
      <c r="F449" s="114"/>
      <c r="G449" s="114"/>
      <c r="H449" s="114"/>
      <c r="I449" s="114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</row>
    <row r="450">
      <c r="A450" s="114"/>
      <c r="B450" s="114"/>
      <c r="C450" s="114"/>
      <c r="D450" s="114"/>
      <c r="E450" s="114"/>
      <c r="F450" s="114"/>
      <c r="G450" s="114"/>
      <c r="H450" s="114"/>
      <c r="I450" s="114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</row>
    <row r="451">
      <c r="A451" s="114"/>
      <c r="B451" s="114"/>
      <c r="C451" s="114"/>
      <c r="D451" s="114"/>
      <c r="E451" s="114"/>
      <c r="F451" s="114"/>
      <c r="G451" s="114"/>
      <c r="H451" s="114"/>
      <c r="I451" s="114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</row>
    <row r="452">
      <c r="A452" s="114"/>
      <c r="B452" s="114"/>
      <c r="C452" s="114"/>
      <c r="D452" s="114"/>
      <c r="E452" s="114"/>
      <c r="F452" s="114"/>
      <c r="G452" s="114"/>
      <c r="H452" s="114"/>
      <c r="I452" s="114"/>
      <c r="J452" s="114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</row>
    <row r="453">
      <c r="A453" s="114"/>
      <c r="B453" s="114"/>
      <c r="C453" s="114"/>
      <c r="D453" s="114"/>
      <c r="E453" s="114"/>
      <c r="F453" s="114"/>
      <c r="G453" s="114"/>
      <c r="H453" s="114"/>
      <c r="I453" s="114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</row>
    <row r="454">
      <c r="A454" s="114"/>
      <c r="B454" s="114"/>
      <c r="C454" s="114"/>
      <c r="D454" s="114"/>
      <c r="E454" s="114"/>
      <c r="F454" s="114"/>
      <c r="G454" s="114"/>
      <c r="H454" s="114"/>
      <c r="I454" s="114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</row>
    <row r="455">
      <c r="A455" s="114"/>
      <c r="B455" s="114"/>
      <c r="C455" s="114"/>
      <c r="D455" s="114"/>
      <c r="E455" s="114"/>
      <c r="F455" s="114"/>
      <c r="G455" s="114"/>
      <c r="H455" s="114"/>
      <c r="I455" s="114"/>
      <c r="J455" s="114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</row>
    <row r="456">
      <c r="A456" s="114"/>
      <c r="B456" s="114"/>
      <c r="C456" s="114"/>
      <c r="D456" s="114"/>
      <c r="E456" s="114"/>
      <c r="F456" s="114"/>
      <c r="G456" s="114"/>
      <c r="H456" s="114"/>
      <c r="I456" s="114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</row>
    <row r="457">
      <c r="A457" s="114"/>
      <c r="B457" s="114"/>
      <c r="C457" s="114"/>
      <c r="D457" s="114"/>
      <c r="E457" s="114"/>
      <c r="F457" s="114"/>
      <c r="G457" s="114"/>
      <c r="H457" s="114"/>
      <c r="I457" s="114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</row>
    <row r="458">
      <c r="A458" s="114"/>
      <c r="B458" s="114"/>
      <c r="C458" s="114"/>
      <c r="D458" s="114"/>
      <c r="E458" s="114"/>
      <c r="F458" s="114"/>
      <c r="G458" s="114"/>
      <c r="H458" s="114"/>
      <c r="I458" s="114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</row>
    <row r="459">
      <c r="A459" s="114"/>
      <c r="B459" s="114"/>
      <c r="C459" s="114"/>
      <c r="D459" s="114"/>
      <c r="E459" s="114"/>
      <c r="F459" s="114"/>
      <c r="G459" s="114"/>
      <c r="H459" s="114"/>
      <c r="I459" s="114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</row>
    <row r="460">
      <c r="A460" s="114"/>
      <c r="B460" s="114"/>
      <c r="C460" s="114"/>
      <c r="D460" s="114"/>
      <c r="E460" s="114"/>
      <c r="F460" s="114"/>
      <c r="G460" s="114"/>
      <c r="H460" s="114"/>
      <c r="I460" s="114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</row>
    <row r="461">
      <c r="A461" s="114"/>
      <c r="B461" s="114"/>
      <c r="C461" s="114"/>
      <c r="D461" s="114"/>
      <c r="E461" s="114"/>
      <c r="F461" s="114"/>
      <c r="G461" s="114"/>
      <c r="H461" s="114"/>
      <c r="I461" s="114"/>
      <c r="J461" s="114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4"/>
      <c r="Y461" s="114"/>
      <c r="Z461" s="114"/>
    </row>
    <row r="462">
      <c r="A462" s="114"/>
      <c r="B462" s="114"/>
      <c r="C462" s="114"/>
      <c r="D462" s="114"/>
      <c r="E462" s="114"/>
      <c r="F462" s="114"/>
      <c r="G462" s="114"/>
      <c r="H462" s="114"/>
      <c r="I462" s="114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</row>
    <row r="463">
      <c r="A463" s="114"/>
      <c r="B463" s="114"/>
      <c r="C463" s="114"/>
      <c r="D463" s="114"/>
      <c r="E463" s="114"/>
      <c r="F463" s="114"/>
      <c r="G463" s="114"/>
      <c r="H463" s="114"/>
      <c r="I463" s="114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</row>
    <row r="464">
      <c r="A464" s="114"/>
      <c r="B464" s="114"/>
      <c r="C464" s="114"/>
      <c r="D464" s="114"/>
      <c r="E464" s="114"/>
      <c r="F464" s="114"/>
      <c r="G464" s="114"/>
      <c r="H464" s="114"/>
      <c r="I464" s="114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</row>
    <row r="465">
      <c r="A465" s="114"/>
      <c r="B465" s="114"/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</row>
    <row r="466">
      <c r="A466" s="114"/>
      <c r="B466" s="114"/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</row>
    <row r="467">
      <c r="A467" s="114"/>
      <c r="B467" s="114"/>
      <c r="C467" s="114"/>
      <c r="D467" s="114"/>
      <c r="E467" s="114"/>
      <c r="F467" s="114"/>
      <c r="G467" s="114"/>
      <c r="H467" s="114"/>
      <c r="I467" s="114"/>
      <c r="J467" s="114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4"/>
      <c r="Y467" s="114"/>
      <c r="Z467" s="114"/>
    </row>
    <row r="468">
      <c r="A468" s="114"/>
      <c r="B468" s="114"/>
      <c r="C468" s="114"/>
      <c r="D468" s="114"/>
      <c r="E468" s="114"/>
      <c r="F468" s="114"/>
      <c r="G468" s="114"/>
      <c r="H468" s="114"/>
      <c r="I468" s="114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</row>
    <row r="469">
      <c r="A469" s="114"/>
      <c r="B469" s="114"/>
      <c r="C469" s="114"/>
      <c r="D469" s="114"/>
      <c r="E469" s="114"/>
      <c r="F469" s="114"/>
      <c r="G469" s="114"/>
      <c r="H469" s="114"/>
      <c r="I469" s="114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</row>
    <row r="470">
      <c r="A470" s="114"/>
      <c r="B470" s="114"/>
      <c r="C470" s="114"/>
      <c r="D470" s="114"/>
      <c r="E470" s="114"/>
      <c r="F470" s="114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</row>
    <row r="471">
      <c r="A471" s="114"/>
      <c r="B471" s="114"/>
      <c r="C471" s="114"/>
      <c r="D471" s="114"/>
      <c r="E471" s="114"/>
      <c r="F471" s="114"/>
      <c r="G471" s="114"/>
      <c r="H471" s="114"/>
      <c r="I471" s="114"/>
      <c r="J471" s="114"/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</row>
    <row r="472">
      <c r="A472" s="114"/>
      <c r="B472" s="114"/>
      <c r="C472" s="114"/>
      <c r="D472" s="114"/>
      <c r="E472" s="114"/>
      <c r="F472" s="114"/>
      <c r="G472" s="114"/>
      <c r="H472" s="114"/>
      <c r="I472" s="114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</row>
    <row r="473">
      <c r="A473" s="114"/>
      <c r="B473" s="114"/>
      <c r="C473" s="114"/>
      <c r="D473" s="114"/>
      <c r="E473" s="114"/>
      <c r="F473" s="114"/>
      <c r="G473" s="114"/>
      <c r="H473" s="114"/>
      <c r="I473" s="114"/>
      <c r="J473" s="114"/>
      <c r="K473" s="114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  <c r="X473" s="114"/>
      <c r="Y473" s="114"/>
      <c r="Z473" s="114"/>
    </row>
    <row r="474">
      <c r="A474" s="114"/>
      <c r="B474" s="114"/>
      <c r="C474" s="114"/>
      <c r="D474" s="114"/>
      <c r="E474" s="114"/>
      <c r="F474" s="114"/>
      <c r="G474" s="114"/>
      <c r="H474" s="114"/>
      <c r="I474" s="114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</row>
    <row r="475">
      <c r="A475" s="114"/>
      <c r="B475" s="114"/>
      <c r="C475" s="114"/>
      <c r="D475" s="114"/>
      <c r="E475" s="114"/>
      <c r="F475" s="114"/>
      <c r="G475" s="114"/>
      <c r="H475" s="114"/>
      <c r="I475" s="114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</row>
    <row r="476">
      <c r="A476" s="114"/>
      <c r="B476" s="114"/>
      <c r="C476" s="114"/>
      <c r="D476" s="114"/>
      <c r="E476" s="114"/>
      <c r="F476" s="114"/>
      <c r="G476" s="114"/>
      <c r="H476" s="114"/>
      <c r="I476" s="114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</row>
    <row r="477">
      <c r="A477" s="114"/>
      <c r="B477" s="114"/>
      <c r="C477" s="114"/>
      <c r="D477" s="114"/>
      <c r="E477" s="114"/>
      <c r="F477" s="114"/>
      <c r="G477" s="114"/>
      <c r="H477" s="114"/>
      <c r="I477" s="114"/>
      <c r="J477" s="114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4"/>
      <c r="Y477" s="114"/>
      <c r="Z477" s="114"/>
    </row>
    <row r="478">
      <c r="A478" s="114"/>
      <c r="B478" s="114"/>
      <c r="C478" s="114"/>
      <c r="D478" s="114"/>
      <c r="E478" s="114"/>
      <c r="F478" s="114"/>
      <c r="G478" s="114"/>
      <c r="H478" s="114"/>
      <c r="I478" s="114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</row>
    <row r="479">
      <c r="A479" s="114"/>
      <c r="B479" s="114"/>
      <c r="C479" s="114"/>
      <c r="D479" s="114"/>
      <c r="E479" s="114"/>
      <c r="F479" s="114"/>
      <c r="G479" s="114"/>
      <c r="H479" s="114"/>
      <c r="I479" s="114"/>
      <c r="J479" s="114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4"/>
      <c r="Y479" s="114"/>
      <c r="Z479" s="114"/>
    </row>
    <row r="480">
      <c r="A480" s="114"/>
      <c r="B480" s="114"/>
      <c r="C480" s="114"/>
      <c r="D480" s="114"/>
      <c r="E480" s="114"/>
      <c r="F480" s="114"/>
      <c r="G480" s="114"/>
      <c r="H480" s="114"/>
      <c r="I480" s="114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4"/>
      <c r="Y480" s="114"/>
      <c r="Z480" s="114"/>
    </row>
    <row r="481">
      <c r="A481" s="114"/>
      <c r="B481" s="114"/>
      <c r="C481" s="114"/>
      <c r="D481" s="114"/>
      <c r="E481" s="114"/>
      <c r="F481" s="114"/>
      <c r="G481" s="114"/>
      <c r="H481" s="114"/>
      <c r="I481" s="114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4"/>
      <c r="Y481" s="114"/>
      <c r="Z481" s="114"/>
    </row>
    <row r="482">
      <c r="A482" s="114"/>
      <c r="B482" s="114"/>
      <c r="C482" s="114"/>
      <c r="D482" s="114"/>
      <c r="E482" s="114"/>
      <c r="F482" s="114"/>
      <c r="G482" s="114"/>
      <c r="H482" s="114"/>
      <c r="I482" s="114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4"/>
      <c r="Y482" s="114"/>
      <c r="Z482" s="114"/>
    </row>
    <row r="483">
      <c r="A483" s="114"/>
      <c r="B483" s="114"/>
      <c r="C483" s="114"/>
      <c r="D483" s="114"/>
      <c r="E483" s="114"/>
      <c r="F483" s="114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</row>
    <row r="484">
      <c r="A484" s="114"/>
      <c r="B484" s="114"/>
      <c r="C484" s="114"/>
      <c r="D484" s="114"/>
      <c r="E484" s="114"/>
      <c r="F484" s="114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</row>
    <row r="485">
      <c r="A485" s="114"/>
      <c r="B485" s="114"/>
      <c r="C485" s="114"/>
      <c r="D485" s="114"/>
      <c r="E485" s="114"/>
      <c r="F485" s="114"/>
      <c r="G485" s="114"/>
      <c r="H485" s="114"/>
      <c r="I485" s="114"/>
      <c r="J485" s="114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  <c r="X485" s="114"/>
      <c r="Y485" s="114"/>
      <c r="Z485" s="114"/>
    </row>
    <row r="486">
      <c r="A486" s="114"/>
      <c r="B486" s="114"/>
      <c r="C486" s="114"/>
      <c r="D486" s="114"/>
      <c r="E486" s="114"/>
      <c r="F486" s="114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</row>
    <row r="487">
      <c r="A487" s="114"/>
      <c r="B487" s="114"/>
      <c r="C487" s="114"/>
      <c r="D487" s="114"/>
      <c r="E487" s="114"/>
      <c r="F487" s="114"/>
      <c r="G487" s="114"/>
      <c r="H487" s="114"/>
      <c r="I487" s="114"/>
      <c r="J487" s="114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  <c r="X487" s="114"/>
      <c r="Y487" s="114"/>
      <c r="Z487" s="114"/>
    </row>
    <row r="488">
      <c r="A488" s="114"/>
      <c r="B488" s="114"/>
      <c r="C488" s="114"/>
      <c r="D488" s="114"/>
      <c r="E488" s="114"/>
      <c r="F488" s="114"/>
      <c r="G488" s="114"/>
      <c r="H488" s="114"/>
      <c r="I488" s="114"/>
      <c r="J488" s="114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4"/>
      <c r="Y488" s="114"/>
      <c r="Z488" s="114"/>
    </row>
    <row r="489">
      <c r="A489" s="114"/>
      <c r="B489" s="114"/>
      <c r="C489" s="114"/>
      <c r="D489" s="114"/>
      <c r="E489" s="114"/>
      <c r="F489" s="114"/>
      <c r="G489" s="114"/>
      <c r="H489" s="114"/>
      <c r="I489" s="114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4"/>
      <c r="Y489" s="114"/>
      <c r="Z489" s="114"/>
    </row>
    <row r="490">
      <c r="A490" s="114"/>
      <c r="B490" s="114"/>
      <c r="C490" s="114"/>
      <c r="D490" s="114"/>
      <c r="E490" s="114"/>
      <c r="F490" s="114"/>
      <c r="G490" s="114"/>
      <c r="H490" s="114"/>
      <c r="I490" s="114"/>
      <c r="J490" s="114"/>
      <c r="K490" s="114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  <c r="X490" s="114"/>
      <c r="Y490" s="114"/>
      <c r="Z490" s="114"/>
    </row>
    <row r="491">
      <c r="A491" s="114"/>
      <c r="B491" s="114"/>
      <c r="C491" s="114"/>
      <c r="D491" s="114"/>
      <c r="E491" s="114"/>
      <c r="F491" s="114"/>
      <c r="G491" s="114"/>
      <c r="H491" s="114"/>
      <c r="I491" s="114"/>
      <c r="J491" s="114"/>
      <c r="K491" s="114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  <c r="X491" s="114"/>
      <c r="Y491" s="114"/>
      <c r="Z491" s="114"/>
    </row>
    <row r="492">
      <c r="A492" s="114"/>
      <c r="B492" s="114"/>
      <c r="C492" s="114"/>
      <c r="D492" s="114"/>
      <c r="E492" s="114"/>
      <c r="F492" s="114"/>
      <c r="G492" s="114"/>
      <c r="H492" s="114"/>
      <c r="I492" s="114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/>
    </row>
    <row r="493">
      <c r="A493" s="114"/>
      <c r="B493" s="114"/>
      <c r="C493" s="114"/>
      <c r="D493" s="114"/>
      <c r="E493" s="114"/>
      <c r="F493" s="114"/>
      <c r="G493" s="114"/>
      <c r="H493" s="114"/>
      <c r="I493" s="114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4"/>
      <c r="Y493" s="114"/>
      <c r="Z493" s="114"/>
    </row>
    <row r="494">
      <c r="A494" s="114"/>
      <c r="B494" s="114"/>
      <c r="C494" s="114"/>
      <c r="D494" s="114"/>
      <c r="E494" s="114"/>
      <c r="F494" s="114"/>
      <c r="G494" s="114"/>
      <c r="H494" s="114"/>
      <c r="I494" s="114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</row>
    <row r="495">
      <c r="A495" s="114"/>
      <c r="B495" s="114"/>
      <c r="C495" s="114"/>
      <c r="D495" s="114"/>
      <c r="E495" s="114"/>
      <c r="F495" s="114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4"/>
      <c r="Y495" s="114"/>
      <c r="Z495" s="114"/>
    </row>
    <row r="496">
      <c r="A496" s="114"/>
      <c r="B496" s="114"/>
      <c r="C496" s="114"/>
      <c r="D496" s="114"/>
      <c r="E496" s="114"/>
      <c r="F496" s="114"/>
      <c r="G496" s="114"/>
      <c r="H496" s="114"/>
      <c r="I496" s="114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</row>
    <row r="497">
      <c r="A497" s="114"/>
      <c r="B497" s="114"/>
      <c r="C497" s="114"/>
      <c r="D497" s="114"/>
      <c r="E497" s="114"/>
      <c r="F497" s="114"/>
      <c r="G497" s="114"/>
      <c r="H497" s="114"/>
      <c r="I497" s="114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4"/>
      <c r="Y497" s="114"/>
      <c r="Z497" s="114"/>
    </row>
    <row r="498">
      <c r="A498" s="114"/>
      <c r="B498" s="114"/>
      <c r="C498" s="114"/>
      <c r="D498" s="114"/>
      <c r="E498" s="114"/>
      <c r="F498" s="114"/>
      <c r="G498" s="114"/>
      <c r="H498" s="114"/>
      <c r="I498" s="114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</row>
    <row r="499">
      <c r="A499" s="114"/>
      <c r="B499" s="114"/>
      <c r="C499" s="114"/>
      <c r="D499" s="114"/>
      <c r="E499" s="114"/>
      <c r="F499" s="114"/>
      <c r="G499" s="114"/>
      <c r="H499" s="114"/>
      <c r="I499" s="114"/>
      <c r="J499" s="114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  <c r="X499" s="114"/>
      <c r="Y499" s="114"/>
      <c r="Z499" s="114"/>
    </row>
    <row r="500">
      <c r="A500" s="114"/>
      <c r="B500" s="114"/>
      <c r="C500" s="114"/>
      <c r="D500" s="114"/>
      <c r="E500" s="114"/>
      <c r="F500" s="114"/>
      <c r="G500" s="114"/>
      <c r="H500" s="114"/>
      <c r="I500" s="114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</row>
    <row r="501">
      <c r="A501" s="114"/>
      <c r="B501" s="114"/>
      <c r="C501" s="114"/>
      <c r="D501" s="114"/>
      <c r="E501" s="114"/>
      <c r="F501" s="114"/>
      <c r="G501" s="114"/>
      <c r="H501" s="114"/>
      <c r="I501" s="114"/>
      <c r="J501" s="114"/>
      <c r="K501" s="114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  <c r="X501" s="114"/>
      <c r="Y501" s="114"/>
      <c r="Z501" s="114"/>
    </row>
    <row r="502">
      <c r="A502" s="114"/>
      <c r="B502" s="114"/>
      <c r="C502" s="114"/>
      <c r="D502" s="114"/>
      <c r="E502" s="114"/>
      <c r="F502" s="114"/>
      <c r="G502" s="114"/>
      <c r="H502" s="114"/>
      <c r="I502" s="114"/>
      <c r="J502" s="114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</row>
    <row r="503">
      <c r="A503" s="114"/>
      <c r="B503" s="114"/>
      <c r="C503" s="114"/>
      <c r="D503" s="114"/>
      <c r="E503" s="114"/>
      <c r="F503" s="114"/>
      <c r="G503" s="114"/>
      <c r="H503" s="114"/>
      <c r="I503" s="114"/>
      <c r="J503" s="114"/>
      <c r="K503" s="114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  <c r="X503" s="114"/>
      <c r="Y503" s="114"/>
      <c r="Z503" s="114"/>
    </row>
    <row r="504">
      <c r="A504" s="114"/>
      <c r="B504" s="114"/>
      <c r="C504" s="114"/>
      <c r="D504" s="114"/>
      <c r="E504" s="114"/>
      <c r="F504" s="114"/>
      <c r="G504" s="114"/>
      <c r="H504" s="114"/>
      <c r="I504" s="114"/>
      <c r="J504" s="114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  <c r="X504" s="114"/>
      <c r="Y504" s="114"/>
      <c r="Z504" s="114"/>
    </row>
    <row r="505">
      <c r="A505" s="114"/>
      <c r="B505" s="114"/>
      <c r="C505" s="114"/>
      <c r="D505" s="114"/>
      <c r="E505" s="114"/>
      <c r="F505" s="114"/>
      <c r="G505" s="114"/>
      <c r="H505" s="114"/>
      <c r="I505" s="114"/>
      <c r="J505" s="114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4"/>
      <c r="Y505" s="114"/>
      <c r="Z505" s="114"/>
    </row>
    <row r="506">
      <c r="A506" s="114"/>
      <c r="B506" s="114"/>
      <c r="C506" s="114"/>
      <c r="D506" s="114"/>
      <c r="E506" s="114"/>
      <c r="F506" s="114"/>
      <c r="G506" s="114"/>
      <c r="H506" s="114"/>
      <c r="I506" s="114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</row>
    <row r="507">
      <c r="A507" s="114"/>
      <c r="B507" s="114"/>
      <c r="C507" s="114"/>
      <c r="D507" s="114"/>
      <c r="E507" s="114"/>
      <c r="F507" s="114"/>
      <c r="G507" s="114"/>
      <c r="H507" s="114"/>
      <c r="I507" s="114"/>
      <c r="J507" s="114"/>
      <c r="K507" s="114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  <c r="X507" s="114"/>
      <c r="Y507" s="114"/>
      <c r="Z507" s="114"/>
    </row>
    <row r="508">
      <c r="A508" s="114"/>
      <c r="B508" s="114"/>
      <c r="C508" s="114"/>
      <c r="D508" s="114"/>
      <c r="E508" s="114"/>
      <c r="F508" s="114"/>
      <c r="G508" s="114"/>
      <c r="H508" s="114"/>
      <c r="I508" s="114"/>
      <c r="J508" s="114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4"/>
      <c r="Y508" s="114"/>
      <c r="Z508" s="114"/>
    </row>
    <row r="509">
      <c r="A509" s="114"/>
      <c r="B509" s="114"/>
      <c r="C509" s="114"/>
      <c r="D509" s="114"/>
      <c r="E509" s="114"/>
      <c r="F509" s="114"/>
      <c r="G509" s="114"/>
      <c r="H509" s="114"/>
      <c r="I509" s="114"/>
      <c r="J509" s="114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4"/>
      <c r="Y509" s="114"/>
      <c r="Z509" s="114"/>
    </row>
    <row r="510">
      <c r="A510" s="114"/>
      <c r="B510" s="114"/>
      <c r="C510" s="114"/>
      <c r="D510" s="114"/>
      <c r="E510" s="114"/>
      <c r="F510" s="114"/>
      <c r="G510" s="114"/>
      <c r="H510" s="114"/>
      <c r="I510" s="114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</row>
    <row r="511">
      <c r="A511" s="114"/>
      <c r="B511" s="114"/>
      <c r="C511" s="114"/>
      <c r="D511" s="114"/>
      <c r="E511" s="114"/>
      <c r="F511" s="114"/>
      <c r="G511" s="114"/>
      <c r="H511" s="114"/>
      <c r="I511" s="114"/>
      <c r="J511" s="114"/>
      <c r="K511" s="114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  <c r="X511" s="114"/>
      <c r="Y511" s="114"/>
      <c r="Z511" s="114"/>
    </row>
    <row r="512">
      <c r="A512" s="114"/>
      <c r="B512" s="114"/>
      <c r="C512" s="114"/>
      <c r="D512" s="114"/>
      <c r="E512" s="114"/>
      <c r="F512" s="114"/>
      <c r="G512" s="114"/>
      <c r="H512" s="114"/>
      <c r="I512" s="114"/>
      <c r="J512" s="114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4"/>
      <c r="Y512" s="114"/>
      <c r="Z512" s="114"/>
    </row>
    <row r="513">
      <c r="A513" s="114"/>
      <c r="B513" s="114"/>
      <c r="C513" s="114"/>
      <c r="D513" s="114"/>
      <c r="E513" s="114"/>
      <c r="F513" s="114"/>
      <c r="G513" s="114"/>
      <c r="H513" s="114"/>
      <c r="I513" s="114"/>
      <c r="J513" s="114"/>
      <c r="K513" s="114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  <c r="X513" s="114"/>
      <c r="Y513" s="114"/>
      <c r="Z513" s="114"/>
    </row>
    <row r="514">
      <c r="A514" s="114"/>
      <c r="B514" s="114"/>
      <c r="C514" s="114"/>
      <c r="D514" s="114"/>
      <c r="E514" s="114"/>
      <c r="F514" s="114"/>
      <c r="G514" s="114"/>
      <c r="H514" s="114"/>
      <c r="I514" s="114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</row>
    <row r="515">
      <c r="A515" s="114"/>
      <c r="B515" s="114"/>
      <c r="C515" s="114"/>
      <c r="D515" s="114"/>
      <c r="E515" s="114"/>
      <c r="F515" s="114"/>
      <c r="G515" s="114"/>
      <c r="H515" s="114"/>
      <c r="I515" s="114"/>
      <c r="J515" s="114"/>
      <c r="K515" s="114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  <c r="X515" s="114"/>
      <c r="Y515" s="114"/>
      <c r="Z515" s="114"/>
    </row>
    <row r="516">
      <c r="A516" s="114"/>
      <c r="B516" s="114"/>
      <c r="C516" s="114"/>
      <c r="D516" s="114"/>
      <c r="E516" s="114"/>
      <c r="F516" s="114"/>
      <c r="G516" s="114"/>
      <c r="H516" s="114"/>
      <c r="I516" s="11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</row>
    <row r="517">
      <c r="A517" s="114"/>
      <c r="B517" s="114"/>
      <c r="C517" s="114"/>
      <c r="D517" s="114"/>
      <c r="E517" s="114"/>
      <c r="F517" s="114"/>
      <c r="G517" s="114"/>
      <c r="H517" s="114"/>
      <c r="I517" s="114"/>
      <c r="J517" s="114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4"/>
      <c r="Y517" s="114"/>
      <c r="Z517" s="114"/>
    </row>
    <row r="518">
      <c r="A518" s="114"/>
      <c r="B518" s="114"/>
      <c r="C518" s="114"/>
      <c r="D518" s="114"/>
      <c r="E518" s="114"/>
      <c r="F518" s="114"/>
      <c r="G518" s="114"/>
      <c r="H518" s="114"/>
      <c r="I518" s="114"/>
      <c r="J518" s="114"/>
      <c r="K518" s="114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  <c r="X518" s="114"/>
      <c r="Y518" s="114"/>
      <c r="Z518" s="114"/>
    </row>
    <row r="519">
      <c r="A519" s="114"/>
      <c r="B519" s="114"/>
      <c r="C519" s="114"/>
      <c r="D519" s="114"/>
      <c r="E519" s="114"/>
      <c r="F519" s="114"/>
      <c r="G519" s="114"/>
      <c r="H519" s="114"/>
      <c r="I519" s="114"/>
      <c r="J519" s="114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  <c r="X519" s="114"/>
      <c r="Y519" s="114"/>
      <c r="Z519" s="114"/>
    </row>
    <row r="520">
      <c r="A520" s="114"/>
      <c r="B520" s="114"/>
      <c r="C520" s="114"/>
      <c r="D520" s="114"/>
      <c r="E520" s="114"/>
      <c r="F520" s="114"/>
      <c r="G520" s="114"/>
      <c r="H520" s="114"/>
      <c r="I520" s="114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</row>
    <row r="521">
      <c r="A521" s="114"/>
      <c r="B521" s="114"/>
      <c r="C521" s="114"/>
      <c r="D521" s="114"/>
      <c r="E521" s="114"/>
      <c r="F521" s="114"/>
      <c r="G521" s="114"/>
      <c r="H521" s="114"/>
      <c r="I521" s="114"/>
      <c r="J521" s="114"/>
      <c r="K521" s="114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  <c r="X521" s="114"/>
      <c r="Y521" s="114"/>
      <c r="Z521" s="114"/>
    </row>
    <row r="522">
      <c r="A522" s="114"/>
      <c r="B522" s="114"/>
      <c r="C522" s="114"/>
      <c r="D522" s="114"/>
      <c r="E522" s="114"/>
      <c r="F522" s="114"/>
      <c r="G522" s="114"/>
      <c r="H522" s="114"/>
      <c r="I522" s="114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</row>
    <row r="523">
      <c r="A523" s="114"/>
      <c r="B523" s="114"/>
      <c r="C523" s="114"/>
      <c r="D523" s="114"/>
      <c r="E523" s="114"/>
      <c r="F523" s="114"/>
      <c r="G523" s="114"/>
      <c r="H523" s="114"/>
      <c r="I523" s="114"/>
      <c r="J523" s="114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  <c r="X523" s="114"/>
      <c r="Y523" s="114"/>
      <c r="Z523" s="114"/>
    </row>
    <row r="524">
      <c r="A524" s="114"/>
      <c r="B524" s="114"/>
      <c r="C524" s="114"/>
      <c r="D524" s="114"/>
      <c r="E524" s="114"/>
      <c r="F524" s="114"/>
      <c r="G524" s="114"/>
      <c r="H524" s="114"/>
      <c r="I524" s="114"/>
      <c r="J524" s="114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4"/>
      <c r="Y524" s="114"/>
      <c r="Z524" s="114"/>
    </row>
    <row r="525">
      <c r="A525" s="114"/>
      <c r="B525" s="114"/>
      <c r="C525" s="114"/>
      <c r="D525" s="114"/>
      <c r="E525" s="114"/>
      <c r="F525" s="114"/>
      <c r="G525" s="114"/>
      <c r="H525" s="114"/>
      <c r="I525" s="114"/>
      <c r="J525" s="114"/>
      <c r="K525" s="114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  <c r="X525" s="114"/>
      <c r="Y525" s="114"/>
      <c r="Z525" s="114"/>
    </row>
    <row r="526">
      <c r="A526" s="114"/>
      <c r="B526" s="114"/>
      <c r="C526" s="114"/>
      <c r="D526" s="114"/>
      <c r="E526" s="114"/>
      <c r="F526" s="114"/>
      <c r="G526" s="114"/>
      <c r="H526" s="114"/>
      <c r="I526" s="114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4"/>
      <c r="Y526" s="114"/>
      <c r="Z526" s="114"/>
    </row>
    <row r="527">
      <c r="A527" s="114"/>
      <c r="B527" s="114"/>
      <c r="C527" s="114"/>
      <c r="D527" s="114"/>
      <c r="E527" s="114"/>
      <c r="F527" s="114"/>
      <c r="G527" s="114"/>
      <c r="H527" s="114"/>
      <c r="I527" s="114"/>
      <c r="J527" s="114"/>
      <c r="K527" s="114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  <c r="X527" s="114"/>
      <c r="Y527" s="114"/>
      <c r="Z527" s="114"/>
    </row>
    <row r="528">
      <c r="A528" s="114"/>
      <c r="B528" s="114"/>
      <c r="C528" s="114"/>
      <c r="D528" s="114"/>
      <c r="E528" s="114"/>
      <c r="F528" s="114"/>
      <c r="G528" s="114"/>
      <c r="H528" s="114"/>
      <c r="I528" s="114"/>
      <c r="J528" s="114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4"/>
      <c r="Y528" s="114"/>
      <c r="Z528" s="114"/>
    </row>
    <row r="529">
      <c r="A529" s="114"/>
      <c r="B529" s="114"/>
      <c r="C529" s="114"/>
      <c r="D529" s="114"/>
      <c r="E529" s="114"/>
      <c r="F529" s="114"/>
      <c r="G529" s="114"/>
      <c r="H529" s="114"/>
      <c r="I529" s="114"/>
      <c r="J529" s="114"/>
      <c r="K529" s="114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  <c r="X529" s="114"/>
      <c r="Y529" s="114"/>
      <c r="Z529" s="114"/>
    </row>
    <row r="530">
      <c r="A530" s="114"/>
      <c r="B530" s="114"/>
      <c r="C530" s="114"/>
      <c r="D530" s="114"/>
      <c r="E530" s="114"/>
      <c r="F530" s="114"/>
      <c r="G530" s="114"/>
      <c r="H530" s="114"/>
      <c r="I530" s="114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</row>
    <row r="531">
      <c r="A531" s="114"/>
      <c r="B531" s="114"/>
      <c r="C531" s="114"/>
      <c r="D531" s="114"/>
      <c r="E531" s="114"/>
      <c r="F531" s="114"/>
      <c r="G531" s="114"/>
      <c r="H531" s="114"/>
      <c r="I531" s="114"/>
      <c r="J531" s="114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  <c r="X531" s="114"/>
      <c r="Y531" s="114"/>
      <c r="Z531" s="114"/>
    </row>
    <row r="532">
      <c r="A532" s="114"/>
      <c r="B532" s="114"/>
      <c r="C532" s="114"/>
      <c r="D532" s="114"/>
      <c r="E532" s="114"/>
      <c r="F532" s="114"/>
      <c r="G532" s="114"/>
      <c r="H532" s="114"/>
      <c r="I532" s="114"/>
      <c r="J532" s="114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4"/>
      <c r="Y532" s="114"/>
      <c r="Z532" s="114"/>
    </row>
    <row r="533">
      <c r="A533" s="114"/>
      <c r="B533" s="114"/>
      <c r="C533" s="114"/>
      <c r="D533" s="114"/>
      <c r="E533" s="114"/>
      <c r="F533" s="114"/>
      <c r="G533" s="114"/>
      <c r="H533" s="114"/>
      <c r="I533" s="114"/>
      <c r="J533" s="114"/>
      <c r="K533" s="114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  <c r="X533" s="114"/>
      <c r="Y533" s="114"/>
      <c r="Z533" s="114"/>
    </row>
    <row r="534">
      <c r="A534" s="114"/>
      <c r="B534" s="114"/>
      <c r="C534" s="114"/>
      <c r="D534" s="114"/>
      <c r="E534" s="114"/>
      <c r="F534" s="114"/>
      <c r="G534" s="114"/>
      <c r="H534" s="114"/>
      <c r="I534" s="114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4"/>
      <c r="Y534" s="114"/>
      <c r="Z534" s="114"/>
    </row>
    <row r="535">
      <c r="A535" s="114"/>
      <c r="B535" s="114"/>
      <c r="C535" s="114"/>
      <c r="D535" s="114"/>
      <c r="E535" s="114"/>
      <c r="F535" s="114"/>
      <c r="G535" s="114"/>
      <c r="H535" s="114"/>
      <c r="I535" s="114"/>
      <c r="J535" s="114"/>
      <c r="K535" s="114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  <c r="X535" s="114"/>
      <c r="Y535" s="114"/>
      <c r="Z535" s="114"/>
    </row>
    <row r="536">
      <c r="A536" s="114"/>
      <c r="B536" s="114"/>
      <c r="C536" s="114"/>
      <c r="D536" s="114"/>
      <c r="E536" s="114"/>
      <c r="F536" s="114"/>
      <c r="G536" s="114"/>
      <c r="H536" s="114"/>
      <c r="I536" s="114"/>
      <c r="J536" s="114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4"/>
      <c r="Y536" s="114"/>
      <c r="Z536" s="114"/>
    </row>
    <row r="537">
      <c r="A537" s="114"/>
      <c r="B537" s="114"/>
      <c r="C537" s="114"/>
      <c r="D537" s="114"/>
      <c r="E537" s="114"/>
      <c r="F537" s="114"/>
      <c r="G537" s="114"/>
      <c r="H537" s="114"/>
      <c r="I537" s="114"/>
      <c r="J537" s="114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  <c r="X537" s="114"/>
      <c r="Y537" s="114"/>
      <c r="Z537" s="114"/>
    </row>
    <row r="538">
      <c r="A538" s="114"/>
      <c r="B538" s="114"/>
      <c r="C538" s="114"/>
      <c r="D538" s="114"/>
      <c r="E538" s="114"/>
      <c r="F538" s="114"/>
      <c r="G538" s="114"/>
      <c r="H538" s="114"/>
      <c r="I538" s="114"/>
      <c r="J538" s="114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4"/>
      <c r="Y538" s="114"/>
      <c r="Z538" s="114"/>
    </row>
    <row r="539">
      <c r="A539" s="114"/>
      <c r="B539" s="114"/>
      <c r="C539" s="114"/>
      <c r="D539" s="114"/>
      <c r="E539" s="114"/>
      <c r="F539" s="114"/>
      <c r="G539" s="114"/>
      <c r="H539" s="114"/>
      <c r="I539" s="114"/>
      <c r="J539" s="114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  <c r="X539" s="114"/>
      <c r="Y539" s="114"/>
      <c r="Z539" s="114"/>
    </row>
    <row r="540">
      <c r="A540" s="114"/>
      <c r="B540" s="114"/>
      <c r="C540" s="114"/>
      <c r="D540" s="114"/>
      <c r="E540" s="114"/>
      <c r="F540" s="114"/>
      <c r="G540" s="114"/>
      <c r="H540" s="114"/>
      <c r="I540" s="114"/>
      <c r="J540" s="114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4"/>
      <c r="Y540" s="114"/>
      <c r="Z540" s="114"/>
    </row>
    <row r="541">
      <c r="A541" s="114"/>
      <c r="B541" s="114"/>
      <c r="C541" s="114"/>
      <c r="D541" s="114"/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</row>
    <row r="542">
      <c r="A542" s="114"/>
      <c r="B542" s="114"/>
      <c r="C542" s="114"/>
      <c r="D542" s="114"/>
      <c r="E542" s="114"/>
      <c r="F542" s="114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</row>
    <row r="543">
      <c r="A543" s="114"/>
      <c r="B543" s="114"/>
      <c r="C543" s="114"/>
      <c r="D543" s="114"/>
      <c r="E543" s="114"/>
      <c r="F543" s="114"/>
      <c r="G543" s="114"/>
      <c r="H543" s="114"/>
      <c r="I543" s="114"/>
      <c r="J543" s="114"/>
      <c r="K543" s="114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  <c r="X543" s="114"/>
      <c r="Y543" s="114"/>
      <c r="Z543" s="114"/>
    </row>
    <row r="544">
      <c r="A544" s="114"/>
      <c r="B544" s="114"/>
      <c r="C544" s="114"/>
      <c r="D544" s="114"/>
      <c r="E544" s="114"/>
      <c r="F544" s="114"/>
      <c r="G544" s="114"/>
      <c r="H544" s="114"/>
      <c r="I544" s="114"/>
      <c r="J544" s="114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4"/>
      <c r="Y544" s="114"/>
      <c r="Z544" s="114"/>
    </row>
    <row r="545">
      <c r="A545" s="114"/>
      <c r="B545" s="114"/>
      <c r="C545" s="114"/>
      <c r="D545" s="114"/>
      <c r="E545" s="114"/>
      <c r="F545" s="114"/>
      <c r="G545" s="114"/>
      <c r="H545" s="114"/>
      <c r="I545" s="114"/>
      <c r="J545" s="114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4"/>
      <c r="Y545" s="114"/>
      <c r="Z545" s="114"/>
    </row>
    <row r="546">
      <c r="A546" s="114"/>
      <c r="B546" s="114"/>
      <c r="C546" s="114"/>
      <c r="D546" s="114"/>
      <c r="E546" s="114"/>
      <c r="F546" s="114"/>
      <c r="G546" s="114"/>
      <c r="H546" s="114"/>
      <c r="I546" s="114"/>
      <c r="J546" s="114"/>
      <c r="K546" s="114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  <c r="X546" s="114"/>
      <c r="Y546" s="114"/>
      <c r="Z546" s="114"/>
    </row>
    <row r="547">
      <c r="A547" s="114"/>
      <c r="B547" s="114"/>
      <c r="C547" s="114"/>
      <c r="D547" s="114"/>
      <c r="E547" s="114"/>
      <c r="F547" s="114"/>
      <c r="G547" s="114"/>
      <c r="H547" s="114"/>
      <c r="I547" s="114"/>
      <c r="J547" s="114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  <c r="X547" s="114"/>
      <c r="Y547" s="114"/>
      <c r="Z547" s="114"/>
    </row>
    <row r="548">
      <c r="A548" s="114"/>
      <c r="B548" s="114"/>
      <c r="C548" s="114"/>
      <c r="D548" s="114"/>
      <c r="E548" s="114"/>
      <c r="F548" s="114"/>
      <c r="G548" s="114"/>
      <c r="H548" s="114"/>
      <c r="I548" s="114"/>
      <c r="J548" s="114"/>
      <c r="K548" s="114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  <c r="X548" s="114"/>
      <c r="Y548" s="114"/>
      <c r="Z548" s="114"/>
    </row>
    <row r="549">
      <c r="A549" s="114"/>
      <c r="B549" s="114"/>
      <c r="C549" s="114"/>
      <c r="D549" s="114"/>
      <c r="E549" s="114"/>
      <c r="F549" s="114"/>
      <c r="G549" s="114"/>
      <c r="H549" s="114"/>
      <c r="I549" s="114"/>
      <c r="J549" s="114"/>
      <c r="K549" s="114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  <c r="X549" s="114"/>
      <c r="Y549" s="114"/>
      <c r="Z549" s="114"/>
    </row>
    <row r="550">
      <c r="A550" s="114"/>
      <c r="B550" s="114"/>
      <c r="C550" s="114"/>
      <c r="D550" s="114"/>
      <c r="E550" s="114"/>
      <c r="F550" s="114"/>
      <c r="G550" s="114"/>
      <c r="H550" s="114"/>
      <c r="I550" s="114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4"/>
      <c r="Y550" s="114"/>
      <c r="Z550" s="114"/>
    </row>
    <row r="551">
      <c r="A551" s="114"/>
      <c r="B551" s="114"/>
      <c r="C551" s="114"/>
      <c r="D551" s="114"/>
      <c r="E551" s="114"/>
      <c r="F551" s="114"/>
      <c r="G551" s="114"/>
      <c r="H551" s="114"/>
      <c r="I551" s="114"/>
      <c r="J551" s="114"/>
      <c r="K551" s="114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  <c r="X551" s="114"/>
      <c r="Y551" s="114"/>
      <c r="Z551" s="114"/>
    </row>
    <row r="552">
      <c r="A552" s="114"/>
      <c r="B552" s="114"/>
      <c r="C552" s="114"/>
      <c r="D552" s="114"/>
      <c r="E552" s="114"/>
      <c r="F552" s="114"/>
      <c r="G552" s="114"/>
      <c r="H552" s="114"/>
      <c r="I552" s="114"/>
      <c r="J552" s="114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4"/>
      <c r="Y552" s="114"/>
      <c r="Z552" s="114"/>
    </row>
    <row r="553">
      <c r="A553" s="114"/>
      <c r="B553" s="114"/>
      <c r="C553" s="114"/>
      <c r="D553" s="114"/>
      <c r="E553" s="114"/>
      <c r="F553" s="114"/>
      <c r="G553" s="114"/>
      <c r="H553" s="114"/>
      <c r="I553" s="114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4"/>
      <c r="Y553" s="114"/>
      <c r="Z553" s="114"/>
    </row>
    <row r="554">
      <c r="A554" s="114"/>
      <c r="B554" s="114"/>
      <c r="C554" s="114"/>
      <c r="D554" s="114"/>
      <c r="E554" s="114"/>
      <c r="F554" s="114"/>
      <c r="G554" s="114"/>
      <c r="H554" s="114"/>
      <c r="I554" s="114"/>
      <c r="J554" s="114"/>
      <c r="K554" s="114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</row>
    <row r="555">
      <c r="A555" s="114"/>
      <c r="B555" s="114"/>
      <c r="C555" s="114"/>
      <c r="D555" s="114"/>
      <c r="E555" s="114"/>
      <c r="F555" s="114"/>
      <c r="G555" s="114"/>
      <c r="H555" s="114"/>
      <c r="I555" s="114"/>
      <c r="J555" s="114"/>
      <c r="K555" s="114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  <c r="X555" s="114"/>
      <c r="Y555" s="114"/>
      <c r="Z555" s="114"/>
    </row>
    <row r="556">
      <c r="A556" s="114"/>
      <c r="B556" s="114"/>
      <c r="C556" s="114"/>
      <c r="D556" s="114"/>
      <c r="E556" s="114"/>
      <c r="F556" s="114"/>
      <c r="G556" s="114"/>
      <c r="H556" s="114"/>
      <c r="I556" s="114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4"/>
      <c r="Y556" s="114"/>
      <c r="Z556" s="114"/>
    </row>
    <row r="557">
      <c r="A557" s="114"/>
      <c r="B557" s="114"/>
      <c r="C557" s="114"/>
      <c r="D557" s="114"/>
      <c r="E557" s="114"/>
      <c r="F557" s="114"/>
      <c r="G557" s="114"/>
      <c r="H557" s="114"/>
      <c r="I557" s="114"/>
      <c r="J557" s="114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4"/>
      <c r="Y557" s="114"/>
      <c r="Z557" s="114"/>
    </row>
    <row r="558">
      <c r="A558" s="114"/>
      <c r="B558" s="114"/>
      <c r="C558" s="114"/>
      <c r="D558" s="114"/>
      <c r="E558" s="114"/>
      <c r="F558" s="114"/>
      <c r="G558" s="114"/>
      <c r="H558" s="114"/>
      <c r="I558" s="114"/>
      <c r="J558" s="114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4"/>
      <c r="Y558" s="114"/>
      <c r="Z558" s="114"/>
    </row>
    <row r="559">
      <c r="A559" s="114"/>
      <c r="B559" s="114"/>
      <c r="C559" s="114"/>
      <c r="D559" s="114"/>
      <c r="E559" s="114"/>
      <c r="F559" s="114"/>
      <c r="G559" s="114"/>
      <c r="H559" s="114"/>
      <c r="I559" s="114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</row>
    <row r="560">
      <c r="A560" s="114"/>
      <c r="B560" s="114"/>
      <c r="C560" s="114"/>
      <c r="D560" s="114"/>
      <c r="E560" s="114"/>
      <c r="F560" s="114"/>
      <c r="G560" s="114"/>
      <c r="H560" s="114"/>
      <c r="I560" s="114"/>
      <c r="J560" s="114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  <c r="X560" s="114"/>
      <c r="Y560" s="114"/>
      <c r="Z560" s="114"/>
    </row>
    <row r="561">
      <c r="A561" s="114"/>
      <c r="B561" s="114"/>
      <c r="C561" s="114"/>
      <c r="D561" s="114"/>
      <c r="E561" s="114"/>
      <c r="F561" s="114"/>
      <c r="G561" s="114"/>
      <c r="H561" s="114"/>
      <c r="I561" s="114"/>
      <c r="J561" s="114"/>
      <c r="K561" s="114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  <c r="X561" s="114"/>
      <c r="Y561" s="114"/>
      <c r="Z561" s="114"/>
    </row>
    <row r="562">
      <c r="A562" s="114"/>
      <c r="B562" s="114"/>
      <c r="C562" s="114"/>
      <c r="D562" s="114"/>
      <c r="E562" s="114"/>
      <c r="F562" s="114"/>
      <c r="G562" s="114"/>
      <c r="H562" s="114"/>
      <c r="I562" s="114"/>
      <c r="J562" s="114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4"/>
      <c r="Y562" s="114"/>
      <c r="Z562" s="114"/>
    </row>
    <row r="563">
      <c r="A563" s="114"/>
      <c r="B563" s="114"/>
      <c r="C563" s="114"/>
      <c r="D563" s="114"/>
      <c r="E563" s="114"/>
      <c r="F563" s="114"/>
      <c r="G563" s="114"/>
      <c r="H563" s="114"/>
      <c r="I563" s="114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</row>
    <row r="564">
      <c r="A564" s="114"/>
      <c r="B564" s="114"/>
      <c r="C564" s="114"/>
      <c r="D564" s="114"/>
      <c r="E564" s="114"/>
      <c r="F564" s="114"/>
      <c r="G564" s="114"/>
      <c r="H564" s="114"/>
      <c r="I564" s="114"/>
      <c r="J564" s="114"/>
      <c r="K564" s="114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  <c r="X564" s="114"/>
      <c r="Y564" s="114"/>
      <c r="Z564" s="114"/>
    </row>
    <row r="565">
      <c r="A565" s="114"/>
      <c r="B565" s="114"/>
      <c r="C565" s="114"/>
      <c r="D565" s="114"/>
      <c r="E565" s="114"/>
      <c r="F565" s="114"/>
      <c r="G565" s="114"/>
      <c r="H565" s="114"/>
      <c r="I565" s="114"/>
      <c r="J565" s="114"/>
      <c r="K565" s="114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  <c r="X565" s="114"/>
      <c r="Y565" s="114"/>
      <c r="Z565" s="114"/>
    </row>
    <row r="566">
      <c r="A566" s="114"/>
      <c r="B566" s="114"/>
      <c r="C566" s="114"/>
      <c r="D566" s="114"/>
      <c r="E566" s="114"/>
      <c r="F566" s="114"/>
      <c r="G566" s="114"/>
      <c r="H566" s="114"/>
      <c r="I566" s="114"/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</row>
    <row r="567">
      <c r="A567" s="114"/>
      <c r="B567" s="114"/>
      <c r="C567" s="114"/>
      <c r="D567" s="114"/>
      <c r="E567" s="114"/>
      <c r="F567" s="114"/>
      <c r="G567" s="114"/>
      <c r="H567" s="114"/>
      <c r="I567" s="114"/>
      <c r="J567" s="114"/>
      <c r="K567" s="114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  <c r="X567" s="114"/>
      <c r="Y567" s="114"/>
      <c r="Z567" s="114"/>
    </row>
    <row r="568">
      <c r="A568" s="114"/>
      <c r="B568" s="114"/>
      <c r="C568" s="114"/>
      <c r="D568" s="114"/>
      <c r="E568" s="114"/>
      <c r="F568" s="114"/>
      <c r="G568" s="114"/>
      <c r="H568" s="114"/>
      <c r="I568" s="114"/>
      <c r="J568" s="114"/>
      <c r="K568" s="114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  <c r="X568" s="114"/>
      <c r="Y568" s="114"/>
      <c r="Z568" s="114"/>
    </row>
    <row r="569">
      <c r="A569" s="114"/>
      <c r="B569" s="114"/>
      <c r="C569" s="114"/>
      <c r="D569" s="114"/>
      <c r="E569" s="114"/>
      <c r="F569" s="114"/>
      <c r="G569" s="114"/>
      <c r="H569" s="114"/>
      <c r="I569" s="114"/>
      <c r="J569" s="114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  <c r="X569" s="114"/>
      <c r="Y569" s="114"/>
      <c r="Z569" s="114"/>
    </row>
    <row r="570">
      <c r="A570" s="114"/>
      <c r="B570" s="114"/>
      <c r="C570" s="114"/>
      <c r="D570" s="114"/>
      <c r="E570" s="114"/>
      <c r="F570" s="114"/>
      <c r="G570" s="114"/>
      <c r="H570" s="114"/>
      <c r="I570" s="114"/>
      <c r="J570" s="114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  <c r="X570" s="114"/>
      <c r="Y570" s="114"/>
      <c r="Z570" s="114"/>
    </row>
    <row r="571">
      <c r="A571" s="114"/>
      <c r="B571" s="114"/>
      <c r="C571" s="114"/>
      <c r="D571" s="114"/>
      <c r="E571" s="114"/>
      <c r="F571" s="114"/>
      <c r="G571" s="114"/>
      <c r="H571" s="114"/>
      <c r="I571" s="114"/>
      <c r="J571" s="114"/>
      <c r="K571" s="114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  <c r="X571" s="114"/>
      <c r="Y571" s="114"/>
      <c r="Z571" s="114"/>
    </row>
    <row r="572">
      <c r="A572" s="114"/>
      <c r="B572" s="114"/>
      <c r="C572" s="114"/>
      <c r="D572" s="114"/>
      <c r="E572" s="114"/>
      <c r="F572" s="114"/>
      <c r="G572" s="114"/>
      <c r="H572" s="114"/>
      <c r="I572" s="114"/>
      <c r="J572" s="114"/>
      <c r="K572" s="114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  <c r="X572" s="114"/>
      <c r="Y572" s="114"/>
      <c r="Z572" s="114"/>
    </row>
    <row r="573">
      <c r="A573" s="114"/>
      <c r="B573" s="114"/>
      <c r="C573" s="114"/>
      <c r="D573" s="114"/>
      <c r="E573" s="114"/>
      <c r="F573" s="114"/>
      <c r="G573" s="114"/>
      <c r="H573" s="114"/>
      <c r="I573" s="114"/>
      <c r="J573" s="114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  <c r="X573" s="114"/>
      <c r="Y573" s="114"/>
      <c r="Z573" s="114"/>
    </row>
    <row r="574">
      <c r="A574" s="114"/>
      <c r="B574" s="114"/>
      <c r="C574" s="114"/>
      <c r="D574" s="114"/>
      <c r="E574" s="114"/>
      <c r="F574" s="114"/>
      <c r="G574" s="114"/>
      <c r="H574" s="114"/>
      <c r="I574" s="114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</row>
    <row r="575">
      <c r="A575" s="114"/>
      <c r="B575" s="114"/>
      <c r="C575" s="114"/>
      <c r="D575" s="114"/>
      <c r="E575" s="114"/>
      <c r="F575" s="114"/>
      <c r="G575" s="114"/>
      <c r="H575" s="114"/>
      <c r="I575" s="114"/>
      <c r="J575" s="114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  <c r="X575" s="114"/>
      <c r="Y575" s="114"/>
      <c r="Z575" s="114"/>
    </row>
    <row r="576">
      <c r="A576" s="114"/>
      <c r="B576" s="114"/>
      <c r="C576" s="114"/>
      <c r="D576" s="114"/>
      <c r="E576" s="114"/>
      <c r="F576" s="114"/>
      <c r="G576" s="114"/>
      <c r="H576" s="114"/>
      <c r="I576" s="114"/>
      <c r="J576" s="114"/>
      <c r="K576" s="114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  <c r="X576" s="114"/>
      <c r="Y576" s="114"/>
      <c r="Z576" s="114"/>
    </row>
    <row r="577">
      <c r="A577" s="114"/>
      <c r="B577" s="114"/>
      <c r="C577" s="114"/>
      <c r="D577" s="114"/>
      <c r="E577" s="114"/>
      <c r="F577" s="114"/>
      <c r="G577" s="114"/>
      <c r="H577" s="114"/>
      <c r="I577" s="114"/>
      <c r="J577" s="114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4"/>
      <c r="Y577" s="114"/>
      <c r="Z577" s="114"/>
    </row>
    <row r="578">
      <c r="A578" s="114"/>
      <c r="B578" s="114"/>
      <c r="C578" s="114"/>
      <c r="D578" s="114"/>
      <c r="E578" s="114"/>
      <c r="F578" s="114"/>
      <c r="G578" s="114"/>
      <c r="H578" s="114"/>
      <c r="I578" s="114"/>
      <c r="J578" s="114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4"/>
      <c r="Y578" s="114"/>
      <c r="Z578" s="114"/>
    </row>
    <row r="579">
      <c r="A579" s="114"/>
      <c r="B579" s="114"/>
      <c r="C579" s="114"/>
      <c r="D579" s="114"/>
      <c r="E579" s="114"/>
      <c r="F579" s="114"/>
      <c r="G579" s="114"/>
      <c r="H579" s="114"/>
      <c r="I579" s="114"/>
      <c r="J579" s="114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4"/>
      <c r="Y579" s="114"/>
      <c r="Z579" s="114"/>
    </row>
    <row r="580">
      <c r="A580" s="114"/>
      <c r="B580" s="114"/>
      <c r="C580" s="114"/>
      <c r="D580" s="114"/>
      <c r="E580" s="114"/>
      <c r="F580" s="114"/>
      <c r="G580" s="114"/>
      <c r="H580" s="114"/>
      <c r="I580" s="114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</row>
    <row r="581">
      <c r="A581" s="114"/>
      <c r="B581" s="114"/>
      <c r="C581" s="114"/>
      <c r="D581" s="114"/>
      <c r="E581" s="114"/>
      <c r="F581" s="114"/>
      <c r="G581" s="114"/>
      <c r="H581" s="114"/>
      <c r="I581" s="114"/>
      <c r="J581" s="114"/>
      <c r="K581" s="114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  <c r="X581" s="114"/>
      <c r="Y581" s="114"/>
      <c r="Z581" s="114"/>
    </row>
    <row r="582">
      <c r="A582" s="114"/>
      <c r="B582" s="114"/>
      <c r="C582" s="114"/>
      <c r="D582" s="114"/>
      <c r="E582" s="114"/>
      <c r="F582" s="114"/>
      <c r="G582" s="114"/>
      <c r="H582" s="114"/>
      <c r="I582" s="114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</row>
    <row r="583">
      <c r="A583" s="114"/>
      <c r="B583" s="114"/>
      <c r="C583" s="114"/>
      <c r="D583" s="114"/>
      <c r="E583" s="114"/>
      <c r="F583" s="114"/>
      <c r="G583" s="114"/>
      <c r="H583" s="114"/>
      <c r="I583" s="114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</row>
    <row r="584">
      <c r="A584" s="114"/>
      <c r="B584" s="114"/>
      <c r="C584" s="114"/>
      <c r="D584" s="114"/>
      <c r="E584" s="114"/>
      <c r="F584" s="114"/>
      <c r="G584" s="114"/>
      <c r="H584" s="114"/>
      <c r="I584" s="114"/>
      <c r="J584" s="114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4"/>
      <c r="Y584" s="114"/>
      <c r="Z584" s="114"/>
    </row>
    <row r="585">
      <c r="A585" s="114"/>
      <c r="B585" s="114"/>
      <c r="C585" s="114"/>
      <c r="D585" s="114"/>
      <c r="E585" s="114"/>
      <c r="F585" s="114"/>
      <c r="G585" s="114"/>
      <c r="H585" s="114"/>
      <c r="I585" s="114"/>
      <c r="J585" s="114"/>
      <c r="K585" s="114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  <c r="X585" s="114"/>
      <c r="Y585" s="114"/>
      <c r="Z585" s="114"/>
    </row>
    <row r="586">
      <c r="A586" s="114"/>
      <c r="B586" s="114"/>
      <c r="C586" s="114"/>
      <c r="D586" s="114"/>
      <c r="E586" s="114"/>
      <c r="F586" s="114"/>
      <c r="G586" s="114"/>
      <c r="H586" s="114"/>
      <c r="I586" s="114"/>
      <c r="J586" s="114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  <c r="X586" s="114"/>
      <c r="Y586" s="114"/>
      <c r="Z586" s="114"/>
    </row>
    <row r="587">
      <c r="A587" s="114"/>
      <c r="B587" s="114"/>
      <c r="C587" s="114"/>
      <c r="D587" s="114"/>
      <c r="E587" s="114"/>
      <c r="F587" s="114"/>
      <c r="G587" s="114"/>
      <c r="H587" s="114"/>
      <c r="I587" s="114"/>
      <c r="J587" s="114"/>
      <c r="K587" s="114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  <c r="X587" s="114"/>
      <c r="Y587" s="114"/>
      <c r="Z587" s="114"/>
    </row>
    <row r="588">
      <c r="A588" s="114"/>
      <c r="B588" s="114"/>
      <c r="C588" s="114"/>
      <c r="D588" s="114"/>
      <c r="E588" s="114"/>
      <c r="F588" s="114"/>
      <c r="G588" s="114"/>
      <c r="H588" s="114"/>
      <c r="I588" s="114"/>
      <c r="J588" s="114"/>
      <c r="K588" s="114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  <c r="X588" s="114"/>
      <c r="Y588" s="114"/>
      <c r="Z588" s="114"/>
    </row>
    <row r="589">
      <c r="A589" s="114"/>
      <c r="B589" s="114"/>
      <c r="C589" s="114"/>
      <c r="D589" s="114"/>
      <c r="E589" s="114"/>
      <c r="F589" s="114"/>
      <c r="G589" s="114"/>
      <c r="H589" s="114"/>
      <c r="I589" s="114"/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  <c r="X589" s="114"/>
      <c r="Y589" s="114"/>
      <c r="Z589" s="114"/>
    </row>
    <row r="590">
      <c r="A590" s="114"/>
      <c r="B590" s="114"/>
      <c r="C590" s="114"/>
      <c r="D590" s="114"/>
      <c r="E590" s="114"/>
      <c r="F590" s="114"/>
      <c r="G590" s="114"/>
      <c r="H590" s="114"/>
      <c r="I590" s="114"/>
      <c r="J590" s="114"/>
      <c r="K590" s="114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  <c r="X590" s="114"/>
      <c r="Y590" s="114"/>
      <c r="Z590" s="114"/>
    </row>
    <row r="591">
      <c r="A591" s="114"/>
      <c r="B591" s="114"/>
      <c r="C591" s="114"/>
      <c r="D591" s="114"/>
      <c r="E591" s="114"/>
      <c r="F591" s="114"/>
      <c r="G591" s="114"/>
      <c r="H591" s="114"/>
      <c r="I591" s="114"/>
      <c r="J591" s="114"/>
      <c r="K591" s="114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  <c r="X591" s="114"/>
      <c r="Y591" s="114"/>
      <c r="Z591" s="114"/>
    </row>
    <row r="592">
      <c r="A592" s="114"/>
      <c r="B592" s="114"/>
      <c r="C592" s="114"/>
      <c r="D592" s="114"/>
      <c r="E592" s="114"/>
      <c r="F592" s="114"/>
      <c r="G592" s="114"/>
      <c r="H592" s="114"/>
      <c r="I592" s="114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  <c r="X592" s="114"/>
      <c r="Y592" s="114"/>
      <c r="Z592" s="114"/>
    </row>
    <row r="593">
      <c r="A593" s="114"/>
      <c r="B593" s="114"/>
      <c r="C593" s="114"/>
      <c r="D593" s="114"/>
      <c r="E593" s="114"/>
      <c r="F593" s="114"/>
      <c r="G593" s="114"/>
      <c r="H593" s="114"/>
      <c r="I593" s="114"/>
      <c r="J593" s="114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  <c r="X593" s="114"/>
      <c r="Y593" s="114"/>
      <c r="Z593" s="114"/>
    </row>
    <row r="594">
      <c r="A594" s="114"/>
      <c r="B594" s="114"/>
      <c r="C594" s="114"/>
      <c r="D594" s="114"/>
      <c r="E594" s="114"/>
      <c r="F594" s="114"/>
      <c r="G594" s="114"/>
      <c r="H594" s="114"/>
      <c r="I594" s="114"/>
      <c r="J594" s="114"/>
      <c r="K594" s="114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  <c r="X594" s="114"/>
      <c r="Y594" s="114"/>
      <c r="Z594" s="114"/>
    </row>
    <row r="595">
      <c r="A595" s="114"/>
      <c r="B595" s="114"/>
      <c r="C595" s="114"/>
      <c r="D595" s="114"/>
      <c r="E595" s="114"/>
      <c r="F595" s="114"/>
      <c r="G595" s="114"/>
      <c r="H595" s="114"/>
      <c r="I595" s="114"/>
      <c r="J595" s="114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  <c r="X595" s="114"/>
      <c r="Y595" s="114"/>
      <c r="Z595" s="114"/>
    </row>
    <row r="596">
      <c r="A596" s="114"/>
      <c r="B596" s="114"/>
      <c r="C596" s="114"/>
      <c r="D596" s="114"/>
      <c r="E596" s="114"/>
      <c r="F596" s="114"/>
      <c r="G596" s="114"/>
      <c r="H596" s="114"/>
      <c r="I596" s="114"/>
      <c r="J596" s="114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  <c r="X596" s="114"/>
      <c r="Y596" s="114"/>
      <c r="Z596" s="114"/>
    </row>
    <row r="597">
      <c r="A597" s="114"/>
      <c r="B597" s="114"/>
      <c r="C597" s="114"/>
      <c r="D597" s="114"/>
      <c r="E597" s="114"/>
      <c r="F597" s="114"/>
      <c r="G597" s="114"/>
      <c r="H597" s="114"/>
      <c r="I597" s="114"/>
      <c r="J597" s="114"/>
      <c r="K597" s="114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  <c r="X597" s="114"/>
      <c r="Y597" s="114"/>
      <c r="Z597" s="114"/>
    </row>
    <row r="598">
      <c r="A598" s="114"/>
      <c r="B598" s="114"/>
      <c r="C598" s="114"/>
      <c r="D598" s="114"/>
      <c r="E598" s="114"/>
      <c r="F598" s="114"/>
      <c r="G598" s="114"/>
      <c r="H598" s="114"/>
      <c r="I598" s="114"/>
      <c r="J598" s="114"/>
      <c r="K598" s="114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  <c r="X598" s="114"/>
      <c r="Y598" s="114"/>
      <c r="Z598" s="114"/>
    </row>
    <row r="599">
      <c r="A599" s="114"/>
      <c r="B599" s="114"/>
      <c r="C599" s="114"/>
      <c r="D599" s="114"/>
      <c r="E599" s="114"/>
      <c r="F599" s="114"/>
      <c r="G599" s="114"/>
      <c r="H599" s="114"/>
      <c r="I599" s="114"/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  <c r="X599" s="114"/>
      <c r="Y599" s="114"/>
      <c r="Z599" s="114"/>
    </row>
    <row r="600">
      <c r="A600" s="114"/>
      <c r="B600" s="114"/>
      <c r="C600" s="114"/>
      <c r="D600" s="114"/>
      <c r="E600" s="114"/>
      <c r="F600" s="114"/>
      <c r="G600" s="114"/>
      <c r="H600" s="114"/>
      <c r="I600" s="114"/>
      <c r="J600" s="114"/>
      <c r="K600" s="114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  <c r="X600" s="114"/>
      <c r="Y600" s="114"/>
      <c r="Z600" s="114"/>
    </row>
    <row r="601">
      <c r="A601" s="114"/>
      <c r="B601" s="114"/>
      <c r="C601" s="114"/>
      <c r="D601" s="114"/>
      <c r="E601" s="114"/>
      <c r="F601" s="114"/>
      <c r="G601" s="114"/>
      <c r="H601" s="114"/>
      <c r="I601" s="114"/>
      <c r="J601" s="114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4"/>
      <c r="Y601" s="114"/>
      <c r="Z601" s="114"/>
    </row>
    <row r="602">
      <c r="A602" s="114"/>
      <c r="B602" s="114"/>
      <c r="C602" s="114"/>
      <c r="D602" s="114"/>
      <c r="E602" s="114"/>
      <c r="F602" s="114"/>
      <c r="G602" s="114"/>
      <c r="H602" s="114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</row>
    <row r="603">
      <c r="A603" s="114"/>
      <c r="B603" s="114"/>
      <c r="C603" s="114"/>
      <c r="D603" s="114"/>
      <c r="E603" s="114"/>
      <c r="F603" s="114"/>
      <c r="G603" s="114"/>
      <c r="H603" s="114"/>
      <c r="I603" s="114"/>
      <c r="J603" s="114"/>
      <c r="K603" s="114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  <c r="X603" s="114"/>
      <c r="Y603" s="114"/>
      <c r="Z603" s="114"/>
    </row>
    <row r="604">
      <c r="A604" s="114"/>
      <c r="B604" s="114"/>
      <c r="C604" s="114"/>
      <c r="D604" s="114"/>
      <c r="E604" s="114"/>
      <c r="F604" s="114"/>
      <c r="G604" s="114"/>
      <c r="H604" s="114"/>
      <c r="I604" s="114"/>
      <c r="J604" s="114"/>
      <c r="K604" s="114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  <c r="X604" s="114"/>
      <c r="Y604" s="114"/>
      <c r="Z604" s="114"/>
    </row>
    <row r="605">
      <c r="A605" s="114"/>
      <c r="B605" s="114"/>
      <c r="C605" s="114"/>
      <c r="D605" s="114"/>
      <c r="E605" s="114"/>
      <c r="F605" s="114"/>
      <c r="G605" s="114"/>
      <c r="H605" s="114"/>
      <c r="I605" s="114"/>
      <c r="J605" s="114"/>
      <c r="K605" s="114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  <c r="X605" s="114"/>
      <c r="Y605" s="114"/>
      <c r="Z605" s="114"/>
    </row>
    <row r="606">
      <c r="A606" s="114"/>
      <c r="B606" s="114"/>
      <c r="C606" s="114"/>
      <c r="D606" s="114"/>
      <c r="E606" s="114"/>
      <c r="F606" s="114"/>
      <c r="G606" s="114"/>
      <c r="H606" s="114"/>
      <c r="I606" s="114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4"/>
      <c r="Y606" s="114"/>
      <c r="Z606" s="114"/>
    </row>
    <row r="607">
      <c r="A607" s="114"/>
      <c r="B607" s="114"/>
      <c r="C607" s="114"/>
      <c r="D607" s="114"/>
      <c r="E607" s="114"/>
      <c r="F607" s="114"/>
      <c r="G607" s="114"/>
      <c r="H607" s="114"/>
      <c r="I607" s="114"/>
      <c r="J607" s="114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  <c r="X607" s="114"/>
      <c r="Y607" s="114"/>
      <c r="Z607" s="114"/>
    </row>
    <row r="608">
      <c r="A608" s="114"/>
      <c r="B608" s="114"/>
      <c r="C608" s="114"/>
      <c r="D608" s="114"/>
      <c r="E608" s="114"/>
      <c r="F608" s="114"/>
      <c r="G608" s="114"/>
      <c r="H608" s="114"/>
      <c r="I608" s="114"/>
      <c r="J608" s="114"/>
      <c r="K608" s="114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  <c r="X608" s="114"/>
      <c r="Y608" s="114"/>
      <c r="Z608" s="114"/>
    </row>
    <row r="609">
      <c r="A609" s="114"/>
      <c r="B609" s="114"/>
      <c r="C609" s="114"/>
      <c r="D609" s="114"/>
      <c r="E609" s="114"/>
      <c r="F609" s="114"/>
      <c r="G609" s="114"/>
      <c r="H609" s="114"/>
      <c r="I609" s="114"/>
      <c r="J609" s="114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  <c r="X609" s="114"/>
      <c r="Y609" s="114"/>
      <c r="Z609" s="114"/>
    </row>
    <row r="610">
      <c r="A610" s="114"/>
      <c r="B610" s="114"/>
      <c r="C610" s="114"/>
      <c r="D610" s="114"/>
      <c r="E610" s="114"/>
      <c r="F610" s="114"/>
      <c r="G610" s="114"/>
      <c r="H610" s="114"/>
      <c r="I610" s="114"/>
      <c r="J610" s="114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4"/>
      <c r="Y610" s="114"/>
      <c r="Z610" s="114"/>
    </row>
    <row r="611">
      <c r="A611" s="114"/>
      <c r="B611" s="114"/>
      <c r="C611" s="114"/>
      <c r="D611" s="114"/>
      <c r="E611" s="114"/>
      <c r="F611" s="114"/>
      <c r="G611" s="114"/>
      <c r="H611" s="114"/>
      <c r="I611" s="114"/>
      <c r="J611" s="114"/>
      <c r="K611" s="114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  <c r="X611" s="114"/>
      <c r="Y611" s="114"/>
      <c r="Z611" s="114"/>
    </row>
    <row r="612">
      <c r="A612" s="114"/>
      <c r="B612" s="114"/>
      <c r="C612" s="114"/>
      <c r="D612" s="114"/>
      <c r="E612" s="114"/>
      <c r="F612" s="114"/>
      <c r="G612" s="114"/>
      <c r="H612" s="114"/>
      <c r="I612" s="114"/>
      <c r="J612" s="114"/>
      <c r="K612" s="114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  <c r="X612" s="114"/>
      <c r="Y612" s="114"/>
      <c r="Z612" s="114"/>
    </row>
    <row r="613">
      <c r="A613" s="114"/>
      <c r="B613" s="114"/>
      <c r="C613" s="114"/>
      <c r="D613" s="114"/>
      <c r="E613" s="114"/>
      <c r="F613" s="114"/>
      <c r="G613" s="114"/>
      <c r="H613" s="114"/>
      <c r="I613" s="114"/>
      <c r="J613" s="114"/>
      <c r="K613" s="114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  <c r="X613" s="114"/>
      <c r="Y613" s="114"/>
      <c r="Z613" s="114"/>
    </row>
    <row r="614">
      <c r="A614" s="114"/>
      <c r="B614" s="114"/>
      <c r="C614" s="114"/>
      <c r="D614" s="114"/>
      <c r="E614" s="114"/>
      <c r="F614" s="114"/>
      <c r="G614" s="114"/>
      <c r="H614" s="114"/>
      <c r="I614" s="114"/>
      <c r="J614" s="114"/>
      <c r="K614" s="114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  <c r="X614" s="114"/>
      <c r="Y614" s="114"/>
      <c r="Z614" s="114"/>
    </row>
    <row r="615">
      <c r="A615" s="114"/>
      <c r="B615" s="114"/>
      <c r="C615" s="114"/>
      <c r="D615" s="114"/>
      <c r="E615" s="114"/>
      <c r="F615" s="114"/>
      <c r="G615" s="114"/>
      <c r="H615" s="114"/>
      <c r="I615" s="114"/>
      <c r="J615" s="114"/>
      <c r="K615" s="114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  <c r="X615" s="114"/>
      <c r="Y615" s="114"/>
      <c r="Z615" s="114"/>
    </row>
    <row r="616">
      <c r="A616" s="114"/>
      <c r="B616" s="114"/>
      <c r="C616" s="114"/>
      <c r="D616" s="114"/>
      <c r="E616" s="114"/>
      <c r="F616" s="114"/>
      <c r="G616" s="114"/>
      <c r="H616" s="114"/>
      <c r="I616" s="114"/>
      <c r="J616" s="114"/>
      <c r="K616" s="114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  <c r="X616" s="114"/>
      <c r="Y616" s="114"/>
      <c r="Z616" s="114"/>
    </row>
    <row r="617">
      <c r="A617" s="114"/>
      <c r="B617" s="114"/>
      <c r="C617" s="114"/>
      <c r="D617" s="114"/>
      <c r="E617" s="114"/>
      <c r="F617" s="114"/>
      <c r="G617" s="114"/>
      <c r="H617" s="114"/>
      <c r="I617" s="114"/>
      <c r="J617" s="114"/>
      <c r="K617" s="114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  <c r="X617" s="114"/>
      <c r="Y617" s="114"/>
      <c r="Z617" s="114"/>
    </row>
    <row r="618">
      <c r="A618" s="114"/>
      <c r="B618" s="114"/>
      <c r="C618" s="114"/>
      <c r="D618" s="114"/>
      <c r="E618" s="114"/>
      <c r="F618" s="114"/>
      <c r="G618" s="114"/>
      <c r="H618" s="114"/>
      <c r="I618" s="114"/>
      <c r="J618" s="114"/>
      <c r="K618" s="114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  <c r="X618" s="114"/>
      <c r="Y618" s="114"/>
      <c r="Z618" s="114"/>
    </row>
    <row r="619">
      <c r="A619" s="114"/>
      <c r="B619" s="114"/>
      <c r="C619" s="114"/>
      <c r="D619" s="114"/>
      <c r="E619" s="114"/>
      <c r="F619" s="114"/>
      <c r="G619" s="114"/>
      <c r="H619" s="114"/>
      <c r="I619" s="114"/>
      <c r="J619" s="114"/>
      <c r="K619" s="114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  <c r="X619" s="114"/>
      <c r="Y619" s="114"/>
      <c r="Z619" s="114"/>
    </row>
    <row r="620">
      <c r="A620" s="114"/>
      <c r="B620" s="114"/>
      <c r="C620" s="114"/>
      <c r="D620" s="114"/>
      <c r="E620" s="114"/>
      <c r="F620" s="114"/>
      <c r="G620" s="114"/>
      <c r="H620" s="114"/>
      <c r="I620" s="114"/>
      <c r="J620" s="114"/>
      <c r="K620" s="114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  <c r="X620" s="114"/>
      <c r="Y620" s="114"/>
      <c r="Z620" s="114"/>
    </row>
    <row r="621">
      <c r="A621" s="114"/>
      <c r="B621" s="114"/>
      <c r="C621" s="114"/>
      <c r="D621" s="114"/>
      <c r="E621" s="114"/>
      <c r="F621" s="114"/>
      <c r="G621" s="114"/>
      <c r="H621" s="114"/>
      <c r="I621" s="114"/>
      <c r="J621" s="114"/>
      <c r="K621" s="114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  <c r="X621" s="114"/>
      <c r="Y621" s="114"/>
      <c r="Z621" s="114"/>
    </row>
    <row r="622">
      <c r="A622" s="114"/>
      <c r="B622" s="114"/>
      <c r="C622" s="114"/>
      <c r="D622" s="114"/>
      <c r="E622" s="114"/>
      <c r="F622" s="114"/>
      <c r="G622" s="114"/>
      <c r="H622" s="114"/>
      <c r="I622" s="114"/>
      <c r="J622" s="114"/>
      <c r="K622" s="114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  <c r="X622" s="114"/>
      <c r="Y622" s="114"/>
      <c r="Z622" s="114"/>
    </row>
    <row r="623">
      <c r="A623" s="114"/>
      <c r="B623" s="114"/>
      <c r="C623" s="114"/>
      <c r="D623" s="114"/>
      <c r="E623" s="114"/>
      <c r="F623" s="114"/>
      <c r="G623" s="114"/>
      <c r="H623" s="114"/>
      <c r="I623" s="114"/>
      <c r="J623" s="114"/>
      <c r="K623" s="114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  <c r="X623" s="114"/>
      <c r="Y623" s="114"/>
      <c r="Z623" s="114"/>
    </row>
    <row r="624">
      <c r="A624" s="114"/>
      <c r="B624" s="114"/>
      <c r="C624" s="114"/>
      <c r="D624" s="114"/>
      <c r="E624" s="114"/>
      <c r="F624" s="114"/>
      <c r="G624" s="114"/>
      <c r="H624" s="114"/>
      <c r="I624" s="114"/>
      <c r="J624" s="114"/>
      <c r="K624" s="114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  <c r="X624" s="114"/>
      <c r="Y624" s="114"/>
      <c r="Z624" s="114"/>
    </row>
    <row r="625">
      <c r="A625" s="114"/>
      <c r="B625" s="114"/>
      <c r="C625" s="114"/>
      <c r="D625" s="114"/>
      <c r="E625" s="114"/>
      <c r="F625" s="114"/>
      <c r="G625" s="114"/>
      <c r="H625" s="114"/>
      <c r="I625" s="114"/>
      <c r="J625" s="114"/>
      <c r="K625" s="114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  <c r="X625" s="114"/>
      <c r="Y625" s="114"/>
      <c r="Z625" s="114"/>
    </row>
    <row r="626">
      <c r="A626" s="114"/>
      <c r="B626" s="114"/>
      <c r="C626" s="114"/>
      <c r="D626" s="114"/>
      <c r="E626" s="114"/>
      <c r="F626" s="114"/>
      <c r="G626" s="114"/>
      <c r="H626" s="114"/>
      <c r="I626" s="114"/>
      <c r="J626" s="114"/>
      <c r="K626" s="114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  <c r="X626" s="114"/>
      <c r="Y626" s="114"/>
      <c r="Z626" s="114"/>
    </row>
    <row r="627">
      <c r="A627" s="114"/>
      <c r="B627" s="114"/>
      <c r="C627" s="114"/>
      <c r="D627" s="114"/>
      <c r="E627" s="114"/>
      <c r="F627" s="114"/>
      <c r="G627" s="114"/>
      <c r="H627" s="114"/>
      <c r="I627" s="114"/>
      <c r="J627" s="114"/>
      <c r="K627" s="114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  <c r="X627" s="114"/>
      <c r="Y627" s="114"/>
      <c r="Z627" s="114"/>
    </row>
    <row r="628">
      <c r="A628" s="114"/>
      <c r="B628" s="114"/>
      <c r="C628" s="114"/>
      <c r="D628" s="114"/>
      <c r="E628" s="114"/>
      <c r="F628" s="114"/>
      <c r="G628" s="114"/>
      <c r="H628" s="114"/>
      <c r="I628" s="114"/>
      <c r="J628" s="114"/>
      <c r="K628" s="114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4"/>
      <c r="Y628" s="114"/>
      <c r="Z628" s="114"/>
    </row>
    <row r="629">
      <c r="A629" s="114"/>
      <c r="B629" s="114"/>
      <c r="C629" s="114"/>
      <c r="D629" s="114"/>
      <c r="E629" s="114"/>
      <c r="F629" s="114"/>
      <c r="G629" s="114"/>
      <c r="H629" s="114"/>
      <c r="I629" s="114"/>
      <c r="J629" s="114"/>
      <c r="K629" s="114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4"/>
      <c r="Y629" s="114"/>
      <c r="Z629" s="114"/>
    </row>
    <row r="630">
      <c r="A630" s="114"/>
      <c r="B630" s="114"/>
      <c r="C630" s="114"/>
      <c r="D630" s="114"/>
      <c r="E630" s="114"/>
      <c r="F630" s="114"/>
      <c r="G630" s="114"/>
      <c r="H630" s="114"/>
      <c r="I630" s="114"/>
      <c r="J630" s="114"/>
      <c r="K630" s="114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  <c r="X630" s="114"/>
      <c r="Y630" s="114"/>
      <c r="Z630" s="114"/>
    </row>
    <row r="631">
      <c r="A631" s="114"/>
      <c r="B631" s="114"/>
      <c r="C631" s="114"/>
      <c r="D631" s="114"/>
      <c r="E631" s="114"/>
      <c r="F631" s="114"/>
      <c r="G631" s="114"/>
      <c r="H631" s="114"/>
      <c r="I631" s="114"/>
      <c r="J631" s="114"/>
      <c r="K631" s="114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  <c r="X631" s="114"/>
      <c r="Y631" s="114"/>
      <c r="Z631" s="114"/>
    </row>
    <row r="632">
      <c r="A632" s="114"/>
      <c r="B632" s="114"/>
      <c r="C632" s="114"/>
      <c r="D632" s="114"/>
      <c r="E632" s="114"/>
      <c r="F632" s="114"/>
      <c r="G632" s="114"/>
      <c r="H632" s="114"/>
      <c r="I632" s="114"/>
      <c r="J632" s="114"/>
      <c r="K632" s="114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  <c r="X632" s="114"/>
      <c r="Y632" s="114"/>
      <c r="Z632" s="114"/>
    </row>
    <row r="633">
      <c r="A633" s="114"/>
      <c r="B633" s="114"/>
      <c r="C633" s="114"/>
      <c r="D633" s="114"/>
      <c r="E633" s="114"/>
      <c r="F633" s="114"/>
      <c r="G633" s="114"/>
      <c r="H633" s="114"/>
      <c r="I633" s="114"/>
      <c r="J633" s="114"/>
      <c r="K633" s="114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  <c r="X633" s="114"/>
      <c r="Y633" s="114"/>
      <c r="Z633" s="114"/>
    </row>
    <row r="634">
      <c r="A634" s="114"/>
      <c r="B634" s="114"/>
      <c r="C634" s="114"/>
      <c r="D634" s="114"/>
      <c r="E634" s="114"/>
      <c r="F634" s="114"/>
      <c r="G634" s="114"/>
      <c r="H634" s="114"/>
      <c r="I634" s="114"/>
      <c r="J634" s="114"/>
      <c r="K634" s="114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  <c r="X634" s="114"/>
      <c r="Y634" s="114"/>
      <c r="Z634" s="114"/>
    </row>
    <row r="635">
      <c r="A635" s="114"/>
      <c r="B635" s="114"/>
      <c r="C635" s="114"/>
      <c r="D635" s="114"/>
      <c r="E635" s="114"/>
      <c r="F635" s="114"/>
      <c r="G635" s="114"/>
      <c r="H635" s="114"/>
      <c r="I635" s="114"/>
      <c r="J635" s="114"/>
      <c r="K635" s="114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  <c r="X635" s="114"/>
      <c r="Y635" s="114"/>
      <c r="Z635" s="114"/>
    </row>
    <row r="636">
      <c r="A636" s="114"/>
      <c r="B636" s="114"/>
      <c r="C636" s="114"/>
      <c r="D636" s="114"/>
      <c r="E636" s="114"/>
      <c r="F636" s="114"/>
      <c r="G636" s="114"/>
      <c r="H636" s="114"/>
      <c r="I636" s="114"/>
      <c r="J636" s="114"/>
      <c r="K636" s="114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  <c r="X636" s="114"/>
      <c r="Y636" s="114"/>
      <c r="Z636" s="114"/>
    </row>
    <row r="637">
      <c r="A637" s="114"/>
      <c r="B637" s="114"/>
      <c r="C637" s="114"/>
      <c r="D637" s="114"/>
      <c r="E637" s="114"/>
      <c r="F637" s="114"/>
      <c r="G637" s="114"/>
      <c r="H637" s="114"/>
      <c r="I637" s="114"/>
      <c r="J637" s="114"/>
      <c r="K637" s="114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  <c r="X637" s="114"/>
      <c r="Y637" s="114"/>
      <c r="Z637" s="114"/>
    </row>
    <row r="638">
      <c r="A638" s="114"/>
      <c r="B638" s="114"/>
      <c r="C638" s="114"/>
      <c r="D638" s="114"/>
      <c r="E638" s="114"/>
      <c r="F638" s="114"/>
      <c r="G638" s="114"/>
      <c r="H638" s="114"/>
      <c r="I638" s="114"/>
      <c r="J638" s="114"/>
      <c r="K638" s="114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  <c r="X638" s="114"/>
      <c r="Y638" s="114"/>
      <c r="Z638" s="114"/>
    </row>
    <row r="639">
      <c r="A639" s="114"/>
      <c r="B639" s="114"/>
      <c r="C639" s="114"/>
      <c r="D639" s="114"/>
      <c r="E639" s="114"/>
      <c r="F639" s="114"/>
      <c r="G639" s="114"/>
      <c r="H639" s="114"/>
      <c r="I639" s="114"/>
      <c r="J639" s="114"/>
      <c r="K639" s="114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4"/>
      <c r="Y639" s="114"/>
      <c r="Z639" s="114"/>
    </row>
    <row r="640">
      <c r="A640" s="114"/>
      <c r="B640" s="114"/>
      <c r="C640" s="114"/>
      <c r="D640" s="114"/>
      <c r="E640" s="114"/>
      <c r="F640" s="114"/>
      <c r="G640" s="114"/>
      <c r="H640" s="114"/>
      <c r="I640" s="114"/>
      <c r="J640" s="114"/>
      <c r="K640" s="114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4"/>
      <c r="Y640" s="114"/>
      <c r="Z640" s="114"/>
    </row>
    <row r="641">
      <c r="A641" s="114"/>
      <c r="B641" s="114"/>
      <c r="C641" s="114"/>
      <c r="D641" s="114"/>
      <c r="E641" s="114"/>
      <c r="F641" s="114"/>
      <c r="G641" s="114"/>
      <c r="H641" s="114"/>
      <c r="I641" s="114"/>
      <c r="J641" s="114"/>
      <c r="K641" s="114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  <c r="X641" s="114"/>
      <c r="Y641" s="114"/>
      <c r="Z641" s="114"/>
    </row>
    <row r="642">
      <c r="A642" s="114"/>
      <c r="B642" s="114"/>
      <c r="C642" s="114"/>
      <c r="D642" s="114"/>
      <c r="E642" s="114"/>
      <c r="F642" s="114"/>
      <c r="G642" s="114"/>
      <c r="H642" s="114"/>
      <c r="I642" s="114"/>
      <c r="J642" s="114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/>
      <c r="Y642" s="114"/>
      <c r="Z642" s="114"/>
    </row>
    <row r="643">
      <c r="A643" s="114"/>
      <c r="B643" s="114"/>
      <c r="C643" s="114"/>
      <c r="D643" s="114"/>
      <c r="E643" s="114"/>
      <c r="F643" s="114"/>
      <c r="G643" s="114"/>
      <c r="H643" s="114"/>
      <c r="I643" s="114"/>
      <c r="J643" s="114"/>
      <c r="K643" s="114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4"/>
      <c r="Y643" s="114"/>
      <c r="Z643" s="114"/>
    </row>
    <row r="644">
      <c r="A644" s="114"/>
      <c r="B644" s="114"/>
      <c r="C644" s="114"/>
      <c r="D644" s="114"/>
      <c r="E644" s="114"/>
      <c r="F644" s="114"/>
      <c r="G644" s="114"/>
      <c r="H644" s="114"/>
      <c r="I644" s="114"/>
      <c r="J644" s="114"/>
      <c r="K644" s="114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4"/>
      <c r="Y644" s="114"/>
      <c r="Z644" s="114"/>
    </row>
    <row r="645">
      <c r="A645" s="114"/>
      <c r="B645" s="114"/>
      <c r="C645" s="114"/>
      <c r="D645" s="114"/>
      <c r="E645" s="114"/>
      <c r="F645" s="114"/>
      <c r="G645" s="114"/>
      <c r="H645" s="114"/>
      <c r="I645" s="114"/>
      <c r="J645" s="114"/>
      <c r="K645" s="114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4"/>
      <c r="Y645" s="114"/>
      <c r="Z645" s="114"/>
    </row>
    <row r="646">
      <c r="A646" s="114"/>
      <c r="B646" s="114"/>
      <c r="C646" s="114"/>
      <c r="D646" s="114"/>
      <c r="E646" s="114"/>
      <c r="F646" s="114"/>
      <c r="G646" s="114"/>
      <c r="H646" s="114"/>
      <c r="I646" s="114"/>
      <c r="J646" s="114"/>
      <c r="K646" s="114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4"/>
      <c r="Y646" s="114"/>
      <c r="Z646" s="114"/>
    </row>
    <row r="647">
      <c r="A647" s="114"/>
      <c r="B647" s="114"/>
      <c r="C647" s="114"/>
      <c r="D647" s="114"/>
      <c r="E647" s="114"/>
      <c r="F647" s="114"/>
      <c r="G647" s="114"/>
      <c r="H647" s="114"/>
      <c r="I647" s="114"/>
      <c r="J647" s="114"/>
      <c r="K647" s="114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4"/>
      <c r="Y647" s="114"/>
      <c r="Z647" s="114"/>
    </row>
    <row r="648">
      <c r="A648" s="114"/>
      <c r="B648" s="114"/>
      <c r="C648" s="114"/>
      <c r="D648" s="114"/>
      <c r="E648" s="114"/>
      <c r="F648" s="114"/>
      <c r="G648" s="114"/>
      <c r="H648" s="114"/>
      <c r="I648" s="114"/>
      <c r="J648" s="114"/>
      <c r="K648" s="114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4"/>
      <c r="Y648" s="114"/>
      <c r="Z648" s="114"/>
    </row>
    <row r="649">
      <c r="A649" s="114"/>
      <c r="B649" s="114"/>
      <c r="C649" s="114"/>
      <c r="D649" s="114"/>
      <c r="E649" s="114"/>
      <c r="F649" s="114"/>
      <c r="G649" s="114"/>
      <c r="H649" s="114"/>
      <c r="I649" s="114"/>
      <c r="J649" s="114"/>
      <c r="K649" s="114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4"/>
      <c r="Y649" s="114"/>
      <c r="Z649" s="114"/>
    </row>
    <row r="650">
      <c r="A650" s="114"/>
      <c r="B650" s="114"/>
      <c r="C650" s="114"/>
      <c r="D650" s="114"/>
      <c r="E650" s="114"/>
      <c r="F650" s="114"/>
      <c r="G650" s="114"/>
      <c r="H650" s="114"/>
      <c r="I650" s="114"/>
      <c r="J650" s="114"/>
      <c r="K650" s="114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4"/>
      <c r="Y650" s="114"/>
      <c r="Z650" s="114"/>
    </row>
    <row r="651">
      <c r="A651" s="114"/>
      <c r="B651" s="114"/>
      <c r="C651" s="114"/>
      <c r="D651" s="114"/>
      <c r="E651" s="114"/>
      <c r="F651" s="114"/>
      <c r="G651" s="114"/>
      <c r="H651" s="114"/>
      <c r="I651" s="114"/>
      <c r="J651" s="114"/>
      <c r="K651" s="114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4"/>
      <c r="Y651" s="114"/>
      <c r="Z651" s="114"/>
    </row>
    <row r="652">
      <c r="A652" s="114"/>
      <c r="B652" s="114"/>
      <c r="C652" s="114"/>
      <c r="D652" s="114"/>
      <c r="E652" s="114"/>
      <c r="F652" s="114"/>
      <c r="G652" s="114"/>
      <c r="H652" s="114"/>
      <c r="I652" s="114"/>
      <c r="J652" s="114"/>
      <c r="K652" s="114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4"/>
      <c r="Y652" s="114"/>
      <c r="Z652" s="114"/>
    </row>
    <row r="653">
      <c r="A653" s="114"/>
      <c r="B653" s="114"/>
      <c r="C653" s="114"/>
      <c r="D653" s="114"/>
      <c r="E653" s="114"/>
      <c r="F653" s="114"/>
      <c r="G653" s="114"/>
      <c r="H653" s="114"/>
      <c r="I653" s="114"/>
      <c r="J653" s="114"/>
      <c r="K653" s="114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4"/>
      <c r="Y653" s="114"/>
      <c r="Z653" s="114"/>
    </row>
    <row r="654">
      <c r="A654" s="114"/>
      <c r="B654" s="114"/>
      <c r="C654" s="114"/>
      <c r="D654" s="114"/>
      <c r="E654" s="114"/>
      <c r="F654" s="114"/>
      <c r="G654" s="114"/>
      <c r="H654" s="114"/>
      <c r="I654" s="114"/>
      <c r="J654" s="114"/>
      <c r="K654" s="114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4"/>
      <c r="Y654" s="114"/>
      <c r="Z654" s="114"/>
    </row>
    <row r="655">
      <c r="A655" s="114"/>
      <c r="B655" s="114"/>
      <c r="C655" s="114"/>
      <c r="D655" s="114"/>
      <c r="E655" s="114"/>
      <c r="F655" s="114"/>
      <c r="G655" s="114"/>
      <c r="H655" s="114"/>
      <c r="I655" s="114"/>
      <c r="J655" s="114"/>
      <c r="K655" s="114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4"/>
      <c r="Y655" s="114"/>
      <c r="Z655" s="114"/>
    </row>
    <row r="656">
      <c r="A656" s="114"/>
      <c r="B656" s="114"/>
      <c r="C656" s="114"/>
      <c r="D656" s="114"/>
      <c r="E656" s="114"/>
      <c r="F656" s="114"/>
      <c r="G656" s="114"/>
      <c r="H656" s="114"/>
      <c r="I656" s="114"/>
      <c r="J656" s="114"/>
      <c r="K656" s="114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4"/>
      <c r="Y656" s="114"/>
      <c r="Z656" s="114"/>
    </row>
    <row r="657">
      <c r="A657" s="114"/>
      <c r="B657" s="114"/>
      <c r="C657" s="114"/>
      <c r="D657" s="114"/>
      <c r="E657" s="114"/>
      <c r="F657" s="114"/>
      <c r="G657" s="114"/>
      <c r="H657" s="114"/>
      <c r="I657" s="114"/>
      <c r="J657" s="114"/>
      <c r="K657" s="114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  <c r="X657" s="114"/>
      <c r="Y657" s="114"/>
      <c r="Z657" s="114"/>
    </row>
    <row r="658">
      <c r="A658" s="114"/>
      <c r="B658" s="114"/>
      <c r="C658" s="114"/>
      <c r="D658" s="114"/>
      <c r="E658" s="114"/>
      <c r="F658" s="114"/>
      <c r="G658" s="114"/>
      <c r="H658" s="114"/>
      <c r="I658" s="114"/>
      <c r="J658" s="114"/>
      <c r="K658" s="114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  <c r="X658" s="114"/>
      <c r="Y658" s="114"/>
      <c r="Z658" s="114"/>
    </row>
    <row r="659">
      <c r="A659" s="114"/>
      <c r="B659" s="114"/>
      <c r="C659" s="114"/>
      <c r="D659" s="114"/>
      <c r="E659" s="114"/>
      <c r="F659" s="114"/>
      <c r="G659" s="114"/>
      <c r="H659" s="114"/>
      <c r="I659" s="114"/>
      <c r="J659" s="114"/>
      <c r="K659" s="114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4"/>
      <c r="Y659" s="114"/>
      <c r="Z659" s="114"/>
    </row>
    <row r="660">
      <c r="A660" s="114"/>
      <c r="B660" s="114"/>
      <c r="C660" s="114"/>
      <c r="D660" s="114"/>
      <c r="E660" s="114"/>
      <c r="F660" s="114"/>
      <c r="G660" s="114"/>
      <c r="H660" s="114"/>
      <c r="I660" s="114"/>
      <c r="J660" s="114"/>
      <c r="K660" s="114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4"/>
      <c r="Y660" s="114"/>
      <c r="Z660" s="114"/>
    </row>
    <row r="661">
      <c r="A661" s="114"/>
      <c r="B661" s="114"/>
      <c r="C661" s="114"/>
      <c r="D661" s="114"/>
      <c r="E661" s="114"/>
      <c r="F661" s="114"/>
      <c r="G661" s="114"/>
      <c r="H661" s="114"/>
      <c r="I661" s="114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</row>
    <row r="662">
      <c r="A662" s="114"/>
      <c r="B662" s="114"/>
      <c r="C662" s="114"/>
      <c r="D662" s="114"/>
      <c r="E662" s="114"/>
      <c r="F662" s="114"/>
      <c r="G662" s="114"/>
      <c r="H662" s="114"/>
      <c r="I662" s="114"/>
      <c r="J662" s="114"/>
      <c r="K662" s="114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4"/>
      <c r="Y662" s="114"/>
      <c r="Z662" s="114"/>
    </row>
    <row r="663">
      <c r="A663" s="114"/>
      <c r="B663" s="114"/>
      <c r="C663" s="114"/>
      <c r="D663" s="114"/>
      <c r="E663" s="114"/>
      <c r="F663" s="114"/>
      <c r="G663" s="114"/>
      <c r="H663" s="114"/>
      <c r="I663" s="114"/>
      <c r="J663" s="114"/>
      <c r="K663" s="114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  <c r="X663" s="114"/>
      <c r="Y663" s="114"/>
      <c r="Z663" s="114"/>
    </row>
    <row r="664">
      <c r="A664" s="114"/>
      <c r="B664" s="114"/>
      <c r="C664" s="114"/>
      <c r="D664" s="114"/>
      <c r="E664" s="114"/>
      <c r="F664" s="114"/>
      <c r="G664" s="114"/>
      <c r="H664" s="114"/>
      <c r="I664" s="114"/>
      <c r="J664" s="114"/>
      <c r="K664" s="114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4"/>
      <c r="Y664" s="114"/>
      <c r="Z664" s="114"/>
    </row>
    <row r="665">
      <c r="A665" s="114"/>
      <c r="B665" s="114"/>
      <c r="C665" s="114"/>
      <c r="D665" s="114"/>
      <c r="E665" s="114"/>
      <c r="F665" s="114"/>
      <c r="G665" s="114"/>
      <c r="H665" s="114"/>
      <c r="I665" s="114"/>
      <c r="J665" s="114"/>
      <c r="K665" s="114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4"/>
      <c r="Y665" s="114"/>
      <c r="Z665" s="114"/>
    </row>
    <row r="666">
      <c r="A666" s="114"/>
      <c r="B666" s="114"/>
      <c r="C666" s="114"/>
      <c r="D666" s="114"/>
      <c r="E666" s="114"/>
      <c r="F666" s="114"/>
      <c r="G666" s="114"/>
      <c r="H666" s="114"/>
      <c r="I666" s="114"/>
      <c r="J666" s="114"/>
      <c r="K666" s="114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</row>
    <row r="667">
      <c r="A667" s="114"/>
      <c r="B667" s="114"/>
      <c r="C667" s="114"/>
      <c r="D667" s="114"/>
      <c r="E667" s="114"/>
      <c r="F667" s="114"/>
      <c r="G667" s="114"/>
      <c r="H667" s="114"/>
      <c r="I667" s="114"/>
      <c r="J667" s="114"/>
      <c r="K667" s="114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4"/>
      <c r="Y667" s="114"/>
      <c r="Z667" s="114"/>
    </row>
    <row r="668">
      <c r="A668" s="114"/>
      <c r="B668" s="114"/>
      <c r="C668" s="114"/>
      <c r="D668" s="114"/>
      <c r="E668" s="114"/>
      <c r="F668" s="114"/>
      <c r="G668" s="114"/>
      <c r="H668" s="114"/>
      <c r="I668" s="114"/>
      <c r="J668" s="114"/>
      <c r="K668" s="114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  <c r="X668" s="114"/>
      <c r="Y668" s="114"/>
      <c r="Z668" s="114"/>
    </row>
    <row r="669">
      <c r="A669" s="114"/>
      <c r="B669" s="114"/>
      <c r="C669" s="114"/>
      <c r="D669" s="114"/>
      <c r="E669" s="114"/>
      <c r="F669" s="114"/>
      <c r="G669" s="114"/>
      <c r="H669" s="114"/>
      <c r="I669" s="114"/>
      <c r="J669" s="114"/>
      <c r="K669" s="114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4"/>
      <c r="Y669" s="114"/>
      <c r="Z669" s="114"/>
    </row>
    <row r="670">
      <c r="A670" s="114"/>
      <c r="B670" s="114"/>
      <c r="C670" s="114"/>
      <c r="D670" s="114"/>
      <c r="E670" s="114"/>
      <c r="F670" s="114"/>
      <c r="G670" s="114"/>
      <c r="H670" s="114"/>
      <c r="I670" s="114"/>
      <c r="J670" s="114"/>
      <c r="K670" s="114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4"/>
      <c r="Y670" s="114"/>
      <c r="Z670" s="114"/>
    </row>
    <row r="671">
      <c r="A671" s="114"/>
      <c r="B671" s="114"/>
      <c r="C671" s="114"/>
      <c r="D671" s="114"/>
      <c r="E671" s="114"/>
      <c r="F671" s="114"/>
      <c r="G671" s="114"/>
      <c r="H671" s="114"/>
      <c r="I671" s="114"/>
      <c r="J671" s="114"/>
      <c r="K671" s="114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4"/>
      <c r="Y671" s="114"/>
      <c r="Z671" s="114"/>
    </row>
    <row r="672">
      <c r="A672" s="114"/>
      <c r="B672" s="114"/>
      <c r="C672" s="114"/>
      <c r="D672" s="114"/>
      <c r="E672" s="114"/>
      <c r="F672" s="114"/>
      <c r="G672" s="114"/>
      <c r="H672" s="114"/>
      <c r="I672" s="114"/>
      <c r="J672" s="114"/>
      <c r="K672" s="114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4"/>
      <c r="Y672" s="114"/>
      <c r="Z672" s="114"/>
    </row>
    <row r="673">
      <c r="A673" s="114"/>
      <c r="B673" s="114"/>
      <c r="C673" s="114"/>
      <c r="D673" s="114"/>
      <c r="E673" s="114"/>
      <c r="F673" s="114"/>
      <c r="G673" s="114"/>
      <c r="H673" s="114"/>
      <c r="I673" s="114"/>
      <c r="J673" s="114"/>
      <c r="K673" s="114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4"/>
      <c r="Y673" s="114"/>
      <c r="Z673" s="114"/>
    </row>
    <row r="674">
      <c r="A674" s="114"/>
      <c r="B674" s="114"/>
      <c r="C674" s="114"/>
      <c r="D674" s="114"/>
      <c r="E674" s="114"/>
      <c r="F674" s="114"/>
      <c r="G674" s="114"/>
      <c r="H674" s="114"/>
      <c r="I674" s="114"/>
      <c r="J674" s="114"/>
      <c r="K674" s="114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4"/>
      <c r="Y674" s="114"/>
      <c r="Z674" s="114"/>
    </row>
    <row r="675">
      <c r="A675" s="114"/>
      <c r="B675" s="114"/>
      <c r="C675" s="114"/>
      <c r="D675" s="114"/>
      <c r="E675" s="114"/>
      <c r="F675" s="114"/>
      <c r="G675" s="114"/>
      <c r="H675" s="114"/>
      <c r="I675" s="114"/>
      <c r="J675" s="114"/>
      <c r="K675" s="114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4"/>
      <c r="Y675" s="114"/>
      <c r="Z675" s="114"/>
    </row>
    <row r="676">
      <c r="A676" s="114"/>
      <c r="B676" s="114"/>
      <c r="C676" s="114"/>
      <c r="D676" s="114"/>
      <c r="E676" s="114"/>
      <c r="F676" s="114"/>
      <c r="G676" s="114"/>
      <c r="H676" s="114"/>
      <c r="I676" s="114"/>
      <c r="J676" s="114"/>
      <c r="K676" s="114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4"/>
      <c r="Y676" s="114"/>
      <c r="Z676" s="114"/>
    </row>
    <row r="677">
      <c r="A677" s="114"/>
      <c r="B677" s="114"/>
      <c r="C677" s="114"/>
      <c r="D677" s="114"/>
      <c r="E677" s="114"/>
      <c r="F677" s="114"/>
      <c r="G677" s="114"/>
      <c r="H677" s="114"/>
      <c r="I677" s="114"/>
      <c r="J677" s="114"/>
      <c r="K677" s="114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  <c r="X677" s="114"/>
      <c r="Y677" s="114"/>
      <c r="Z677" s="114"/>
    </row>
    <row r="678">
      <c r="A678" s="114"/>
      <c r="B678" s="114"/>
      <c r="C678" s="114"/>
      <c r="D678" s="114"/>
      <c r="E678" s="114"/>
      <c r="F678" s="114"/>
      <c r="G678" s="114"/>
      <c r="H678" s="114"/>
      <c r="I678" s="114"/>
      <c r="J678" s="114"/>
      <c r="K678" s="114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  <c r="X678" s="114"/>
      <c r="Y678" s="114"/>
      <c r="Z678" s="114"/>
    </row>
    <row r="679">
      <c r="A679" s="114"/>
      <c r="B679" s="114"/>
      <c r="C679" s="114"/>
      <c r="D679" s="114"/>
      <c r="E679" s="114"/>
      <c r="F679" s="114"/>
      <c r="G679" s="114"/>
      <c r="H679" s="114"/>
      <c r="I679" s="114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4"/>
      <c r="Y679" s="114"/>
      <c r="Z679" s="114"/>
    </row>
    <row r="680">
      <c r="A680" s="114"/>
      <c r="B680" s="114"/>
      <c r="C680" s="114"/>
      <c r="D680" s="114"/>
      <c r="E680" s="114"/>
      <c r="F680" s="114"/>
      <c r="G680" s="114"/>
      <c r="H680" s="114"/>
      <c r="I680" s="114"/>
      <c r="J680" s="114"/>
      <c r="K680" s="114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4"/>
      <c r="Y680" s="114"/>
      <c r="Z680" s="114"/>
    </row>
    <row r="681">
      <c r="A681" s="114"/>
      <c r="B681" s="114"/>
      <c r="C681" s="114"/>
      <c r="D681" s="114"/>
      <c r="E681" s="114"/>
      <c r="F681" s="114"/>
      <c r="G681" s="114"/>
      <c r="H681" s="114"/>
      <c r="I681" s="114"/>
      <c r="J681" s="114"/>
      <c r="K681" s="114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  <c r="X681" s="114"/>
      <c r="Y681" s="114"/>
      <c r="Z681" s="114"/>
    </row>
    <row r="682">
      <c r="A682" s="114"/>
      <c r="B682" s="114"/>
      <c r="C682" s="114"/>
      <c r="D682" s="114"/>
      <c r="E682" s="114"/>
      <c r="F682" s="114"/>
      <c r="G682" s="114"/>
      <c r="H682" s="114"/>
      <c r="I682" s="114"/>
      <c r="J682" s="114"/>
      <c r="K682" s="114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  <c r="X682" s="114"/>
      <c r="Y682" s="114"/>
      <c r="Z682" s="114"/>
    </row>
    <row r="683">
      <c r="A683" s="114"/>
      <c r="B683" s="114"/>
      <c r="C683" s="114"/>
      <c r="D683" s="114"/>
      <c r="E683" s="114"/>
      <c r="F683" s="114"/>
      <c r="G683" s="114"/>
      <c r="H683" s="114"/>
      <c r="I683" s="114"/>
      <c r="J683" s="114"/>
      <c r="K683" s="114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4"/>
      <c r="Y683" s="114"/>
      <c r="Z683" s="114"/>
    </row>
    <row r="684">
      <c r="A684" s="114"/>
      <c r="B684" s="114"/>
      <c r="C684" s="114"/>
      <c r="D684" s="114"/>
      <c r="E684" s="114"/>
      <c r="F684" s="114"/>
      <c r="G684" s="114"/>
      <c r="H684" s="114"/>
      <c r="I684" s="114"/>
      <c r="J684" s="114"/>
      <c r="K684" s="114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  <c r="X684" s="114"/>
      <c r="Y684" s="114"/>
      <c r="Z684" s="114"/>
    </row>
    <row r="685">
      <c r="A685" s="114"/>
      <c r="B685" s="114"/>
      <c r="C685" s="114"/>
      <c r="D685" s="114"/>
      <c r="E685" s="114"/>
      <c r="F685" s="114"/>
      <c r="G685" s="114"/>
      <c r="H685" s="114"/>
      <c r="I685" s="114"/>
      <c r="J685" s="114"/>
      <c r="K685" s="114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  <c r="X685" s="114"/>
      <c r="Y685" s="114"/>
      <c r="Z685" s="114"/>
    </row>
    <row r="686">
      <c r="A686" s="114"/>
      <c r="B686" s="114"/>
      <c r="C686" s="114"/>
      <c r="D686" s="114"/>
      <c r="E686" s="114"/>
      <c r="F686" s="114"/>
      <c r="G686" s="114"/>
      <c r="H686" s="114"/>
      <c r="I686" s="114"/>
      <c r="J686" s="114"/>
      <c r="K686" s="114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</row>
    <row r="687">
      <c r="A687" s="114"/>
      <c r="B687" s="114"/>
      <c r="C687" s="114"/>
      <c r="D687" s="114"/>
      <c r="E687" s="114"/>
      <c r="F687" s="114"/>
      <c r="G687" s="114"/>
      <c r="H687" s="114"/>
      <c r="I687" s="114"/>
      <c r="J687" s="114"/>
      <c r="K687" s="114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  <c r="X687" s="114"/>
      <c r="Y687" s="114"/>
      <c r="Z687" s="114"/>
    </row>
    <row r="688">
      <c r="A688" s="114"/>
      <c r="B688" s="114"/>
      <c r="C688" s="114"/>
      <c r="D688" s="114"/>
      <c r="E688" s="114"/>
      <c r="F688" s="114"/>
      <c r="G688" s="114"/>
      <c r="H688" s="114"/>
      <c r="I688" s="114"/>
      <c r="J688" s="114"/>
      <c r="K688" s="114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  <c r="X688" s="114"/>
      <c r="Y688" s="114"/>
      <c r="Z688" s="114"/>
    </row>
    <row r="689">
      <c r="A689" s="114"/>
      <c r="B689" s="114"/>
      <c r="C689" s="114"/>
      <c r="D689" s="114"/>
      <c r="E689" s="114"/>
      <c r="F689" s="114"/>
      <c r="G689" s="114"/>
      <c r="H689" s="114"/>
      <c r="I689" s="114"/>
      <c r="J689" s="114"/>
      <c r="K689" s="114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  <c r="X689" s="114"/>
      <c r="Y689" s="114"/>
      <c r="Z689" s="114"/>
    </row>
    <row r="690">
      <c r="A690" s="114"/>
      <c r="B690" s="114"/>
      <c r="C690" s="114"/>
      <c r="D690" s="114"/>
      <c r="E690" s="114"/>
      <c r="F690" s="114"/>
      <c r="G690" s="114"/>
      <c r="H690" s="114"/>
      <c r="I690" s="114"/>
      <c r="J690" s="114"/>
      <c r="K690" s="114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  <c r="X690" s="114"/>
      <c r="Y690" s="114"/>
      <c r="Z690" s="114"/>
    </row>
    <row r="691">
      <c r="A691" s="114"/>
      <c r="B691" s="114"/>
      <c r="C691" s="114"/>
      <c r="D691" s="114"/>
      <c r="E691" s="114"/>
      <c r="F691" s="114"/>
      <c r="G691" s="114"/>
      <c r="H691" s="114"/>
      <c r="I691" s="114"/>
      <c r="J691" s="114"/>
      <c r="K691" s="114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  <c r="X691" s="114"/>
      <c r="Y691" s="114"/>
      <c r="Z691" s="114"/>
    </row>
    <row r="692">
      <c r="A692" s="114"/>
      <c r="B692" s="114"/>
      <c r="C692" s="114"/>
      <c r="D692" s="114"/>
      <c r="E692" s="114"/>
      <c r="F692" s="114"/>
      <c r="G692" s="114"/>
      <c r="H692" s="114"/>
      <c r="I692" s="114"/>
      <c r="J692" s="114"/>
      <c r="K692" s="114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  <c r="X692" s="114"/>
      <c r="Y692" s="114"/>
      <c r="Z692" s="114"/>
    </row>
    <row r="693">
      <c r="A693" s="114"/>
      <c r="B693" s="114"/>
      <c r="C693" s="114"/>
      <c r="D693" s="114"/>
      <c r="E693" s="114"/>
      <c r="F693" s="114"/>
      <c r="G693" s="114"/>
      <c r="H693" s="114"/>
      <c r="I693" s="114"/>
      <c r="J693" s="114"/>
      <c r="K693" s="114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  <c r="X693" s="114"/>
      <c r="Y693" s="114"/>
      <c r="Z693" s="114"/>
    </row>
    <row r="694">
      <c r="A694" s="114"/>
      <c r="B694" s="114"/>
      <c r="C694" s="114"/>
      <c r="D694" s="114"/>
      <c r="E694" s="114"/>
      <c r="F694" s="114"/>
      <c r="G694" s="114"/>
      <c r="H694" s="114"/>
      <c r="I694" s="114"/>
      <c r="J694" s="114"/>
      <c r="K694" s="114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  <c r="X694" s="114"/>
      <c r="Y694" s="114"/>
      <c r="Z694" s="114"/>
    </row>
    <row r="695">
      <c r="A695" s="114"/>
      <c r="B695" s="114"/>
      <c r="C695" s="114"/>
      <c r="D695" s="114"/>
      <c r="E695" s="114"/>
      <c r="F695" s="114"/>
      <c r="G695" s="114"/>
      <c r="H695" s="114"/>
      <c r="I695" s="114"/>
      <c r="J695" s="114"/>
      <c r="K695" s="114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4"/>
      <c r="Y695" s="114"/>
      <c r="Z695" s="114"/>
    </row>
    <row r="696">
      <c r="A696" s="114"/>
      <c r="B696" s="114"/>
      <c r="C696" s="114"/>
      <c r="D696" s="114"/>
      <c r="E696" s="114"/>
      <c r="F696" s="114"/>
      <c r="G696" s="114"/>
      <c r="H696" s="114"/>
      <c r="I696" s="114"/>
      <c r="J696" s="114"/>
      <c r="K696" s="114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  <c r="X696" s="114"/>
      <c r="Y696" s="114"/>
      <c r="Z696" s="114"/>
    </row>
    <row r="697">
      <c r="A697" s="114"/>
      <c r="B697" s="114"/>
      <c r="C697" s="114"/>
      <c r="D697" s="114"/>
      <c r="E697" s="114"/>
      <c r="F697" s="114"/>
      <c r="G697" s="114"/>
      <c r="H697" s="114"/>
      <c r="I697" s="114"/>
      <c r="J697" s="114"/>
      <c r="K697" s="114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  <c r="X697" s="114"/>
      <c r="Y697" s="114"/>
      <c r="Z697" s="114"/>
    </row>
    <row r="698">
      <c r="A698" s="114"/>
      <c r="B698" s="114"/>
      <c r="C698" s="114"/>
      <c r="D698" s="114"/>
      <c r="E698" s="114"/>
      <c r="F698" s="114"/>
      <c r="G698" s="114"/>
      <c r="H698" s="114"/>
      <c r="I698" s="114"/>
      <c r="J698" s="114"/>
      <c r="K698" s="114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  <c r="X698" s="114"/>
      <c r="Y698" s="114"/>
      <c r="Z698" s="114"/>
    </row>
    <row r="699">
      <c r="A699" s="114"/>
      <c r="B699" s="114"/>
      <c r="C699" s="114"/>
      <c r="D699" s="114"/>
      <c r="E699" s="114"/>
      <c r="F699" s="114"/>
      <c r="G699" s="114"/>
      <c r="H699" s="114"/>
      <c r="I699" s="114"/>
      <c r="J699" s="114"/>
      <c r="K699" s="114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  <c r="X699" s="114"/>
      <c r="Y699" s="114"/>
      <c r="Z699" s="114"/>
    </row>
    <row r="700">
      <c r="A700" s="114"/>
      <c r="B700" s="114"/>
      <c r="C700" s="114"/>
      <c r="D700" s="114"/>
      <c r="E700" s="114"/>
      <c r="F700" s="114"/>
      <c r="G700" s="114"/>
      <c r="H700" s="114"/>
      <c r="I700" s="114"/>
      <c r="J700" s="114"/>
      <c r="K700" s="114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  <c r="X700" s="114"/>
      <c r="Y700" s="114"/>
      <c r="Z700" s="114"/>
    </row>
    <row r="701">
      <c r="A701" s="114"/>
      <c r="B701" s="114"/>
      <c r="C701" s="114"/>
      <c r="D701" s="114"/>
      <c r="E701" s="114"/>
      <c r="F701" s="114"/>
      <c r="G701" s="114"/>
      <c r="H701" s="114"/>
      <c r="I701" s="114"/>
      <c r="J701" s="114"/>
      <c r="K701" s="114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4"/>
      <c r="Y701" s="114"/>
      <c r="Z701" s="114"/>
    </row>
    <row r="702">
      <c r="A702" s="114"/>
      <c r="B702" s="114"/>
      <c r="C702" s="114"/>
      <c r="D702" s="114"/>
      <c r="E702" s="114"/>
      <c r="F702" s="114"/>
      <c r="G702" s="114"/>
      <c r="H702" s="114"/>
      <c r="I702" s="114"/>
      <c r="J702" s="114"/>
      <c r="K702" s="114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  <c r="X702" s="114"/>
      <c r="Y702" s="114"/>
      <c r="Z702" s="114"/>
    </row>
    <row r="703">
      <c r="A703" s="114"/>
      <c r="B703" s="114"/>
      <c r="C703" s="114"/>
      <c r="D703" s="114"/>
      <c r="E703" s="114"/>
      <c r="F703" s="114"/>
      <c r="G703" s="114"/>
      <c r="H703" s="114"/>
      <c r="I703" s="114"/>
      <c r="J703" s="114"/>
      <c r="K703" s="114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  <c r="X703" s="114"/>
      <c r="Y703" s="114"/>
      <c r="Z703" s="114"/>
    </row>
    <row r="704">
      <c r="A704" s="114"/>
      <c r="B704" s="114"/>
      <c r="C704" s="114"/>
      <c r="D704" s="114"/>
      <c r="E704" s="114"/>
      <c r="F704" s="114"/>
      <c r="G704" s="114"/>
      <c r="H704" s="114"/>
      <c r="I704" s="114"/>
      <c r="J704" s="114"/>
      <c r="K704" s="114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  <c r="X704" s="114"/>
      <c r="Y704" s="114"/>
      <c r="Z704" s="114"/>
    </row>
    <row r="705">
      <c r="A705" s="114"/>
      <c r="B705" s="114"/>
      <c r="C705" s="114"/>
      <c r="D705" s="114"/>
      <c r="E705" s="114"/>
      <c r="F705" s="114"/>
      <c r="G705" s="114"/>
      <c r="H705" s="114"/>
      <c r="I705" s="114"/>
      <c r="J705" s="114"/>
      <c r="K705" s="114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  <c r="X705" s="114"/>
      <c r="Y705" s="114"/>
      <c r="Z705" s="114"/>
    </row>
    <row r="706">
      <c r="A706" s="114"/>
      <c r="B706" s="114"/>
      <c r="C706" s="114"/>
      <c r="D706" s="114"/>
      <c r="E706" s="114"/>
      <c r="F706" s="114"/>
      <c r="G706" s="114"/>
      <c r="H706" s="114"/>
      <c r="I706" s="114"/>
      <c r="J706" s="114"/>
      <c r="K706" s="114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  <c r="X706" s="114"/>
      <c r="Y706" s="114"/>
      <c r="Z706" s="114"/>
    </row>
    <row r="707">
      <c r="A707" s="114"/>
      <c r="B707" s="114"/>
      <c r="C707" s="114"/>
      <c r="D707" s="114"/>
      <c r="E707" s="114"/>
      <c r="F707" s="114"/>
      <c r="G707" s="114"/>
      <c r="H707" s="114"/>
      <c r="I707" s="114"/>
      <c r="J707" s="114"/>
      <c r="K707" s="114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  <c r="X707" s="114"/>
      <c r="Y707" s="114"/>
      <c r="Z707" s="114"/>
    </row>
    <row r="708">
      <c r="A708" s="114"/>
      <c r="B708" s="114"/>
      <c r="C708" s="114"/>
      <c r="D708" s="114"/>
      <c r="E708" s="114"/>
      <c r="F708" s="114"/>
      <c r="G708" s="114"/>
      <c r="H708" s="114"/>
      <c r="I708" s="114"/>
      <c r="J708" s="114"/>
      <c r="K708" s="114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  <c r="X708" s="114"/>
      <c r="Y708" s="114"/>
      <c r="Z708" s="114"/>
    </row>
    <row r="709">
      <c r="A709" s="114"/>
      <c r="B709" s="114"/>
      <c r="C709" s="114"/>
      <c r="D709" s="114"/>
      <c r="E709" s="114"/>
      <c r="F709" s="114"/>
      <c r="G709" s="114"/>
      <c r="H709" s="114"/>
      <c r="I709" s="114"/>
      <c r="J709" s="114"/>
      <c r="K709" s="114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  <c r="X709" s="114"/>
      <c r="Y709" s="114"/>
      <c r="Z709" s="114"/>
    </row>
    <row r="710">
      <c r="A710" s="114"/>
      <c r="B710" s="114"/>
      <c r="C710" s="114"/>
      <c r="D710" s="114"/>
      <c r="E710" s="114"/>
      <c r="F710" s="114"/>
      <c r="G710" s="114"/>
      <c r="H710" s="114"/>
      <c r="I710" s="114"/>
      <c r="J710" s="114"/>
      <c r="K710" s="114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4"/>
      <c r="Y710" s="114"/>
      <c r="Z710" s="114"/>
    </row>
    <row r="711">
      <c r="A711" s="114"/>
      <c r="B711" s="114"/>
      <c r="C711" s="114"/>
      <c r="D711" s="114"/>
      <c r="E711" s="114"/>
      <c r="F711" s="114"/>
      <c r="G711" s="114"/>
      <c r="H711" s="114"/>
      <c r="I711" s="114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4"/>
      <c r="Y711" s="114"/>
      <c r="Z711" s="114"/>
    </row>
    <row r="712">
      <c r="A712" s="114"/>
      <c r="B712" s="114"/>
      <c r="C712" s="114"/>
      <c r="D712" s="114"/>
      <c r="E712" s="114"/>
      <c r="F712" s="114"/>
      <c r="G712" s="114"/>
      <c r="H712" s="114"/>
      <c r="I712" s="114"/>
      <c r="J712" s="114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4"/>
      <c r="Y712" s="114"/>
      <c r="Z712" s="114"/>
    </row>
    <row r="713">
      <c r="A713" s="114"/>
      <c r="B713" s="114"/>
      <c r="C713" s="114"/>
      <c r="D713" s="114"/>
      <c r="E713" s="114"/>
      <c r="F713" s="114"/>
      <c r="G713" s="114"/>
      <c r="H713" s="114"/>
      <c r="I713" s="114"/>
      <c r="J713" s="114"/>
      <c r="K713" s="114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4"/>
      <c r="Y713" s="114"/>
      <c r="Z713" s="114"/>
    </row>
    <row r="714">
      <c r="A714" s="114"/>
      <c r="B714" s="114"/>
      <c r="C714" s="114"/>
      <c r="D714" s="114"/>
      <c r="E714" s="114"/>
      <c r="F714" s="114"/>
      <c r="G714" s="114"/>
      <c r="H714" s="114"/>
      <c r="I714" s="114"/>
      <c r="J714" s="114"/>
      <c r="K714" s="114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  <c r="X714" s="114"/>
      <c r="Y714" s="114"/>
      <c r="Z714" s="114"/>
    </row>
    <row r="715">
      <c r="A715" s="114"/>
      <c r="B715" s="114"/>
      <c r="C715" s="114"/>
      <c r="D715" s="114"/>
      <c r="E715" s="114"/>
      <c r="F715" s="114"/>
      <c r="G715" s="114"/>
      <c r="H715" s="114"/>
      <c r="I715" s="114"/>
      <c r="J715" s="114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4"/>
      <c r="Y715" s="114"/>
      <c r="Z715" s="114"/>
    </row>
    <row r="716">
      <c r="A716" s="114"/>
      <c r="B716" s="114"/>
      <c r="C716" s="114"/>
      <c r="D716" s="114"/>
      <c r="E716" s="114"/>
      <c r="F716" s="114"/>
      <c r="G716" s="114"/>
      <c r="H716" s="114"/>
      <c r="I716" s="114"/>
      <c r="J716" s="114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4"/>
      <c r="Y716" s="114"/>
      <c r="Z716" s="114"/>
    </row>
    <row r="717">
      <c r="A717" s="114"/>
      <c r="B717" s="114"/>
      <c r="C717" s="114"/>
      <c r="D717" s="114"/>
      <c r="E717" s="114"/>
      <c r="F717" s="114"/>
      <c r="G717" s="114"/>
      <c r="H717" s="114"/>
      <c r="I717" s="114"/>
      <c r="J717" s="114"/>
      <c r="K717" s="114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4"/>
      <c r="Y717" s="114"/>
      <c r="Z717" s="114"/>
    </row>
    <row r="718">
      <c r="A718" s="114"/>
      <c r="B718" s="114"/>
      <c r="C718" s="114"/>
      <c r="D718" s="114"/>
      <c r="E718" s="114"/>
      <c r="F718" s="114"/>
      <c r="G718" s="114"/>
      <c r="H718" s="114"/>
      <c r="I718" s="114"/>
      <c r="J718" s="114"/>
      <c r="K718" s="114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  <c r="X718" s="114"/>
      <c r="Y718" s="114"/>
      <c r="Z718" s="114"/>
    </row>
    <row r="719">
      <c r="A719" s="114"/>
      <c r="B719" s="114"/>
      <c r="C719" s="114"/>
      <c r="D719" s="114"/>
      <c r="E719" s="114"/>
      <c r="F719" s="114"/>
      <c r="G719" s="114"/>
      <c r="H719" s="114"/>
      <c r="I719" s="114"/>
      <c r="J719" s="114"/>
      <c r="K719" s="114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  <c r="X719" s="114"/>
      <c r="Y719" s="114"/>
      <c r="Z719" s="114"/>
    </row>
    <row r="720">
      <c r="A720" s="114"/>
      <c r="B720" s="114"/>
      <c r="C720" s="114"/>
      <c r="D720" s="114"/>
      <c r="E720" s="114"/>
      <c r="F720" s="114"/>
      <c r="G720" s="114"/>
      <c r="H720" s="114"/>
      <c r="I720" s="114"/>
      <c r="J720" s="114"/>
      <c r="K720" s="114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  <c r="X720" s="114"/>
      <c r="Y720" s="114"/>
      <c r="Z720" s="114"/>
    </row>
    <row r="721">
      <c r="A721" s="114"/>
      <c r="B721" s="114"/>
      <c r="C721" s="114"/>
      <c r="D721" s="114"/>
      <c r="E721" s="114"/>
      <c r="F721" s="114"/>
      <c r="G721" s="114"/>
      <c r="H721" s="114"/>
      <c r="I721" s="114"/>
      <c r="J721" s="114"/>
      <c r="K721" s="114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4"/>
      <c r="Y721" s="114"/>
      <c r="Z721" s="114"/>
    </row>
    <row r="722">
      <c r="A722" s="114"/>
      <c r="B722" s="114"/>
      <c r="C722" s="114"/>
      <c r="D722" s="114"/>
      <c r="E722" s="114"/>
      <c r="F722" s="114"/>
      <c r="G722" s="114"/>
      <c r="H722" s="114"/>
      <c r="I722" s="114"/>
      <c r="J722" s="114"/>
      <c r="K722" s="114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  <c r="X722" s="114"/>
      <c r="Y722" s="114"/>
      <c r="Z722" s="114"/>
    </row>
    <row r="723">
      <c r="A723" s="114"/>
      <c r="B723" s="114"/>
      <c r="C723" s="114"/>
      <c r="D723" s="114"/>
      <c r="E723" s="114"/>
      <c r="F723" s="114"/>
      <c r="G723" s="114"/>
      <c r="H723" s="114"/>
      <c r="I723" s="114"/>
      <c r="J723" s="114"/>
      <c r="K723" s="114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  <c r="X723" s="114"/>
      <c r="Y723" s="114"/>
      <c r="Z723" s="114"/>
    </row>
    <row r="724">
      <c r="A724" s="114"/>
      <c r="B724" s="114"/>
      <c r="C724" s="114"/>
      <c r="D724" s="114"/>
      <c r="E724" s="114"/>
      <c r="F724" s="114"/>
      <c r="G724" s="114"/>
      <c r="H724" s="114"/>
      <c r="I724" s="114"/>
      <c r="J724" s="114"/>
      <c r="K724" s="114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4"/>
      <c r="Y724" s="114"/>
      <c r="Z724" s="114"/>
    </row>
    <row r="725">
      <c r="A725" s="114"/>
      <c r="B725" s="114"/>
      <c r="C725" s="114"/>
      <c r="D725" s="114"/>
      <c r="E725" s="114"/>
      <c r="F725" s="114"/>
      <c r="G725" s="114"/>
      <c r="H725" s="114"/>
      <c r="I725" s="114"/>
      <c r="J725" s="114"/>
      <c r="K725" s="114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  <c r="X725" s="114"/>
      <c r="Y725" s="114"/>
      <c r="Z725" s="114"/>
    </row>
    <row r="726">
      <c r="A726" s="114"/>
      <c r="B726" s="114"/>
      <c r="C726" s="114"/>
      <c r="D726" s="114"/>
      <c r="E726" s="114"/>
      <c r="F726" s="114"/>
      <c r="G726" s="114"/>
      <c r="H726" s="114"/>
      <c r="I726" s="114"/>
      <c r="J726" s="114"/>
      <c r="K726" s="114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  <c r="X726" s="114"/>
      <c r="Y726" s="114"/>
      <c r="Z726" s="114"/>
    </row>
    <row r="727">
      <c r="A727" s="114"/>
      <c r="B727" s="114"/>
      <c r="C727" s="114"/>
      <c r="D727" s="114"/>
      <c r="E727" s="114"/>
      <c r="F727" s="114"/>
      <c r="G727" s="114"/>
      <c r="H727" s="114"/>
      <c r="I727" s="114"/>
      <c r="J727" s="114"/>
      <c r="K727" s="114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  <c r="X727" s="114"/>
      <c r="Y727" s="114"/>
      <c r="Z727" s="114"/>
    </row>
    <row r="728">
      <c r="A728" s="114"/>
      <c r="B728" s="114"/>
      <c r="C728" s="114"/>
      <c r="D728" s="114"/>
      <c r="E728" s="114"/>
      <c r="F728" s="114"/>
      <c r="G728" s="114"/>
      <c r="H728" s="114"/>
      <c r="I728" s="114"/>
      <c r="J728" s="114"/>
      <c r="K728" s="114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  <c r="X728" s="114"/>
      <c r="Y728" s="114"/>
      <c r="Z728" s="114"/>
    </row>
    <row r="729">
      <c r="A729" s="114"/>
      <c r="B729" s="114"/>
      <c r="C729" s="114"/>
      <c r="D729" s="114"/>
      <c r="E729" s="114"/>
      <c r="F729" s="114"/>
      <c r="G729" s="114"/>
      <c r="H729" s="114"/>
      <c r="I729" s="114"/>
      <c r="J729" s="114"/>
      <c r="K729" s="114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  <c r="X729" s="114"/>
      <c r="Y729" s="114"/>
      <c r="Z729" s="114"/>
    </row>
    <row r="730">
      <c r="A730" s="114"/>
      <c r="B730" s="114"/>
      <c r="C730" s="114"/>
      <c r="D730" s="114"/>
      <c r="E730" s="114"/>
      <c r="F730" s="114"/>
      <c r="G730" s="114"/>
      <c r="H730" s="114"/>
      <c r="I730" s="114"/>
      <c r="J730" s="114"/>
      <c r="K730" s="114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  <c r="X730" s="114"/>
      <c r="Y730" s="114"/>
      <c r="Z730" s="114"/>
    </row>
    <row r="731">
      <c r="A731" s="114"/>
      <c r="B731" s="114"/>
      <c r="C731" s="114"/>
      <c r="D731" s="114"/>
      <c r="E731" s="114"/>
      <c r="F731" s="114"/>
      <c r="G731" s="114"/>
      <c r="H731" s="114"/>
      <c r="I731" s="114"/>
      <c r="J731" s="114"/>
      <c r="K731" s="114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  <c r="X731" s="114"/>
      <c r="Y731" s="114"/>
      <c r="Z731" s="114"/>
    </row>
    <row r="732">
      <c r="A732" s="114"/>
      <c r="B732" s="114"/>
      <c r="C732" s="114"/>
      <c r="D732" s="114"/>
      <c r="E732" s="114"/>
      <c r="F732" s="114"/>
      <c r="G732" s="114"/>
      <c r="H732" s="114"/>
      <c r="I732" s="114"/>
      <c r="J732" s="114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4"/>
      <c r="Y732" s="114"/>
      <c r="Z732" s="114"/>
    </row>
    <row r="733">
      <c r="A733" s="114"/>
      <c r="B733" s="114"/>
      <c r="C733" s="114"/>
      <c r="D733" s="114"/>
      <c r="E733" s="114"/>
      <c r="F733" s="114"/>
      <c r="G733" s="114"/>
      <c r="H733" s="114"/>
      <c r="I733" s="114"/>
      <c r="J733" s="114"/>
      <c r="K733" s="114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  <c r="X733" s="114"/>
      <c r="Y733" s="114"/>
      <c r="Z733" s="114"/>
    </row>
    <row r="734">
      <c r="A734" s="114"/>
      <c r="B734" s="114"/>
      <c r="C734" s="114"/>
      <c r="D734" s="114"/>
      <c r="E734" s="114"/>
      <c r="F734" s="114"/>
      <c r="G734" s="114"/>
      <c r="H734" s="114"/>
      <c r="I734" s="114"/>
      <c r="J734" s="114"/>
      <c r="K734" s="114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  <c r="X734" s="114"/>
      <c r="Y734" s="114"/>
      <c r="Z734" s="114"/>
    </row>
    <row r="735">
      <c r="A735" s="114"/>
      <c r="B735" s="114"/>
      <c r="C735" s="114"/>
      <c r="D735" s="114"/>
      <c r="E735" s="114"/>
      <c r="F735" s="114"/>
      <c r="G735" s="114"/>
      <c r="H735" s="114"/>
      <c r="I735" s="114"/>
      <c r="J735" s="114"/>
      <c r="K735" s="114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  <c r="X735" s="114"/>
      <c r="Y735" s="114"/>
      <c r="Z735" s="114"/>
    </row>
    <row r="736">
      <c r="A736" s="114"/>
      <c r="B736" s="114"/>
      <c r="C736" s="114"/>
      <c r="D736" s="114"/>
      <c r="E736" s="114"/>
      <c r="F736" s="114"/>
      <c r="G736" s="114"/>
      <c r="H736" s="114"/>
      <c r="I736" s="114"/>
      <c r="J736" s="114"/>
      <c r="K736" s="114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  <c r="X736" s="114"/>
      <c r="Y736" s="114"/>
      <c r="Z736" s="114"/>
    </row>
    <row r="737">
      <c r="A737" s="114"/>
      <c r="B737" s="114"/>
      <c r="C737" s="114"/>
      <c r="D737" s="114"/>
      <c r="E737" s="114"/>
      <c r="F737" s="114"/>
      <c r="G737" s="114"/>
      <c r="H737" s="114"/>
      <c r="I737" s="114"/>
      <c r="J737" s="114"/>
      <c r="K737" s="114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  <c r="X737" s="114"/>
      <c r="Y737" s="114"/>
      <c r="Z737" s="114"/>
    </row>
    <row r="738">
      <c r="A738" s="114"/>
      <c r="B738" s="114"/>
      <c r="C738" s="114"/>
      <c r="D738" s="114"/>
      <c r="E738" s="114"/>
      <c r="F738" s="114"/>
      <c r="G738" s="114"/>
      <c r="H738" s="114"/>
      <c r="I738" s="114"/>
      <c r="J738" s="114"/>
      <c r="K738" s="114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  <c r="X738" s="114"/>
      <c r="Y738" s="114"/>
      <c r="Z738" s="114"/>
    </row>
    <row r="739">
      <c r="A739" s="114"/>
      <c r="B739" s="114"/>
      <c r="C739" s="114"/>
      <c r="D739" s="114"/>
      <c r="E739" s="114"/>
      <c r="F739" s="114"/>
      <c r="G739" s="114"/>
      <c r="H739" s="114"/>
      <c r="I739" s="114"/>
      <c r="J739" s="114"/>
      <c r="K739" s="114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  <c r="X739" s="114"/>
      <c r="Y739" s="114"/>
      <c r="Z739" s="114"/>
    </row>
    <row r="740">
      <c r="A740" s="114"/>
      <c r="B740" s="114"/>
      <c r="C740" s="114"/>
      <c r="D740" s="114"/>
      <c r="E740" s="114"/>
      <c r="F740" s="114"/>
      <c r="G740" s="114"/>
      <c r="H740" s="114"/>
      <c r="I740" s="114"/>
      <c r="J740" s="114"/>
      <c r="K740" s="114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</row>
    <row r="741">
      <c r="A741" s="114"/>
      <c r="B741" s="114"/>
      <c r="C741" s="114"/>
      <c r="D741" s="114"/>
      <c r="E741" s="114"/>
      <c r="F741" s="114"/>
      <c r="G741" s="114"/>
      <c r="H741" s="114"/>
      <c r="I741" s="114"/>
      <c r="J741" s="114"/>
      <c r="K741" s="114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  <c r="X741" s="114"/>
      <c r="Y741" s="114"/>
      <c r="Z741" s="114"/>
    </row>
    <row r="742">
      <c r="A742" s="114"/>
      <c r="B742" s="114"/>
      <c r="C742" s="114"/>
      <c r="D742" s="114"/>
      <c r="E742" s="114"/>
      <c r="F742" s="114"/>
      <c r="G742" s="114"/>
      <c r="H742" s="114"/>
      <c r="I742" s="114"/>
      <c r="J742" s="114"/>
      <c r="K742" s="114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  <c r="X742" s="114"/>
      <c r="Y742" s="114"/>
      <c r="Z742" s="114"/>
    </row>
    <row r="743">
      <c r="A743" s="114"/>
      <c r="B743" s="114"/>
      <c r="C743" s="114"/>
      <c r="D743" s="114"/>
      <c r="E743" s="114"/>
      <c r="F743" s="114"/>
      <c r="G743" s="114"/>
      <c r="H743" s="114"/>
      <c r="I743" s="114"/>
      <c r="J743" s="114"/>
      <c r="K743" s="114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  <c r="X743" s="114"/>
      <c r="Y743" s="114"/>
      <c r="Z743" s="114"/>
    </row>
    <row r="744">
      <c r="A744" s="114"/>
      <c r="B744" s="114"/>
      <c r="C744" s="114"/>
      <c r="D744" s="114"/>
      <c r="E744" s="114"/>
      <c r="F744" s="114"/>
      <c r="G744" s="114"/>
      <c r="H744" s="114"/>
      <c r="I744" s="114"/>
      <c r="J744" s="114"/>
      <c r="K744" s="114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  <c r="X744" s="114"/>
      <c r="Y744" s="114"/>
      <c r="Z744" s="114"/>
    </row>
    <row r="745">
      <c r="A745" s="114"/>
      <c r="B745" s="114"/>
      <c r="C745" s="114"/>
      <c r="D745" s="114"/>
      <c r="E745" s="114"/>
      <c r="F745" s="114"/>
      <c r="G745" s="114"/>
      <c r="H745" s="114"/>
      <c r="I745" s="114"/>
      <c r="J745" s="114"/>
      <c r="K745" s="114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  <c r="X745" s="114"/>
      <c r="Y745" s="114"/>
      <c r="Z745" s="114"/>
    </row>
    <row r="746">
      <c r="A746" s="114"/>
      <c r="B746" s="114"/>
      <c r="C746" s="114"/>
      <c r="D746" s="114"/>
      <c r="E746" s="114"/>
      <c r="F746" s="114"/>
      <c r="G746" s="114"/>
      <c r="H746" s="114"/>
      <c r="I746" s="114"/>
      <c r="J746" s="114"/>
      <c r="K746" s="114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  <c r="X746" s="114"/>
      <c r="Y746" s="114"/>
      <c r="Z746" s="114"/>
    </row>
    <row r="747">
      <c r="A747" s="114"/>
      <c r="B747" s="114"/>
      <c r="C747" s="114"/>
      <c r="D747" s="114"/>
      <c r="E747" s="114"/>
      <c r="F747" s="114"/>
      <c r="G747" s="114"/>
      <c r="H747" s="114"/>
      <c r="I747" s="114"/>
      <c r="J747" s="114"/>
      <c r="K747" s="114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  <c r="X747" s="114"/>
      <c r="Y747" s="114"/>
      <c r="Z747" s="114"/>
    </row>
    <row r="748">
      <c r="A748" s="114"/>
      <c r="B748" s="114"/>
      <c r="C748" s="114"/>
      <c r="D748" s="114"/>
      <c r="E748" s="114"/>
      <c r="F748" s="114"/>
      <c r="G748" s="114"/>
      <c r="H748" s="114"/>
      <c r="I748" s="114"/>
      <c r="J748" s="114"/>
      <c r="K748" s="114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  <c r="X748" s="114"/>
      <c r="Y748" s="114"/>
      <c r="Z748" s="114"/>
    </row>
    <row r="749">
      <c r="A749" s="114"/>
      <c r="B749" s="114"/>
      <c r="C749" s="114"/>
      <c r="D749" s="114"/>
      <c r="E749" s="114"/>
      <c r="F749" s="114"/>
      <c r="G749" s="114"/>
      <c r="H749" s="114"/>
      <c r="I749" s="114"/>
      <c r="J749" s="114"/>
      <c r="K749" s="114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  <c r="X749" s="114"/>
      <c r="Y749" s="114"/>
      <c r="Z749" s="114"/>
    </row>
    <row r="750">
      <c r="A750" s="114"/>
      <c r="B750" s="114"/>
      <c r="C750" s="114"/>
      <c r="D750" s="114"/>
      <c r="E750" s="114"/>
      <c r="F750" s="114"/>
      <c r="G750" s="114"/>
      <c r="H750" s="114"/>
      <c r="I750" s="114"/>
      <c r="J750" s="114"/>
      <c r="K750" s="114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  <c r="X750" s="114"/>
      <c r="Y750" s="114"/>
      <c r="Z750" s="114"/>
    </row>
    <row r="751">
      <c r="A751" s="114"/>
      <c r="B751" s="114"/>
      <c r="C751" s="114"/>
      <c r="D751" s="114"/>
      <c r="E751" s="114"/>
      <c r="F751" s="114"/>
      <c r="G751" s="114"/>
      <c r="H751" s="114"/>
      <c r="I751" s="114"/>
      <c r="J751" s="114"/>
      <c r="K751" s="114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  <c r="X751" s="114"/>
      <c r="Y751" s="114"/>
      <c r="Z751" s="114"/>
    </row>
    <row r="752">
      <c r="A752" s="114"/>
      <c r="B752" s="114"/>
      <c r="C752" s="114"/>
      <c r="D752" s="114"/>
      <c r="E752" s="114"/>
      <c r="F752" s="114"/>
      <c r="G752" s="114"/>
      <c r="H752" s="114"/>
      <c r="I752" s="114"/>
      <c r="J752" s="114"/>
      <c r="K752" s="114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  <c r="X752" s="114"/>
      <c r="Y752" s="114"/>
      <c r="Z752" s="114"/>
    </row>
    <row r="753">
      <c r="A753" s="114"/>
      <c r="B753" s="114"/>
      <c r="C753" s="114"/>
      <c r="D753" s="114"/>
      <c r="E753" s="114"/>
      <c r="F753" s="114"/>
      <c r="G753" s="114"/>
      <c r="H753" s="114"/>
      <c r="I753" s="114"/>
      <c r="J753" s="114"/>
      <c r="K753" s="114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  <c r="X753" s="114"/>
      <c r="Y753" s="114"/>
      <c r="Z753" s="114"/>
    </row>
    <row r="754">
      <c r="A754" s="114"/>
      <c r="B754" s="114"/>
      <c r="C754" s="114"/>
      <c r="D754" s="114"/>
      <c r="E754" s="114"/>
      <c r="F754" s="114"/>
      <c r="G754" s="114"/>
      <c r="H754" s="114"/>
      <c r="I754" s="114"/>
      <c r="J754" s="114"/>
      <c r="K754" s="114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  <c r="X754" s="114"/>
      <c r="Y754" s="114"/>
      <c r="Z754" s="114"/>
    </row>
    <row r="755">
      <c r="A755" s="114"/>
      <c r="B755" s="114"/>
      <c r="C755" s="114"/>
      <c r="D755" s="114"/>
      <c r="E755" s="114"/>
      <c r="F755" s="114"/>
      <c r="G755" s="114"/>
      <c r="H755" s="114"/>
      <c r="I755" s="114"/>
      <c r="J755" s="114"/>
      <c r="K755" s="114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  <c r="X755" s="114"/>
      <c r="Y755" s="114"/>
      <c r="Z755" s="114"/>
    </row>
    <row r="756">
      <c r="A756" s="114"/>
      <c r="B756" s="114"/>
      <c r="C756" s="114"/>
      <c r="D756" s="114"/>
      <c r="E756" s="114"/>
      <c r="F756" s="114"/>
      <c r="G756" s="114"/>
      <c r="H756" s="114"/>
      <c r="I756" s="114"/>
      <c r="J756" s="114"/>
      <c r="K756" s="114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  <c r="X756" s="114"/>
      <c r="Y756" s="114"/>
      <c r="Z756" s="114"/>
    </row>
    <row r="757">
      <c r="A757" s="114"/>
      <c r="B757" s="114"/>
      <c r="C757" s="114"/>
      <c r="D757" s="114"/>
      <c r="E757" s="114"/>
      <c r="F757" s="114"/>
      <c r="G757" s="114"/>
      <c r="H757" s="114"/>
      <c r="I757" s="114"/>
      <c r="J757" s="114"/>
      <c r="K757" s="114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  <c r="X757" s="114"/>
      <c r="Y757" s="114"/>
      <c r="Z757" s="114"/>
    </row>
    <row r="758">
      <c r="A758" s="114"/>
      <c r="B758" s="114"/>
      <c r="C758" s="114"/>
      <c r="D758" s="114"/>
      <c r="E758" s="114"/>
      <c r="F758" s="114"/>
      <c r="G758" s="114"/>
      <c r="H758" s="114"/>
      <c r="I758" s="114"/>
      <c r="J758" s="114"/>
      <c r="K758" s="114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  <c r="X758" s="114"/>
      <c r="Y758" s="114"/>
      <c r="Z758" s="114"/>
    </row>
    <row r="759">
      <c r="A759" s="114"/>
      <c r="B759" s="114"/>
      <c r="C759" s="114"/>
      <c r="D759" s="114"/>
      <c r="E759" s="114"/>
      <c r="F759" s="114"/>
      <c r="G759" s="114"/>
      <c r="H759" s="114"/>
      <c r="I759" s="114"/>
      <c r="J759" s="114"/>
      <c r="K759" s="114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  <c r="X759" s="114"/>
      <c r="Y759" s="114"/>
      <c r="Z759" s="114"/>
    </row>
    <row r="760">
      <c r="A760" s="114"/>
      <c r="B760" s="114"/>
      <c r="C760" s="114"/>
      <c r="D760" s="114"/>
      <c r="E760" s="114"/>
      <c r="F760" s="114"/>
      <c r="G760" s="114"/>
      <c r="H760" s="114"/>
      <c r="I760" s="114"/>
      <c r="J760" s="114"/>
      <c r="K760" s="114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</row>
    <row r="761">
      <c r="A761" s="114"/>
      <c r="B761" s="114"/>
      <c r="C761" s="114"/>
      <c r="D761" s="114"/>
      <c r="E761" s="114"/>
      <c r="F761" s="114"/>
      <c r="G761" s="114"/>
      <c r="H761" s="114"/>
      <c r="I761" s="114"/>
      <c r="J761" s="114"/>
      <c r="K761" s="114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  <c r="X761" s="114"/>
      <c r="Y761" s="114"/>
      <c r="Z761" s="114"/>
    </row>
    <row r="762">
      <c r="A762" s="114"/>
      <c r="B762" s="114"/>
      <c r="C762" s="114"/>
      <c r="D762" s="114"/>
      <c r="E762" s="114"/>
      <c r="F762" s="114"/>
      <c r="G762" s="114"/>
      <c r="H762" s="114"/>
      <c r="I762" s="114"/>
      <c r="J762" s="114"/>
      <c r="K762" s="114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  <c r="X762" s="114"/>
      <c r="Y762" s="114"/>
      <c r="Z762" s="114"/>
    </row>
    <row r="763">
      <c r="A763" s="114"/>
      <c r="B763" s="114"/>
      <c r="C763" s="114"/>
      <c r="D763" s="114"/>
      <c r="E763" s="114"/>
      <c r="F763" s="114"/>
      <c r="G763" s="114"/>
      <c r="H763" s="114"/>
      <c r="I763" s="114"/>
      <c r="J763" s="114"/>
      <c r="K763" s="114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  <c r="X763" s="114"/>
      <c r="Y763" s="114"/>
      <c r="Z763" s="114"/>
    </row>
    <row r="764">
      <c r="A764" s="114"/>
      <c r="B764" s="114"/>
      <c r="C764" s="114"/>
      <c r="D764" s="114"/>
      <c r="E764" s="114"/>
      <c r="F764" s="114"/>
      <c r="G764" s="114"/>
      <c r="H764" s="114"/>
      <c r="I764" s="114"/>
      <c r="J764" s="114"/>
      <c r="K764" s="114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  <c r="X764" s="114"/>
      <c r="Y764" s="114"/>
      <c r="Z764" s="114"/>
    </row>
    <row r="765">
      <c r="A765" s="114"/>
      <c r="B765" s="114"/>
      <c r="C765" s="114"/>
      <c r="D765" s="114"/>
      <c r="E765" s="114"/>
      <c r="F765" s="114"/>
      <c r="G765" s="114"/>
      <c r="H765" s="114"/>
      <c r="I765" s="114"/>
      <c r="J765" s="114"/>
      <c r="K765" s="114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4"/>
      <c r="Y765" s="114"/>
      <c r="Z765" s="114"/>
    </row>
    <row r="766">
      <c r="A766" s="114"/>
      <c r="B766" s="114"/>
      <c r="C766" s="114"/>
      <c r="D766" s="114"/>
      <c r="E766" s="114"/>
      <c r="F766" s="114"/>
      <c r="G766" s="114"/>
      <c r="H766" s="114"/>
      <c r="I766" s="114"/>
      <c r="J766" s="114"/>
      <c r="K766" s="114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  <c r="X766" s="114"/>
      <c r="Y766" s="114"/>
      <c r="Z766" s="114"/>
    </row>
    <row r="767">
      <c r="A767" s="114"/>
      <c r="B767" s="114"/>
      <c r="C767" s="114"/>
      <c r="D767" s="114"/>
      <c r="E767" s="114"/>
      <c r="F767" s="114"/>
      <c r="G767" s="114"/>
      <c r="H767" s="114"/>
      <c r="I767" s="114"/>
      <c r="J767" s="114"/>
      <c r="K767" s="114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  <c r="X767" s="114"/>
      <c r="Y767" s="114"/>
      <c r="Z767" s="114"/>
    </row>
    <row r="768">
      <c r="A768" s="114"/>
      <c r="B768" s="114"/>
      <c r="C768" s="114"/>
      <c r="D768" s="114"/>
      <c r="E768" s="114"/>
      <c r="F768" s="114"/>
      <c r="G768" s="114"/>
      <c r="H768" s="114"/>
      <c r="I768" s="114"/>
      <c r="J768" s="114"/>
      <c r="K768" s="114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4"/>
      <c r="Y768" s="114"/>
      <c r="Z768" s="114"/>
    </row>
    <row r="769">
      <c r="A769" s="114"/>
      <c r="B769" s="114"/>
      <c r="C769" s="114"/>
      <c r="D769" s="114"/>
      <c r="E769" s="114"/>
      <c r="F769" s="114"/>
      <c r="G769" s="114"/>
      <c r="H769" s="114"/>
      <c r="I769" s="114"/>
      <c r="J769" s="114"/>
      <c r="K769" s="114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  <c r="X769" s="114"/>
      <c r="Y769" s="114"/>
      <c r="Z769" s="114"/>
    </row>
    <row r="770">
      <c r="A770" s="114"/>
      <c r="B770" s="114"/>
      <c r="C770" s="114"/>
      <c r="D770" s="114"/>
      <c r="E770" s="114"/>
      <c r="F770" s="114"/>
      <c r="G770" s="114"/>
      <c r="H770" s="114"/>
      <c r="I770" s="114"/>
      <c r="J770" s="114"/>
      <c r="K770" s="114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  <c r="X770" s="114"/>
      <c r="Y770" s="114"/>
      <c r="Z770" s="114"/>
    </row>
    <row r="771">
      <c r="A771" s="114"/>
      <c r="B771" s="114"/>
      <c r="C771" s="114"/>
      <c r="D771" s="114"/>
      <c r="E771" s="114"/>
      <c r="F771" s="114"/>
      <c r="G771" s="114"/>
      <c r="H771" s="114"/>
      <c r="I771" s="114"/>
      <c r="J771" s="114"/>
      <c r="K771" s="114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  <c r="X771" s="114"/>
      <c r="Y771" s="114"/>
      <c r="Z771" s="114"/>
    </row>
    <row r="772">
      <c r="A772" s="114"/>
      <c r="B772" s="114"/>
      <c r="C772" s="114"/>
      <c r="D772" s="114"/>
      <c r="E772" s="114"/>
      <c r="F772" s="114"/>
      <c r="G772" s="114"/>
      <c r="H772" s="114"/>
      <c r="I772" s="114"/>
      <c r="J772" s="114"/>
      <c r="K772" s="114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  <c r="X772" s="114"/>
      <c r="Y772" s="114"/>
      <c r="Z772" s="114"/>
    </row>
    <row r="773">
      <c r="A773" s="114"/>
      <c r="B773" s="114"/>
      <c r="C773" s="114"/>
      <c r="D773" s="114"/>
      <c r="E773" s="114"/>
      <c r="F773" s="114"/>
      <c r="G773" s="114"/>
      <c r="H773" s="114"/>
      <c r="I773" s="114"/>
      <c r="J773" s="114"/>
      <c r="K773" s="114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  <c r="X773" s="114"/>
      <c r="Y773" s="114"/>
      <c r="Z773" s="114"/>
    </row>
    <row r="774">
      <c r="A774" s="114"/>
      <c r="B774" s="114"/>
      <c r="C774" s="114"/>
      <c r="D774" s="114"/>
      <c r="E774" s="114"/>
      <c r="F774" s="114"/>
      <c r="G774" s="114"/>
      <c r="H774" s="114"/>
      <c r="I774" s="114"/>
      <c r="J774" s="114"/>
      <c r="K774" s="114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4"/>
      <c r="Y774" s="114"/>
      <c r="Z774" s="114"/>
    </row>
    <row r="775">
      <c r="A775" s="114"/>
      <c r="B775" s="114"/>
      <c r="C775" s="114"/>
      <c r="D775" s="114"/>
      <c r="E775" s="114"/>
      <c r="F775" s="114"/>
      <c r="G775" s="114"/>
      <c r="H775" s="114"/>
      <c r="I775" s="114"/>
      <c r="J775" s="114"/>
      <c r="K775" s="114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  <c r="X775" s="114"/>
      <c r="Y775" s="114"/>
      <c r="Z775" s="114"/>
    </row>
    <row r="776">
      <c r="A776" s="114"/>
      <c r="B776" s="114"/>
      <c r="C776" s="114"/>
      <c r="D776" s="114"/>
      <c r="E776" s="114"/>
      <c r="F776" s="114"/>
      <c r="G776" s="114"/>
      <c r="H776" s="114"/>
      <c r="I776" s="114"/>
      <c r="J776" s="114"/>
      <c r="K776" s="114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  <c r="X776" s="114"/>
      <c r="Y776" s="114"/>
      <c r="Z776" s="114"/>
    </row>
    <row r="777">
      <c r="A777" s="114"/>
      <c r="B777" s="114"/>
      <c r="C777" s="114"/>
      <c r="D777" s="114"/>
      <c r="E777" s="114"/>
      <c r="F777" s="114"/>
      <c r="G777" s="114"/>
      <c r="H777" s="114"/>
      <c r="I777" s="114"/>
      <c r="J777" s="114"/>
      <c r="K777" s="114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  <c r="X777" s="114"/>
      <c r="Y777" s="114"/>
      <c r="Z777" s="114"/>
    </row>
    <row r="778">
      <c r="A778" s="114"/>
      <c r="B778" s="114"/>
      <c r="C778" s="114"/>
      <c r="D778" s="114"/>
      <c r="E778" s="114"/>
      <c r="F778" s="114"/>
      <c r="G778" s="114"/>
      <c r="H778" s="114"/>
      <c r="I778" s="114"/>
      <c r="J778" s="114"/>
      <c r="K778" s="114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  <c r="X778" s="114"/>
      <c r="Y778" s="114"/>
      <c r="Z778" s="114"/>
    </row>
    <row r="779">
      <c r="A779" s="114"/>
      <c r="B779" s="114"/>
      <c r="C779" s="114"/>
      <c r="D779" s="114"/>
      <c r="E779" s="114"/>
      <c r="F779" s="114"/>
      <c r="G779" s="114"/>
      <c r="H779" s="114"/>
      <c r="I779" s="114"/>
      <c r="J779" s="114"/>
      <c r="K779" s="114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  <c r="X779" s="114"/>
      <c r="Y779" s="114"/>
      <c r="Z779" s="114"/>
    </row>
    <row r="780">
      <c r="A780" s="114"/>
      <c r="B780" s="114"/>
      <c r="C780" s="114"/>
      <c r="D780" s="114"/>
      <c r="E780" s="114"/>
      <c r="F780" s="114"/>
      <c r="G780" s="114"/>
      <c r="H780" s="114"/>
      <c r="I780" s="114"/>
      <c r="J780" s="114"/>
      <c r="K780" s="114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  <c r="X780" s="114"/>
      <c r="Y780" s="114"/>
      <c r="Z780" s="114"/>
    </row>
    <row r="781">
      <c r="A781" s="114"/>
      <c r="B781" s="114"/>
      <c r="C781" s="114"/>
      <c r="D781" s="114"/>
      <c r="E781" s="114"/>
      <c r="F781" s="114"/>
      <c r="G781" s="114"/>
      <c r="H781" s="114"/>
      <c r="I781" s="114"/>
      <c r="J781" s="114"/>
      <c r="K781" s="114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  <c r="X781" s="114"/>
      <c r="Y781" s="114"/>
      <c r="Z781" s="114"/>
    </row>
    <row r="782">
      <c r="A782" s="114"/>
      <c r="B782" s="114"/>
      <c r="C782" s="114"/>
      <c r="D782" s="114"/>
      <c r="E782" s="114"/>
      <c r="F782" s="114"/>
      <c r="G782" s="114"/>
      <c r="H782" s="114"/>
      <c r="I782" s="114"/>
      <c r="J782" s="114"/>
      <c r="K782" s="114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  <c r="X782" s="114"/>
      <c r="Y782" s="114"/>
      <c r="Z782" s="114"/>
    </row>
    <row r="783">
      <c r="A783" s="114"/>
      <c r="B783" s="114"/>
      <c r="C783" s="114"/>
      <c r="D783" s="114"/>
      <c r="E783" s="114"/>
      <c r="F783" s="114"/>
      <c r="G783" s="114"/>
      <c r="H783" s="114"/>
      <c r="I783" s="114"/>
      <c r="J783" s="114"/>
      <c r="K783" s="114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  <c r="X783" s="114"/>
      <c r="Y783" s="114"/>
      <c r="Z783" s="114"/>
    </row>
    <row r="784">
      <c r="A784" s="114"/>
      <c r="B784" s="114"/>
      <c r="C784" s="114"/>
      <c r="D784" s="114"/>
      <c r="E784" s="114"/>
      <c r="F784" s="114"/>
      <c r="G784" s="114"/>
      <c r="H784" s="114"/>
      <c r="I784" s="114"/>
      <c r="J784" s="114"/>
      <c r="K784" s="114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  <c r="X784" s="114"/>
      <c r="Y784" s="114"/>
      <c r="Z784" s="114"/>
    </row>
    <row r="785">
      <c r="A785" s="114"/>
      <c r="B785" s="114"/>
      <c r="C785" s="114"/>
      <c r="D785" s="114"/>
      <c r="E785" s="114"/>
      <c r="F785" s="114"/>
      <c r="G785" s="114"/>
      <c r="H785" s="114"/>
      <c r="I785" s="114"/>
      <c r="J785" s="114"/>
      <c r="K785" s="114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  <c r="X785" s="114"/>
      <c r="Y785" s="114"/>
      <c r="Z785" s="114"/>
    </row>
    <row r="786">
      <c r="A786" s="114"/>
      <c r="B786" s="114"/>
      <c r="C786" s="114"/>
      <c r="D786" s="114"/>
      <c r="E786" s="114"/>
      <c r="F786" s="114"/>
      <c r="G786" s="114"/>
      <c r="H786" s="114"/>
      <c r="I786" s="114"/>
      <c r="J786" s="114"/>
      <c r="K786" s="114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  <c r="X786" s="114"/>
      <c r="Y786" s="114"/>
      <c r="Z786" s="114"/>
    </row>
    <row r="787">
      <c r="A787" s="114"/>
      <c r="B787" s="114"/>
      <c r="C787" s="114"/>
      <c r="D787" s="114"/>
      <c r="E787" s="114"/>
      <c r="F787" s="114"/>
      <c r="G787" s="114"/>
      <c r="H787" s="114"/>
      <c r="I787" s="114"/>
      <c r="J787" s="114"/>
      <c r="K787" s="114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  <c r="X787" s="114"/>
      <c r="Y787" s="114"/>
      <c r="Z787" s="114"/>
    </row>
    <row r="788">
      <c r="A788" s="114"/>
      <c r="B788" s="114"/>
      <c r="C788" s="114"/>
      <c r="D788" s="114"/>
      <c r="E788" s="114"/>
      <c r="F788" s="114"/>
      <c r="G788" s="114"/>
      <c r="H788" s="114"/>
      <c r="I788" s="114"/>
      <c r="J788" s="114"/>
      <c r="K788" s="114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4"/>
      <c r="Y788" s="114"/>
      <c r="Z788" s="114"/>
    </row>
    <row r="789">
      <c r="A789" s="114"/>
      <c r="B789" s="114"/>
      <c r="C789" s="114"/>
      <c r="D789" s="114"/>
      <c r="E789" s="114"/>
      <c r="F789" s="114"/>
      <c r="G789" s="114"/>
      <c r="H789" s="114"/>
      <c r="I789" s="114"/>
      <c r="J789" s="114"/>
      <c r="K789" s="114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4"/>
      <c r="Y789" s="114"/>
      <c r="Z789" s="114"/>
    </row>
    <row r="790">
      <c r="A790" s="114"/>
      <c r="B790" s="114"/>
      <c r="C790" s="114"/>
      <c r="D790" s="114"/>
      <c r="E790" s="114"/>
      <c r="F790" s="114"/>
      <c r="G790" s="114"/>
      <c r="H790" s="114"/>
      <c r="I790" s="114"/>
      <c r="J790" s="114"/>
      <c r="K790" s="114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  <c r="X790" s="114"/>
      <c r="Y790" s="114"/>
      <c r="Z790" s="114"/>
    </row>
    <row r="791">
      <c r="A791" s="114"/>
      <c r="B791" s="114"/>
      <c r="C791" s="114"/>
      <c r="D791" s="114"/>
      <c r="E791" s="114"/>
      <c r="F791" s="114"/>
      <c r="G791" s="114"/>
      <c r="H791" s="114"/>
      <c r="I791" s="114"/>
      <c r="J791" s="114"/>
      <c r="K791" s="114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  <c r="X791" s="114"/>
      <c r="Y791" s="114"/>
      <c r="Z791" s="114"/>
    </row>
    <row r="792">
      <c r="A792" s="114"/>
      <c r="B792" s="114"/>
      <c r="C792" s="114"/>
      <c r="D792" s="114"/>
      <c r="E792" s="114"/>
      <c r="F792" s="114"/>
      <c r="G792" s="114"/>
      <c r="H792" s="114"/>
      <c r="I792" s="114"/>
      <c r="J792" s="114"/>
      <c r="K792" s="114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  <c r="X792" s="114"/>
      <c r="Y792" s="114"/>
      <c r="Z792" s="114"/>
    </row>
    <row r="793">
      <c r="A793" s="114"/>
      <c r="B793" s="114"/>
      <c r="C793" s="114"/>
      <c r="D793" s="114"/>
      <c r="E793" s="114"/>
      <c r="F793" s="114"/>
      <c r="G793" s="114"/>
      <c r="H793" s="114"/>
      <c r="I793" s="114"/>
      <c r="J793" s="114"/>
      <c r="K793" s="114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  <c r="X793" s="114"/>
      <c r="Y793" s="114"/>
      <c r="Z793" s="114"/>
    </row>
    <row r="794">
      <c r="A794" s="114"/>
      <c r="B794" s="114"/>
      <c r="C794" s="114"/>
      <c r="D794" s="114"/>
      <c r="E794" s="114"/>
      <c r="F794" s="114"/>
      <c r="G794" s="114"/>
      <c r="H794" s="114"/>
      <c r="I794" s="114"/>
      <c r="J794" s="114"/>
      <c r="K794" s="114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  <c r="X794" s="114"/>
      <c r="Y794" s="114"/>
      <c r="Z794" s="114"/>
    </row>
    <row r="795">
      <c r="A795" s="114"/>
      <c r="B795" s="114"/>
      <c r="C795" s="114"/>
      <c r="D795" s="114"/>
      <c r="E795" s="114"/>
      <c r="F795" s="114"/>
      <c r="G795" s="114"/>
      <c r="H795" s="114"/>
      <c r="I795" s="114"/>
      <c r="J795" s="114"/>
      <c r="K795" s="114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  <c r="X795" s="114"/>
      <c r="Y795" s="114"/>
      <c r="Z795" s="114"/>
    </row>
    <row r="796">
      <c r="A796" s="114"/>
      <c r="B796" s="114"/>
      <c r="C796" s="114"/>
      <c r="D796" s="114"/>
      <c r="E796" s="114"/>
      <c r="F796" s="114"/>
      <c r="G796" s="114"/>
      <c r="H796" s="114"/>
      <c r="I796" s="114"/>
      <c r="J796" s="114"/>
      <c r="K796" s="114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  <c r="X796" s="114"/>
      <c r="Y796" s="114"/>
      <c r="Z796" s="114"/>
    </row>
    <row r="797">
      <c r="A797" s="114"/>
      <c r="B797" s="114"/>
      <c r="C797" s="114"/>
      <c r="D797" s="114"/>
      <c r="E797" s="114"/>
      <c r="F797" s="114"/>
      <c r="G797" s="114"/>
      <c r="H797" s="114"/>
      <c r="I797" s="114"/>
      <c r="J797" s="114"/>
      <c r="K797" s="114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  <c r="X797" s="114"/>
      <c r="Y797" s="114"/>
      <c r="Z797" s="114"/>
    </row>
    <row r="798">
      <c r="A798" s="114"/>
      <c r="B798" s="114"/>
      <c r="C798" s="114"/>
      <c r="D798" s="114"/>
      <c r="E798" s="114"/>
      <c r="F798" s="114"/>
      <c r="G798" s="114"/>
      <c r="H798" s="114"/>
      <c r="I798" s="114"/>
      <c r="J798" s="114"/>
      <c r="K798" s="114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  <c r="X798" s="114"/>
      <c r="Y798" s="114"/>
      <c r="Z798" s="114"/>
    </row>
    <row r="799">
      <c r="A799" s="114"/>
      <c r="B799" s="114"/>
      <c r="C799" s="114"/>
      <c r="D799" s="114"/>
      <c r="E799" s="114"/>
      <c r="F799" s="114"/>
      <c r="G799" s="114"/>
      <c r="H799" s="114"/>
      <c r="I799" s="114"/>
      <c r="J799" s="114"/>
      <c r="K799" s="114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  <c r="X799" s="114"/>
      <c r="Y799" s="114"/>
      <c r="Z799" s="114"/>
    </row>
    <row r="800">
      <c r="A800" s="114"/>
      <c r="B800" s="114"/>
      <c r="C800" s="114"/>
      <c r="D800" s="114"/>
      <c r="E800" s="114"/>
      <c r="F800" s="114"/>
      <c r="G800" s="114"/>
      <c r="H800" s="114"/>
      <c r="I800" s="114"/>
      <c r="J800" s="114"/>
      <c r="K800" s="114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  <c r="X800" s="114"/>
      <c r="Y800" s="114"/>
      <c r="Z800" s="114"/>
    </row>
    <row r="801">
      <c r="A801" s="114"/>
      <c r="B801" s="114"/>
      <c r="C801" s="114"/>
      <c r="D801" s="114"/>
      <c r="E801" s="114"/>
      <c r="F801" s="114"/>
      <c r="G801" s="114"/>
      <c r="H801" s="114"/>
      <c r="I801" s="114"/>
      <c r="J801" s="114"/>
      <c r="K801" s="114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  <c r="X801" s="114"/>
      <c r="Y801" s="114"/>
      <c r="Z801" s="114"/>
    </row>
    <row r="802">
      <c r="A802" s="114"/>
      <c r="B802" s="114"/>
      <c r="C802" s="114"/>
      <c r="D802" s="114"/>
      <c r="E802" s="114"/>
      <c r="F802" s="114"/>
      <c r="G802" s="114"/>
      <c r="H802" s="114"/>
      <c r="I802" s="114"/>
      <c r="J802" s="114"/>
      <c r="K802" s="114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  <c r="X802" s="114"/>
      <c r="Y802" s="114"/>
      <c r="Z802" s="114"/>
    </row>
    <row r="803">
      <c r="A803" s="114"/>
      <c r="B803" s="114"/>
      <c r="C803" s="114"/>
      <c r="D803" s="114"/>
      <c r="E803" s="114"/>
      <c r="F803" s="114"/>
      <c r="G803" s="114"/>
      <c r="H803" s="114"/>
      <c r="I803" s="114"/>
      <c r="J803" s="114"/>
      <c r="K803" s="114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  <c r="X803" s="114"/>
      <c r="Y803" s="114"/>
      <c r="Z803" s="114"/>
    </row>
    <row r="804">
      <c r="A804" s="114"/>
      <c r="B804" s="114"/>
      <c r="C804" s="114"/>
      <c r="D804" s="114"/>
      <c r="E804" s="114"/>
      <c r="F804" s="114"/>
      <c r="G804" s="114"/>
      <c r="H804" s="114"/>
      <c r="I804" s="114"/>
      <c r="J804" s="114"/>
      <c r="K804" s="114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  <c r="X804" s="114"/>
      <c r="Y804" s="114"/>
      <c r="Z804" s="114"/>
    </row>
    <row r="805">
      <c r="A805" s="114"/>
      <c r="B805" s="114"/>
      <c r="C805" s="114"/>
      <c r="D805" s="114"/>
      <c r="E805" s="114"/>
      <c r="F805" s="114"/>
      <c r="G805" s="114"/>
      <c r="H805" s="114"/>
      <c r="I805" s="114"/>
      <c r="J805" s="114"/>
      <c r="K805" s="114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  <c r="X805" s="114"/>
      <c r="Y805" s="114"/>
      <c r="Z805" s="114"/>
    </row>
    <row r="806">
      <c r="A806" s="114"/>
      <c r="B806" s="114"/>
      <c r="C806" s="114"/>
      <c r="D806" s="114"/>
      <c r="E806" s="114"/>
      <c r="F806" s="114"/>
      <c r="G806" s="114"/>
      <c r="H806" s="114"/>
      <c r="I806" s="114"/>
      <c r="J806" s="114"/>
      <c r="K806" s="114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  <c r="X806" s="114"/>
      <c r="Y806" s="114"/>
      <c r="Z806" s="114"/>
    </row>
    <row r="807">
      <c r="A807" s="114"/>
      <c r="B807" s="114"/>
      <c r="C807" s="114"/>
      <c r="D807" s="114"/>
      <c r="E807" s="114"/>
      <c r="F807" s="114"/>
      <c r="G807" s="114"/>
      <c r="H807" s="114"/>
      <c r="I807" s="114"/>
      <c r="J807" s="114"/>
      <c r="K807" s="114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  <c r="X807" s="114"/>
      <c r="Y807" s="114"/>
      <c r="Z807" s="114"/>
    </row>
    <row r="808">
      <c r="A808" s="114"/>
      <c r="B808" s="114"/>
      <c r="C808" s="114"/>
      <c r="D808" s="114"/>
      <c r="E808" s="114"/>
      <c r="F808" s="114"/>
      <c r="G808" s="114"/>
      <c r="H808" s="114"/>
      <c r="I808" s="114"/>
      <c r="J808" s="114"/>
      <c r="K808" s="114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  <c r="X808" s="114"/>
      <c r="Y808" s="114"/>
      <c r="Z808" s="114"/>
    </row>
    <row r="809">
      <c r="A809" s="114"/>
      <c r="B809" s="114"/>
      <c r="C809" s="114"/>
      <c r="D809" s="114"/>
      <c r="E809" s="114"/>
      <c r="F809" s="114"/>
      <c r="G809" s="114"/>
      <c r="H809" s="114"/>
      <c r="I809" s="114"/>
      <c r="J809" s="114"/>
      <c r="K809" s="114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  <c r="X809" s="114"/>
      <c r="Y809" s="114"/>
      <c r="Z809" s="114"/>
    </row>
    <row r="810">
      <c r="A810" s="114"/>
      <c r="B810" s="114"/>
      <c r="C810" s="114"/>
      <c r="D810" s="114"/>
      <c r="E810" s="114"/>
      <c r="F810" s="114"/>
      <c r="G810" s="114"/>
      <c r="H810" s="114"/>
      <c r="I810" s="114"/>
      <c r="J810" s="114"/>
      <c r="K810" s="114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  <c r="X810" s="114"/>
      <c r="Y810" s="114"/>
      <c r="Z810" s="114"/>
    </row>
    <row r="811">
      <c r="A811" s="114"/>
      <c r="B811" s="114"/>
      <c r="C811" s="114"/>
      <c r="D811" s="114"/>
      <c r="E811" s="114"/>
      <c r="F811" s="114"/>
      <c r="G811" s="114"/>
      <c r="H811" s="114"/>
      <c r="I811" s="114"/>
      <c r="J811" s="114"/>
      <c r="K811" s="114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  <c r="X811" s="114"/>
      <c r="Y811" s="114"/>
      <c r="Z811" s="114"/>
    </row>
    <row r="812">
      <c r="A812" s="114"/>
      <c r="B812" s="114"/>
      <c r="C812" s="114"/>
      <c r="D812" s="114"/>
      <c r="E812" s="114"/>
      <c r="F812" s="114"/>
      <c r="G812" s="114"/>
      <c r="H812" s="114"/>
      <c r="I812" s="114"/>
      <c r="J812" s="114"/>
      <c r="K812" s="114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  <c r="X812" s="114"/>
      <c r="Y812" s="114"/>
      <c r="Z812" s="114"/>
    </row>
    <row r="813">
      <c r="A813" s="114"/>
      <c r="B813" s="114"/>
      <c r="C813" s="114"/>
      <c r="D813" s="114"/>
      <c r="E813" s="114"/>
      <c r="F813" s="114"/>
      <c r="G813" s="114"/>
      <c r="H813" s="114"/>
      <c r="I813" s="114"/>
      <c r="J813" s="114"/>
      <c r="K813" s="114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  <c r="X813" s="114"/>
      <c r="Y813" s="114"/>
      <c r="Z813" s="114"/>
    </row>
    <row r="814">
      <c r="A814" s="114"/>
      <c r="B814" s="114"/>
      <c r="C814" s="114"/>
      <c r="D814" s="114"/>
      <c r="E814" s="114"/>
      <c r="F814" s="114"/>
      <c r="G814" s="114"/>
      <c r="H814" s="114"/>
      <c r="I814" s="114"/>
      <c r="J814" s="114"/>
      <c r="K814" s="114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  <c r="X814" s="114"/>
      <c r="Y814" s="114"/>
      <c r="Z814" s="114"/>
    </row>
    <row r="815">
      <c r="A815" s="114"/>
      <c r="B815" s="114"/>
      <c r="C815" s="114"/>
      <c r="D815" s="114"/>
      <c r="E815" s="114"/>
      <c r="F815" s="114"/>
      <c r="G815" s="114"/>
      <c r="H815" s="114"/>
      <c r="I815" s="114"/>
      <c r="J815" s="114"/>
      <c r="K815" s="114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  <c r="X815" s="114"/>
      <c r="Y815" s="114"/>
      <c r="Z815" s="114"/>
    </row>
    <row r="816">
      <c r="A816" s="114"/>
      <c r="B816" s="114"/>
      <c r="C816" s="114"/>
      <c r="D816" s="114"/>
      <c r="E816" s="114"/>
      <c r="F816" s="114"/>
      <c r="G816" s="114"/>
      <c r="H816" s="114"/>
      <c r="I816" s="114"/>
      <c r="J816" s="114"/>
      <c r="K816" s="114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  <c r="X816" s="114"/>
      <c r="Y816" s="114"/>
      <c r="Z816" s="114"/>
    </row>
    <row r="817">
      <c r="A817" s="114"/>
      <c r="B817" s="114"/>
      <c r="C817" s="114"/>
      <c r="D817" s="114"/>
      <c r="E817" s="114"/>
      <c r="F817" s="114"/>
      <c r="G817" s="114"/>
      <c r="H817" s="114"/>
      <c r="I817" s="114"/>
      <c r="J817" s="114"/>
      <c r="K817" s="114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  <c r="X817" s="114"/>
      <c r="Y817" s="114"/>
      <c r="Z817" s="114"/>
    </row>
    <row r="818">
      <c r="A818" s="114"/>
      <c r="B818" s="114"/>
      <c r="C818" s="114"/>
      <c r="D818" s="114"/>
      <c r="E818" s="114"/>
      <c r="F818" s="114"/>
      <c r="G818" s="114"/>
      <c r="H818" s="114"/>
      <c r="I818" s="114"/>
      <c r="J818" s="114"/>
      <c r="K818" s="114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  <c r="X818" s="114"/>
      <c r="Y818" s="114"/>
      <c r="Z818" s="114"/>
    </row>
    <row r="819">
      <c r="A819" s="114"/>
      <c r="B819" s="114"/>
      <c r="C819" s="114"/>
      <c r="D819" s="114"/>
      <c r="E819" s="114"/>
      <c r="F819" s="114"/>
      <c r="G819" s="114"/>
      <c r="H819" s="114"/>
      <c r="I819" s="114"/>
      <c r="J819" s="114"/>
      <c r="K819" s="114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  <c r="X819" s="114"/>
      <c r="Y819" s="114"/>
      <c r="Z819" s="114"/>
    </row>
    <row r="820">
      <c r="A820" s="114"/>
      <c r="B820" s="114"/>
      <c r="C820" s="114"/>
      <c r="D820" s="114"/>
      <c r="E820" s="114"/>
      <c r="F820" s="114"/>
      <c r="G820" s="114"/>
      <c r="H820" s="114"/>
      <c r="I820" s="114"/>
      <c r="J820" s="114"/>
      <c r="K820" s="114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  <c r="X820" s="114"/>
      <c r="Y820" s="114"/>
      <c r="Z820" s="114"/>
    </row>
    <row r="821">
      <c r="A821" s="114"/>
      <c r="B821" s="114"/>
      <c r="C821" s="114"/>
      <c r="D821" s="114"/>
      <c r="E821" s="114"/>
      <c r="F821" s="114"/>
      <c r="G821" s="114"/>
      <c r="H821" s="114"/>
      <c r="I821" s="114"/>
      <c r="J821" s="114"/>
      <c r="K821" s="114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  <c r="X821" s="114"/>
      <c r="Y821" s="114"/>
      <c r="Z821" s="114"/>
    </row>
    <row r="822">
      <c r="A822" s="114"/>
      <c r="B822" s="114"/>
      <c r="C822" s="114"/>
      <c r="D822" s="114"/>
      <c r="E822" s="114"/>
      <c r="F822" s="114"/>
      <c r="G822" s="114"/>
      <c r="H822" s="114"/>
      <c r="I822" s="114"/>
      <c r="J822" s="114"/>
      <c r="K822" s="114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  <c r="X822" s="114"/>
      <c r="Y822" s="114"/>
      <c r="Z822" s="114"/>
    </row>
    <row r="823">
      <c r="A823" s="114"/>
      <c r="B823" s="114"/>
      <c r="C823" s="114"/>
      <c r="D823" s="114"/>
      <c r="E823" s="114"/>
      <c r="F823" s="114"/>
      <c r="G823" s="114"/>
      <c r="H823" s="114"/>
      <c r="I823" s="114"/>
      <c r="J823" s="114"/>
      <c r="K823" s="114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  <c r="X823" s="114"/>
      <c r="Y823" s="114"/>
      <c r="Z823" s="114"/>
    </row>
    <row r="824">
      <c r="A824" s="114"/>
      <c r="B824" s="114"/>
      <c r="C824" s="114"/>
      <c r="D824" s="114"/>
      <c r="E824" s="114"/>
      <c r="F824" s="114"/>
      <c r="G824" s="114"/>
      <c r="H824" s="114"/>
      <c r="I824" s="114"/>
      <c r="J824" s="114"/>
      <c r="K824" s="114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  <c r="X824" s="114"/>
      <c r="Y824" s="114"/>
      <c r="Z824" s="114"/>
    </row>
    <row r="825">
      <c r="A825" s="114"/>
      <c r="B825" s="114"/>
      <c r="C825" s="114"/>
      <c r="D825" s="114"/>
      <c r="E825" s="114"/>
      <c r="F825" s="114"/>
      <c r="G825" s="114"/>
      <c r="H825" s="114"/>
      <c r="I825" s="114"/>
      <c r="J825" s="114"/>
      <c r="K825" s="114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  <c r="X825" s="114"/>
      <c r="Y825" s="114"/>
      <c r="Z825" s="114"/>
    </row>
    <row r="826">
      <c r="A826" s="114"/>
      <c r="B826" s="114"/>
      <c r="C826" s="114"/>
      <c r="D826" s="114"/>
      <c r="E826" s="114"/>
      <c r="F826" s="114"/>
      <c r="G826" s="114"/>
      <c r="H826" s="114"/>
      <c r="I826" s="114"/>
      <c r="J826" s="114"/>
      <c r="K826" s="114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  <c r="X826" s="114"/>
      <c r="Y826" s="114"/>
      <c r="Z826" s="114"/>
    </row>
    <row r="827">
      <c r="A827" s="114"/>
      <c r="B827" s="114"/>
      <c r="C827" s="114"/>
      <c r="D827" s="114"/>
      <c r="E827" s="114"/>
      <c r="F827" s="114"/>
      <c r="G827" s="114"/>
      <c r="H827" s="114"/>
      <c r="I827" s="114"/>
      <c r="J827" s="114"/>
      <c r="K827" s="114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  <c r="X827" s="114"/>
      <c r="Y827" s="114"/>
      <c r="Z827" s="114"/>
    </row>
    <row r="828">
      <c r="A828" s="114"/>
      <c r="B828" s="114"/>
      <c r="C828" s="114"/>
      <c r="D828" s="114"/>
      <c r="E828" s="114"/>
      <c r="F828" s="114"/>
      <c r="G828" s="114"/>
      <c r="H828" s="114"/>
      <c r="I828" s="114"/>
      <c r="J828" s="114"/>
      <c r="K828" s="114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  <c r="X828" s="114"/>
      <c r="Y828" s="114"/>
      <c r="Z828" s="114"/>
    </row>
    <row r="829">
      <c r="A829" s="114"/>
      <c r="B829" s="114"/>
      <c r="C829" s="114"/>
      <c r="D829" s="114"/>
      <c r="E829" s="114"/>
      <c r="F829" s="114"/>
      <c r="G829" s="114"/>
      <c r="H829" s="114"/>
      <c r="I829" s="114"/>
      <c r="J829" s="114"/>
      <c r="K829" s="114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  <c r="X829" s="114"/>
      <c r="Y829" s="114"/>
      <c r="Z829" s="114"/>
    </row>
    <row r="830">
      <c r="A830" s="114"/>
      <c r="B830" s="114"/>
      <c r="C830" s="114"/>
      <c r="D830" s="114"/>
      <c r="E830" s="114"/>
      <c r="F830" s="114"/>
      <c r="G830" s="114"/>
      <c r="H830" s="114"/>
      <c r="I830" s="114"/>
      <c r="J830" s="114"/>
      <c r="K830" s="114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  <c r="X830" s="114"/>
      <c r="Y830" s="114"/>
      <c r="Z830" s="114"/>
    </row>
    <row r="831">
      <c r="A831" s="114"/>
      <c r="B831" s="114"/>
      <c r="C831" s="114"/>
      <c r="D831" s="114"/>
      <c r="E831" s="114"/>
      <c r="F831" s="114"/>
      <c r="G831" s="114"/>
      <c r="H831" s="114"/>
      <c r="I831" s="114"/>
      <c r="J831" s="114"/>
      <c r="K831" s="114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  <c r="X831" s="114"/>
      <c r="Y831" s="114"/>
      <c r="Z831" s="114"/>
    </row>
    <row r="832">
      <c r="A832" s="114"/>
      <c r="B832" s="114"/>
      <c r="C832" s="114"/>
      <c r="D832" s="114"/>
      <c r="E832" s="114"/>
      <c r="F832" s="114"/>
      <c r="G832" s="114"/>
      <c r="H832" s="114"/>
      <c r="I832" s="114"/>
      <c r="J832" s="114"/>
      <c r="K832" s="114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  <c r="X832" s="114"/>
      <c r="Y832" s="114"/>
      <c r="Z832" s="114"/>
    </row>
    <row r="833">
      <c r="A833" s="114"/>
      <c r="B833" s="114"/>
      <c r="C833" s="114"/>
      <c r="D833" s="114"/>
      <c r="E833" s="114"/>
      <c r="F833" s="114"/>
      <c r="G833" s="114"/>
      <c r="H833" s="114"/>
      <c r="I833" s="114"/>
      <c r="J833" s="114"/>
      <c r="K833" s="114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  <c r="X833" s="114"/>
      <c r="Y833" s="114"/>
      <c r="Z833" s="114"/>
    </row>
    <row r="834">
      <c r="A834" s="114"/>
      <c r="B834" s="114"/>
      <c r="C834" s="114"/>
      <c r="D834" s="114"/>
      <c r="E834" s="114"/>
      <c r="F834" s="114"/>
      <c r="G834" s="114"/>
      <c r="H834" s="114"/>
      <c r="I834" s="114"/>
      <c r="J834" s="114"/>
      <c r="K834" s="114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  <c r="X834" s="114"/>
      <c r="Y834" s="114"/>
      <c r="Z834" s="114"/>
    </row>
    <row r="835">
      <c r="A835" s="114"/>
      <c r="B835" s="114"/>
      <c r="C835" s="114"/>
      <c r="D835" s="114"/>
      <c r="E835" s="114"/>
      <c r="F835" s="114"/>
      <c r="G835" s="114"/>
      <c r="H835" s="114"/>
      <c r="I835" s="114"/>
      <c r="J835" s="114"/>
      <c r="K835" s="114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  <c r="X835" s="114"/>
      <c r="Y835" s="114"/>
      <c r="Z835" s="114"/>
    </row>
    <row r="836">
      <c r="A836" s="114"/>
      <c r="B836" s="114"/>
      <c r="C836" s="114"/>
      <c r="D836" s="114"/>
      <c r="E836" s="114"/>
      <c r="F836" s="114"/>
      <c r="G836" s="114"/>
      <c r="H836" s="114"/>
      <c r="I836" s="114"/>
      <c r="J836" s="114"/>
      <c r="K836" s="114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  <c r="X836" s="114"/>
      <c r="Y836" s="114"/>
      <c r="Z836" s="114"/>
    </row>
    <row r="837">
      <c r="A837" s="114"/>
      <c r="B837" s="114"/>
      <c r="C837" s="114"/>
      <c r="D837" s="114"/>
      <c r="E837" s="114"/>
      <c r="F837" s="114"/>
      <c r="G837" s="114"/>
      <c r="H837" s="114"/>
      <c r="I837" s="114"/>
      <c r="J837" s="114"/>
      <c r="K837" s="114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  <c r="X837" s="114"/>
      <c r="Y837" s="114"/>
      <c r="Z837" s="114"/>
    </row>
    <row r="838">
      <c r="A838" s="114"/>
      <c r="B838" s="114"/>
      <c r="C838" s="114"/>
      <c r="D838" s="114"/>
      <c r="E838" s="114"/>
      <c r="F838" s="114"/>
      <c r="G838" s="114"/>
      <c r="H838" s="114"/>
      <c r="I838" s="114"/>
      <c r="J838" s="114"/>
      <c r="K838" s="114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  <c r="X838" s="114"/>
      <c r="Y838" s="114"/>
      <c r="Z838" s="114"/>
    </row>
    <row r="839">
      <c r="A839" s="114"/>
      <c r="B839" s="114"/>
      <c r="C839" s="114"/>
      <c r="D839" s="114"/>
      <c r="E839" s="114"/>
      <c r="F839" s="114"/>
      <c r="G839" s="114"/>
      <c r="H839" s="114"/>
      <c r="I839" s="114"/>
      <c r="J839" s="114"/>
      <c r="K839" s="114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  <c r="X839" s="114"/>
      <c r="Y839" s="114"/>
      <c r="Z839" s="114"/>
    </row>
    <row r="840">
      <c r="A840" s="114"/>
      <c r="B840" s="114"/>
      <c r="C840" s="114"/>
      <c r="D840" s="114"/>
      <c r="E840" s="114"/>
      <c r="F840" s="114"/>
      <c r="G840" s="114"/>
      <c r="H840" s="114"/>
      <c r="I840" s="114"/>
      <c r="J840" s="114"/>
      <c r="K840" s="114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  <c r="X840" s="114"/>
      <c r="Y840" s="114"/>
      <c r="Z840" s="114"/>
    </row>
    <row r="841">
      <c r="A841" s="114"/>
      <c r="B841" s="114"/>
      <c r="C841" s="114"/>
      <c r="D841" s="114"/>
      <c r="E841" s="114"/>
      <c r="F841" s="114"/>
      <c r="G841" s="114"/>
      <c r="H841" s="114"/>
      <c r="I841" s="114"/>
      <c r="J841" s="114"/>
      <c r="K841" s="114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  <c r="X841" s="114"/>
      <c r="Y841" s="114"/>
      <c r="Z841" s="114"/>
    </row>
    <row r="842">
      <c r="A842" s="114"/>
      <c r="B842" s="114"/>
      <c r="C842" s="114"/>
      <c r="D842" s="114"/>
      <c r="E842" s="114"/>
      <c r="F842" s="114"/>
      <c r="G842" s="114"/>
      <c r="H842" s="114"/>
      <c r="I842" s="114"/>
      <c r="J842" s="114"/>
      <c r="K842" s="114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  <c r="X842" s="114"/>
      <c r="Y842" s="114"/>
      <c r="Z842" s="114"/>
    </row>
    <row r="843">
      <c r="A843" s="114"/>
      <c r="B843" s="114"/>
      <c r="C843" s="114"/>
      <c r="D843" s="114"/>
      <c r="E843" s="114"/>
      <c r="F843" s="114"/>
      <c r="G843" s="114"/>
      <c r="H843" s="114"/>
      <c r="I843" s="114"/>
      <c r="J843" s="114"/>
      <c r="K843" s="114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  <c r="X843" s="114"/>
      <c r="Y843" s="114"/>
      <c r="Z843" s="114"/>
    </row>
    <row r="844">
      <c r="A844" s="114"/>
      <c r="B844" s="114"/>
      <c r="C844" s="114"/>
      <c r="D844" s="114"/>
      <c r="E844" s="114"/>
      <c r="F844" s="114"/>
      <c r="G844" s="114"/>
      <c r="H844" s="114"/>
      <c r="I844" s="114"/>
      <c r="J844" s="114"/>
      <c r="K844" s="114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  <c r="X844" s="114"/>
      <c r="Y844" s="114"/>
      <c r="Z844" s="114"/>
    </row>
    <row r="845">
      <c r="A845" s="114"/>
      <c r="B845" s="114"/>
      <c r="C845" s="114"/>
      <c r="D845" s="114"/>
      <c r="E845" s="114"/>
      <c r="F845" s="114"/>
      <c r="G845" s="114"/>
      <c r="H845" s="114"/>
      <c r="I845" s="114"/>
      <c r="J845" s="114"/>
      <c r="K845" s="114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  <c r="X845" s="114"/>
      <c r="Y845" s="114"/>
      <c r="Z845" s="114"/>
    </row>
    <row r="846">
      <c r="A846" s="114"/>
      <c r="B846" s="114"/>
      <c r="C846" s="114"/>
      <c r="D846" s="114"/>
      <c r="E846" s="114"/>
      <c r="F846" s="114"/>
      <c r="G846" s="114"/>
      <c r="H846" s="114"/>
      <c r="I846" s="114"/>
      <c r="J846" s="114"/>
      <c r="K846" s="114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  <c r="X846" s="114"/>
      <c r="Y846" s="114"/>
      <c r="Z846" s="114"/>
    </row>
    <row r="847">
      <c r="A847" s="114"/>
      <c r="B847" s="114"/>
      <c r="C847" s="114"/>
      <c r="D847" s="114"/>
      <c r="E847" s="114"/>
      <c r="F847" s="114"/>
      <c r="G847" s="114"/>
      <c r="H847" s="114"/>
      <c r="I847" s="114"/>
      <c r="J847" s="114"/>
      <c r="K847" s="114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  <c r="X847" s="114"/>
      <c r="Y847" s="114"/>
      <c r="Z847" s="114"/>
    </row>
    <row r="848">
      <c r="A848" s="114"/>
      <c r="B848" s="114"/>
      <c r="C848" s="114"/>
      <c r="D848" s="114"/>
      <c r="E848" s="114"/>
      <c r="F848" s="114"/>
      <c r="G848" s="114"/>
      <c r="H848" s="114"/>
      <c r="I848" s="114"/>
      <c r="J848" s="114"/>
      <c r="K848" s="114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  <c r="X848" s="114"/>
      <c r="Y848" s="114"/>
      <c r="Z848" s="114"/>
    </row>
    <row r="849">
      <c r="A849" s="114"/>
      <c r="B849" s="114"/>
      <c r="C849" s="114"/>
      <c r="D849" s="114"/>
      <c r="E849" s="114"/>
      <c r="F849" s="114"/>
      <c r="G849" s="114"/>
      <c r="H849" s="114"/>
      <c r="I849" s="114"/>
      <c r="J849" s="114"/>
      <c r="K849" s="114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  <c r="X849" s="114"/>
      <c r="Y849" s="114"/>
      <c r="Z849" s="114"/>
    </row>
    <row r="850">
      <c r="A850" s="114"/>
      <c r="B850" s="114"/>
      <c r="C850" s="114"/>
      <c r="D850" s="114"/>
      <c r="E850" s="114"/>
      <c r="F850" s="114"/>
      <c r="G850" s="114"/>
      <c r="H850" s="114"/>
      <c r="I850" s="114"/>
      <c r="J850" s="114"/>
      <c r="K850" s="114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  <c r="X850" s="114"/>
      <c r="Y850" s="114"/>
      <c r="Z850" s="114"/>
    </row>
    <row r="851">
      <c r="A851" s="114"/>
      <c r="B851" s="114"/>
      <c r="C851" s="114"/>
      <c r="D851" s="114"/>
      <c r="E851" s="114"/>
      <c r="F851" s="114"/>
      <c r="G851" s="114"/>
      <c r="H851" s="114"/>
      <c r="I851" s="114"/>
      <c r="J851" s="114"/>
      <c r="K851" s="114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  <c r="X851" s="114"/>
      <c r="Y851" s="114"/>
      <c r="Z851" s="114"/>
    </row>
    <row r="852">
      <c r="A852" s="114"/>
      <c r="B852" s="114"/>
      <c r="C852" s="114"/>
      <c r="D852" s="114"/>
      <c r="E852" s="114"/>
      <c r="F852" s="114"/>
      <c r="G852" s="114"/>
      <c r="H852" s="114"/>
      <c r="I852" s="114"/>
      <c r="J852" s="114"/>
      <c r="K852" s="114"/>
      <c r="L852" s="114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  <c r="W852" s="114"/>
      <c r="X852" s="114"/>
      <c r="Y852" s="114"/>
      <c r="Z852" s="114"/>
    </row>
    <row r="853">
      <c r="A853" s="114"/>
      <c r="B853" s="114"/>
      <c r="C853" s="114"/>
      <c r="D853" s="114"/>
      <c r="E853" s="114"/>
      <c r="F853" s="114"/>
      <c r="G853" s="114"/>
      <c r="H853" s="114"/>
      <c r="I853" s="114"/>
      <c r="J853" s="114"/>
      <c r="K853" s="114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  <c r="X853" s="114"/>
      <c r="Y853" s="114"/>
      <c r="Z853" s="114"/>
    </row>
    <row r="854">
      <c r="A854" s="114"/>
      <c r="B854" s="114"/>
      <c r="C854" s="114"/>
      <c r="D854" s="114"/>
      <c r="E854" s="114"/>
      <c r="F854" s="114"/>
      <c r="G854" s="114"/>
      <c r="H854" s="114"/>
      <c r="I854" s="114"/>
      <c r="J854" s="114"/>
      <c r="K854" s="114"/>
      <c r="L854" s="114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  <c r="W854" s="114"/>
      <c r="X854" s="114"/>
      <c r="Y854" s="114"/>
      <c r="Z854" s="114"/>
    </row>
    <row r="855">
      <c r="A855" s="114"/>
      <c r="B855" s="114"/>
      <c r="C855" s="114"/>
      <c r="D855" s="114"/>
      <c r="E855" s="114"/>
      <c r="F855" s="114"/>
      <c r="G855" s="114"/>
      <c r="H855" s="114"/>
      <c r="I855" s="114"/>
      <c r="J855" s="114"/>
      <c r="K855" s="114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  <c r="W855" s="114"/>
      <c r="X855" s="114"/>
      <c r="Y855" s="114"/>
      <c r="Z855" s="114"/>
    </row>
    <row r="856">
      <c r="A856" s="114"/>
      <c r="B856" s="114"/>
      <c r="C856" s="114"/>
      <c r="D856" s="114"/>
      <c r="E856" s="114"/>
      <c r="F856" s="114"/>
      <c r="G856" s="114"/>
      <c r="H856" s="114"/>
      <c r="I856" s="114"/>
      <c r="J856" s="114"/>
      <c r="K856" s="114"/>
      <c r="L856" s="114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  <c r="W856" s="114"/>
      <c r="X856" s="114"/>
      <c r="Y856" s="114"/>
      <c r="Z856" s="114"/>
    </row>
    <row r="857">
      <c r="A857" s="114"/>
      <c r="B857" s="114"/>
      <c r="C857" s="114"/>
      <c r="D857" s="114"/>
      <c r="E857" s="114"/>
      <c r="F857" s="114"/>
      <c r="G857" s="114"/>
      <c r="H857" s="114"/>
      <c r="I857" s="114"/>
      <c r="J857" s="114"/>
      <c r="K857" s="114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  <c r="X857" s="114"/>
      <c r="Y857" s="114"/>
      <c r="Z857" s="114"/>
    </row>
    <row r="858">
      <c r="A858" s="114"/>
      <c r="B858" s="114"/>
      <c r="C858" s="114"/>
      <c r="D858" s="114"/>
      <c r="E858" s="114"/>
      <c r="F858" s="114"/>
      <c r="G858" s="114"/>
      <c r="H858" s="114"/>
      <c r="I858" s="114"/>
      <c r="J858" s="114"/>
      <c r="K858" s="114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  <c r="X858" s="114"/>
      <c r="Y858" s="114"/>
      <c r="Z858" s="114"/>
    </row>
    <row r="859">
      <c r="A859" s="114"/>
      <c r="B859" s="114"/>
      <c r="C859" s="114"/>
      <c r="D859" s="114"/>
      <c r="E859" s="114"/>
      <c r="F859" s="114"/>
      <c r="G859" s="114"/>
      <c r="H859" s="114"/>
      <c r="I859" s="114"/>
      <c r="J859" s="114"/>
      <c r="K859" s="114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  <c r="X859" s="114"/>
      <c r="Y859" s="114"/>
      <c r="Z859" s="114"/>
    </row>
    <row r="860">
      <c r="A860" s="114"/>
      <c r="B860" s="114"/>
      <c r="C860" s="114"/>
      <c r="D860" s="114"/>
      <c r="E860" s="114"/>
      <c r="F860" s="114"/>
      <c r="G860" s="114"/>
      <c r="H860" s="114"/>
      <c r="I860" s="114"/>
      <c r="J860" s="114"/>
      <c r="K860" s="114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  <c r="X860" s="114"/>
      <c r="Y860" s="114"/>
      <c r="Z860" s="114"/>
    </row>
    <row r="861">
      <c r="A861" s="114"/>
      <c r="B861" s="114"/>
      <c r="C861" s="114"/>
      <c r="D861" s="114"/>
      <c r="E861" s="114"/>
      <c r="F861" s="114"/>
      <c r="G861" s="114"/>
      <c r="H861" s="114"/>
      <c r="I861" s="114"/>
      <c r="J861" s="114"/>
      <c r="K861" s="114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  <c r="X861" s="114"/>
      <c r="Y861" s="114"/>
      <c r="Z861" s="114"/>
    </row>
    <row r="862">
      <c r="A862" s="114"/>
      <c r="B862" s="114"/>
      <c r="C862" s="114"/>
      <c r="D862" s="114"/>
      <c r="E862" s="114"/>
      <c r="F862" s="114"/>
      <c r="G862" s="114"/>
      <c r="H862" s="114"/>
      <c r="I862" s="114"/>
      <c r="J862" s="114"/>
      <c r="K862" s="114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  <c r="X862" s="114"/>
      <c r="Y862" s="114"/>
      <c r="Z862" s="114"/>
    </row>
    <row r="863">
      <c r="A863" s="114"/>
      <c r="B863" s="114"/>
      <c r="C863" s="114"/>
      <c r="D863" s="114"/>
      <c r="E863" s="114"/>
      <c r="F863" s="114"/>
      <c r="G863" s="114"/>
      <c r="H863" s="114"/>
      <c r="I863" s="114"/>
      <c r="J863" s="114"/>
      <c r="K863" s="114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  <c r="X863" s="114"/>
      <c r="Y863" s="114"/>
      <c r="Z863" s="114"/>
    </row>
    <row r="864">
      <c r="A864" s="114"/>
      <c r="B864" s="114"/>
      <c r="C864" s="114"/>
      <c r="D864" s="114"/>
      <c r="E864" s="114"/>
      <c r="F864" s="114"/>
      <c r="G864" s="114"/>
      <c r="H864" s="114"/>
      <c r="I864" s="114"/>
      <c r="J864" s="114"/>
      <c r="K864" s="114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  <c r="W864" s="114"/>
      <c r="X864" s="114"/>
      <c r="Y864" s="114"/>
      <c r="Z864" s="114"/>
    </row>
    <row r="865">
      <c r="A865" s="114"/>
      <c r="B865" s="114"/>
      <c r="C865" s="114"/>
      <c r="D865" s="114"/>
      <c r="E865" s="114"/>
      <c r="F865" s="114"/>
      <c r="G865" s="114"/>
      <c r="H865" s="114"/>
      <c r="I865" s="114"/>
      <c r="J865" s="114"/>
      <c r="K865" s="114"/>
      <c r="L865" s="114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  <c r="W865" s="114"/>
      <c r="X865" s="114"/>
      <c r="Y865" s="114"/>
      <c r="Z865" s="114"/>
    </row>
    <row r="866">
      <c r="A866" s="114"/>
      <c r="B866" s="114"/>
      <c r="C866" s="114"/>
      <c r="D866" s="114"/>
      <c r="E866" s="114"/>
      <c r="F866" s="114"/>
      <c r="G866" s="114"/>
      <c r="H866" s="114"/>
      <c r="I866" s="114"/>
      <c r="J866" s="114"/>
      <c r="K866" s="114"/>
      <c r="L866" s="114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  <c r="W866" s="114"/>
      <c r="X866" s="114"/>
      <c r="Y866" s="114"/>
      <c r="Z866" s="114"/>
    </row>
    <row r="867">
      <c r="A867" s="114"/>
      <c r="B867" s="114"/>
      <c r="C867" s="114"/>
      <c r="D867" s="114"/>
      <c r="E867" s="114"/>
      <c r="F867" s="114"/>
      <c r="G867" s="114"/>
      <c r="H867" s="114"/>
      <c r="I867" s="114"/>
      <c r="J867" s="114"/>
      <c r="K867" s="114"/>
      <c r="L867" s="114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  <c r="W867" s="114"/>
      <c r="X867" s="114"/>
      <c r="Y867" s="114"/>
      <c r="Z867" s="114"/>
    </row>
    <row r="868">
      <c r="A868" s="114"/>
      <c r="B868" s="114"/>
      <c r="C868" s="114"/>
      <c r="D868" s="114"/>
      <c r="E868" s="114"/>
      <c r="F868" s="114"/>
      <c r="G868" s="114"/>
      <c r="H868" s="114"/>
      <c r="I868" s="114"/>
      <c r="J868" s="114"/>
      <c r="K868" s="114"/>
      <c r="L868" s="114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  <c r="W868" s="114"/>
      <c r="X868" s="114"/>
      <c r="Y868" s="114"/>
      <c r="Z868" s="114"/>
    </row>
    <row r="869">
      <c r="A869" s="114"/>
      <c r="B869" s="114"/>
      <c r="C869" s="114"/>
      <c r="D869" s="114"/>
      <c r="E869" s="114"/>
      <c r="F869" s="114"/>
      <c r="G869" s="114"/>
      <c r="H869" s="114"/>
      <c r="I869" s="114"/>
      <c r="J869" s="114"/>
      <c r="K869" s="114"/>
      <c r="L869" s="114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  <c r="W869" s="114"/>
      <c r="X869" s="114"/>
      <c r="Y869" s="114"/>
      <c r="Z869" s="114"/>
    </row>
    <row r="870">
      <c r="A870" s="114"/>
      <c r="B870" s="114"/>
      <c r="C870" s="114"/>
      <c r="D870" s="114"/>
      <c r="E870" s="114"/>
      <c r="F870" s="114"/>
      <c r="G870" s="114"/>
      <c r="H870" s="114"/>
      <c r="I870" s="114"/>
      <c r="J870" s="114"/>
      <c r="K870" s="114"/>
      <c r="L870" s="114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  <c r="W870" s="114"/>
      <c r="X870" s="114"/>
      <c r="Y870" s="114"/>
      <c r="Z870" s="114"/>
    </row>
    <row r="871">
      <c r="A871" s="114"/>
      <c r="B871" s="114"/>
      <c r="C871" s="114"/>
      <c r="D871" s="114"/>
      <c r="E871" s="114"/>
      <c r="F871" s="114"/>
      <c r="G871" s="114"/>
      <c r="H871" s="114"/>
      <c r="I871" s="114"/>
      <c r="J871" s="114"/>
      <c r="K871" s="114"/>
      <c r="L871" s="114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  <c r="W871" s="114"/>
      <c r="X871" s="114"/>
      <c r="Y871" s="114"/>
      <c r="Z871" s="114"/>
    </row>
    <row r="872">
      <c r="A872" s="114"/>
      <c r="B872" s="114"/>
      <c r="C872" s="114"/>
      <c r="D872" s="114"/>
      <c r="E872" s="114"/>
      <c r="F872" s="114"/>
      <c r="G872" s="114"/>
      <c r="H872" s="114"/>
      <c r="I872" s="114"/>
      <c r="J872" s="114"/>
      <c r="K872" s="114"/>
      <c r="L872" s="114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  <c r="W872" s="114"/>
      <c r="X872" s="114"/>
      <c r="Y872" s="114"/>
      <c r="Z872" s="114"/>
    </row>
    <row r="873">
      <c r="A873" s="114"/>
      <c r="B873" s="114"/>
      <c r="C873" s="114"/>
      <c r="D873" s="114"/>
      <c r="E873" s="114"/>
      <c r="F873" s="114"/>
      <c r="G873" s="114"/>
      <c r="H873" s="114"/>
      <c r="I873" s="114"/>
      <c r="J873" s="114"/>
      <c r="K873" s="114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  <c r="W873" s="114"/>
      <c r="X873" s="114"/>
      <c r="Y873" s="114"/>
      <c r="Z873" s="114"/>
    </row>
    <row r="874">
      <c r="A874" s="114"/>
      <c r="B874" s="114"/>
      <c r="C874" s="114"/>
      <c r="D874" s="114"/>
      <c r="E874" s="114"/>
      <c r="F874" s="114"/>
      <c r="G874" s="114"/>
      <c r="H874" s="114"/>
      <c r="I874" s="114"/>
      <c r="J874" s="114"/>
      <c r="K874" s="114"/>
      <c r="L874" s="114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  <c r="W874" s="114"/>
      <c r="X874" s="114"/>
      <c r="Y874" s="114"/>
      <c r="Z874" s="114"/>
    </row>
    <row r="875">
      <c r="A875" s="114"/>
      <c r="B875" s="114"/>
      <c r="C875" s="114"/>
      <c r="D875" s="114"/>
      <c r="E875" s="114"/>
      <c r="F875" s="114"/>
      <c r="G875" s="114"/>
      <c r="H875" s="114"/>
      <c r="I875" s="114"/>
      <c r="J875" s="114"/>
      <c r="K875" s="114"/>
      <c r="L875" s="114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  <c r="W875" s="114"/>
      <c r="X875" s="114"/>
      <c r="Y875" s="114"/>
      <c r="Z875" s="114"/>
    </row>
    <row r="876">
      <c r="A876" s="114"/>
      <c r="B876" s="114"/>
      <c r="C876" s="114"/>
      <c r="D876" s="114"/>
      <c r="E876" s="114"/>
      <c r="F876" s="114"/>
      <c r="G876" s="114"/>
      <c r="H876" s="114"/>
      <c r="I876" s="114"/>
      <c r="J876" s="114"/>
      <c r="K876" s="114"/>
      <c r="L876" s="114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  <c r="W876" s="114"/>
      <c r="X876" s="114"/>
      <c r="Y876" s="114"/>
      <c r="Z876" s="114"/>
    </row>
    <row r="877">
      <c r="A877" s="114"/>
      <c r="B877" s="114"/>
      <c r="C877" s="114"/>
      <c r="D877" s="114"/>
      <c r="E877" s="114"/>
      <c r="F877" s="114"/>
      <c r="G877" s="114"/>
      <c r="H877" s="114"/>
      <c r="I877" s="114"/>
      <c r="J877" s="114"/>
      <c r="K877" s="114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  <c r="X877" s="114"/>
      <c r="Y877" s="114"/>
      <c r="Z877" s="114"/>
    </row>
    <row r="878">
      <c r="A878" s="114"/>
      <c r="B878" s="114"/>
      <c r="C878" s="114"/>
      <c r="D878" s="114"/>
      <c r="E878" s="114"/>
      <c r="F878" s="114"/>
      <c r="G878" s="114"/>
      <c r="H878" s="114"/>
      <c r="I878" s="114"/>
      <c r="J878" s="114"/>
      <c r="K878" s="114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  <c r="X878" s="114"/>
      <c r="Y878" s="114"/>
      <c r="Z878" s="114"/>
    </row>
    <row r="879">
      <c r="A879" s="114"/>
      <c r="B879" s="114"/>
      <c r="C879" s="114"/>
      <c r="D879" s="114"/>
      <c r="E879" s="114"/>
      <c r="F879" s="114"/>
      <c r="G879" s="114"/>
      <c r="H879" s="114"/>
      <c r="I879" s="114"/>
      <c r="J879" s="114"/>
      <c r="K879" s="114"/>
      <c r="L879" s="114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  <c r="W879" s="114"/>
      <c r="X879" s="114"/>
      <c r="Y879" s="114"/>
      <c r="Z879" s="114"/>
    </row>
    <row r="880">
      <c r="A880" s="114"/>
      <c r="B880" s="114"/>
      <c r="C880" s="114"/>
      <c r="D880" s="114"/>
      <c r="E880" s="114"/>
      <c r="F880" s="114"/>
      <c r="G880" s="114"/>
      <c r="H880" s="114"/>
      <c r="I880" s="114"/>
      <c r="J880" s="114"/>
      <c r="K880" s="114"/>
      <c r="L880" s="114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  <c r="W880" s="114"/>
      <c r="X880" s="114"/>
      <c r="Y880" s="114"/>
      <c r="Z880" s="114"/>
    </row>
    <row r="881">
      <c r="A881" s="114"/>
      <c r="B881" s="114"/>
      <c r="C881" s="114"/>
      <c r="D881" s="114"/>
      <c r="E881" s="114"/>
      <c r="F881" s="114"/>
      <c r="G881" s="114"/>
      <c r="H881" s="114"/>
      <c r="I881" s="114"/>
      <c r="J881" s="114"/>
      <c r="K881" s="114"/>
      <c r="L881" s="114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  <c r="W881" s="114"/>
      <c r="X881" s="114"/>
      <c r="Y881" s="114"/>
      <c r="Z881" s="114"/>
    </row>
    <row r="882">
      <c r="A882" s="114"/>
      <c r="B882" s="114"/>
      <c r="C882" s="114"/>
      <c r="D882" s="114"/>
      <c r="E882" s="114"/>
      <c r="F882" s="114"/>
      <c r="G882" s="114"/>
      <c r="H882" s="114"/>
      <c r="I882" s="114"/>
      <c r="J882" s="114"/>
      <c r="K882" s="114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  <c r="W882" s="114"/>
      <c r="X882" s="114"/>
      <c r="Y882" s="114"/>
      <c r="Z882" s="114"/>
    </row>
    <row r="883">
      <c r="A883" s="114"/>
      <c r="B883" s="114"/>
      <c r="C883" s="114"/>
      <c r="D883" s="114"/>
      <c r="E883" s="114"/>
      <c r="F883" s="114"/>
      <c r="G883" s="114"/>
      <c r="H883" s="114"/>
      <c r="I883" s="114"/>
      <c r="J883" s="114"/>
      <c r="K883" s="114"/>
      <c r="L883" s="114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  <c r="W883" s="114"/>
      <c r="X883" s="114"/>
      <c r="Y883" s="114"/>
      <c r="Z883" s="114"/>
    </row>
    <row r="884">
      <c r="A884" s="114"/>
      <c r="B884" s="114"/>
      <c r="C884" s="114"/>
      <c r="D884" s="114"/>
      <c r="E884" s="114"/>
      <c r="F884" s="114"/>
      <c r="G884" s="114"/>
      <c r="H884" s="114"/>
      <c r="I884" s="114"/>
      <c r="J884" s="114"/>
      <c r="K884" s="114"/>
      <c r="L884" s="114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  <c r="W884" s="114"/>
      <c r="X884" s="114"/>
      <c r="Y884" s="114"/>
      <c r="Z884" s="114"/>
    </row>
    <row r="885">
      <c r="A885" s="114"/>
      <c r="B885" s="114"/>
      <c r="C885" s="114"/>
      <c r="D885" s="114"/>
      <c r="E885" s="114"/>
      <c r="F885" s="114"/>
      <c r="G885" s="114"/>
      <c r="H885" s="114"/>
      <c r="I885" s="114"/>
      <c r="J885" s="114"/>
      <c r="K885" s="114"/>
      <c r="L885" s="114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  <c r="W885" s="114"/>
      <c r="X885" s="114"/>
      <c r="Y885" s="114"/>
      <c r="Z885" s="114"/>
    </row>
    <row r="886">
      <c r="A886" s="114"/>
      <c r="B886" s="114"/>
      <c r="C886" s="114"/>
      <c r="D886" s="114"/>
      <c r="E886" s="114"/>
      <c r="F886" s="114"/>
      <c r="G886" s="114"/>
      <c r="H886" s="114"/>
      <c r="I886" s="114"/>
      <c r="J886" s="114"/>
      <c r="K886" s="114"/>
      <c r="L886" s="114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  <c r="W886" s="114"/>
      <c r="X886" s="114"/>
      <c r="Y886" s="114"/>
      <c r="Z886" s="114"/>
    </row>
    <row r="887">
      <c r="A887" s="114"/>
      <c r="B887" s="114"/>
      <c r="C887" s="114"/>
      <c r="D887" s="114"/>
      <c r="E887" s="114"/>
      <c r="F887" s="114"/>
      <c r="G887" s="114"/>
      <c r="H887" s="114"/>
      <c r="I887" s="114"/>
      <c r="J887" s="114"/>
      <c r="K887" s="114"/>
      <c r="L887" s="114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  <c r="W887" s="114"/>
      <c r="X887" s="114"/>
      <c r="Y887" s="114"/>
      <c r="Z887" s="114"/>
    </row>
    <row r="888">
      <c r="A888" s="114"/>
      <c r="B888" s="114"/>
      <c r="C888" s="114"/>
      <c r="D888" s="114"/>
      <c r="E888" s="114"/>
      <c r="F888" s="114"/>
      <c r="G888" s="114"/>
      <c r="H888" s="114"/>
      <c r="I888" s="114"/>
      <c r="J888" s="114"/>
      <c r="K888" s="114"/>
      <c r="L888" s="114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  <c r="W888" s="114"/>
      <c r="X888" s="114"/>
      <c r="Y888" s="114"/>
      <c r="Z888" s="114"/>
    </row>
    <row r="889">
      <c r="A889" s="114"/>
      <c r="B889" s="114"/>
      <c r="C889" s="114"/>
      <c r="D889" s="114"/>
      <c r="E889" s="114"/>
      <c r="F889" s="114"/>
      <c r="G889" s="114"/>
      <c r="H889" s="114"/>
      <c r="I889" s="114"/>
      <c r="J889" s="114"/>
      <c r="K889" s="114"/>
      <c r="L889" s="114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  <c r="W889" s="114"/>
      <c r="X889" s="114"/>
      <c r="Y889" s="114"/>
      <c r="Z889" s="114"/>
    </row>
    <row r="890">
      <c r="A890" s="114"/>
      <c r="B890" s="114"/>
      <c r="C890" s="114"/>
      <c r="D890" s="114"/>
      <c r="E890" s="114"/>
      <c r="F890" s="114"/>
      <c r="G890" s="114"/>
      <c r="H890" s="114"/>
      <c r="I890" s="114"/>
      <c r="J890" s="114"/>
      <c r="K890" s="114"/>
      <c r="L890" s="114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  <c r="W890" s="114"/>
      <c r="X890" s="114"/>
      <c r="Y890" s="114"/>
      <c r="Z890" s="114"/>
    </row>
    <row r="891">
      <c r="A891" s="114"/>
      <c r="B891" s="114"/>
      <c r="C891" s="114"/>
      <c r="D891" s="114"/>
      <c r="E891" s="114"/>
      <c r="F891" s="114"/>
      <c r="G891" s="114"/>
      <c r="H891" s="114"/>
      <c r="I891" s="114"/>
      <c r="J891" s="114"/>
      <c r="K891" s="114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  <c r="W891" s="114"/>
      <c r="X891" s="114"/>
      <c r="Y891" s="114"/>
      <c r="Z891" s="114"/>
    </row>
    <row r="892">
      <c r="A892" s="114"/>
      <c r="B892" s="114"/>
      <c r="C892" s="114"/>
      <c r="D892" s="114"/>
      <c r="E892" s="114"/>
      <c r="F892" s="114"/>
      <c r="G892" s="114"/>
      <c r="H892" s="114"/>
      <c r="I892" s="114"/>
      <c r="J892" s="114"/>
      <c r="K892" s="114"/>
      <c r="L892" s="114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  <c r="W892" s="114"/>
      <c r="X892" s="114"/>
      <c r="Y892" s="114"/>
      <c r="Z892" s="114"/>
    </row>
    <row r="893">
      <c r="A893" s="114"/>
      <c r="B893" s="114"/>
      <c r="C893" s="114"/>
      <c r="D893" s="114"/>
      <c r="E893" s="114"/>
      <c r="F893" s="114"/>
      <c r="G893" s="114"/>
      <c r="H893" s="114"/>
      <c r="I893" s="114"/>
      <c r="J893" s="114"/>
      <c r="K893" s="114"/>
      <c r="L893" s="114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  <c r="W893" s="114"/>
      <c r="X893" s="114"/>
      <c r="Y893" s="114"/>
      <c r="Z893" s="114"/>
    </row>
    <row r="894">
      <c r="A894" s="114"/>
      <c r="B894" s="114"/>
      <c r="C894" s="114"/>
      <c r="D894" s="114"/>
      <c r="E894" s="114"/>
      <c r="F894" s="114"/>
      <c r="G894" s="114"/>
      <c r="H894" s="114"/>
      <c r="I894" s="114"/>
      <c r="J894" s="114"/>
      <c r="K894" s="114"/>
      <c r="L894" s="114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  <c r="W894" s="114"/>
      <c r="X894" s="114"/>
      <c r="Y894" s="114"/>
      <c r="Z894" s="114"/>
    </row>
    <row r="895">
      <c r="A895" s="114"/>
      <c r="B895" s="114"/>
      <c r="C895" s="114"/>
      <c r="D895" s="114"/>
      <c r="E895" s="114"/>
      <c r="F895" s="114"/>
      <c r="G895" s="114"/>
      <c r="H895" s="114"/>
      <c r="I895" s="114"/>
      <c r="J895" s="114"/>
      <c r="K895" s="114"/>
      <c r="L895" s="114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  <c r="W895" s="114"/>
      <c r="X895" s="114"/>
      <c r="Y895" s="114"/>
      <c r="Z895" s="114"/>
    </row>
    <row r="896">
      <c r="A896" s="114"/>
      <c r="B896" s="114"/>
      <c r="C896" s="114"/>
      <c r="D896" s="114"/>
      <c r="E896" s="114"/>
      <c r="F896" s="114"/>
      <c r="G896" s="114"/>
      <c r="H896" s="114"/>
      <c r="I896" s="114"/>
      <c r="J896" s="114"/>
      <c r="K896" s="114"/>
      <c r="L896" s="114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  <c r="W896" s="114"/>
      <c r="X896" s="114"/>
      <c r="Y896" s="114"/>
      <c r="Z896" s="114"/>
    </row>
    <row r="897">
      <c r="A897" s="114"/>
      <c r="B897" s="114"/>
      <c r="C897" s="114"/>
      <c r="D897" s="114"/>
      <c r="E897" s="114"/>
      <c r="F897" s="114"/>
      <c r="G897" s="114"/>
      <c r="H897" s="114"/>
      <c r="I897" s="114"/>
      <c r="J897" s="114"/>
      <c r="K897" s="114"/>
      <c r="L897" s="114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  <c r="W897" s="114"/>
      <c r="X897" s="114"/>
      <c r="Y897" s="114"/>
      <c r="Z897" s="114"/>
    </row>
    <row r="898">
      <c r="A898" s="114"/>
      <c r="B898" s="114"/>
      <c r="C898" s="114"/>
      <c r="D898" s="114"/>
      <c r="E898" s="114"/>
      <c r="F898" s="114"/>
      <c r="G898" s="114"/>
      <c r="H898" s="114"/>
      <c r="I898" s="114"/>
      <c r="J898" s="114"/>
      <c r="K898" s="114"/>
      <c r="L898" s="114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  <c r="W898" s="114"/>
      <c r="X898" s="114"/>
      <c r="Y898" s="114"/>
      <c r="Z898" s="114"/>
    </row>
    <row r="899">
      <c r="A899" s="114"/>
      <c r="B899" s="114"/>
      <c r="C899" s="114"/>
      <c r="D899" s="114"/>
      <c r="E899" s="114"/>
      <c r="F899" s="114"/>
      <c r="G899" s="114"/>
      <c r="H899" s="114"/>
      <c r="I899" s="114"/>
      <c r="J899" s="114"/>
      <c r="K899" s="114"/>
      <c r="L899" s="114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  <c r="W899" s="114"/>
      <c r="X899" s="114"/>
      <c r="Y899" s="114"/>
      <c r="Z899" s="114"/>
    </row>
    <row r="900">
      <c r="A900" s="114"/>
      <c r="B900" s="114"/>
      <c r="C900" s="114"/>
      <c r="D900" s="114"/>
      <c r="E900" s="114"/>
      <c r="F900" s="114"/>
      <c r="G900" s="114"/>
      <c r="H900" s="114"/>
      <c r="I900" s="114"/>
      <c r="J900" s="114"/>
      <c r="K900" s="114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  <c r="W900" s="114"/>
      <c r="X900" s="114"/>
      <c r="Y900" s="114"/>
      <c r="Z900" s="114"/>
    </row>
    <row r="901">
      <c r="A901" s="114"/>
      <c r="B901" s="114"/>
      <c r="C901" s="114"/>
      <c r="D901" s="114"/>
      <c r="E901" s="114"/>
      <c r="F901" s="114"/>
      <c r="G901" s="114"/>
      <c r="H901" s="114"/>
      <c r="I901" s="114"/>
      <c r="J901" s="114"/>
      <c r="K901" s="114"/>
      <c r="L901" s="114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  <c r="W901" s="114"/>
      <c r="X901" s="114"/>
      <c r="Y901" s="114"/>
      <c r="Z901" s="114"/>
    </row>
    <row r="902">
      <c r="A902" s="114"/>
      <c r="B902" s="114"/>
      <c r="C902" s="114"/>
      <c r="D902" s="114"/>
      <c r="E902" s="114"/>
      <c r="F902" s="114"/>
      <c r="G902" s="114"/>
      <c r="H902" s="114"/>
      <c r="I902" s="114"/>
      <c r="J902" s="114"/>
      <c r="K902" s="114"/>
      <c r="L902" s="114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  <c r="W902" s="114"/>
      <c r="X902" s="114"/>
      <c r="Y902" s="114"/>
      <c r="Z902" s="114"/>
    </row>
    <row r="903">
      <c r="A903" s="114"/>
      <c r="B903" s="114"/>
      <c r="C903" s="114"/>
      <c r="D903" s="114"/>
      <c r="E903" s="114"/>
      <c r="F903" s="114"/>
      <c r="G903" s="114"/>
      <c r="H903" s="114"/>
      <c r="I903" s="114"/>
      <c r="J903" s="114"/>
      <c r="K903" s="114"/>
      <c r="L903" s="114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  <c r="W903" s="114"/>
      <c r="X903" s="114"/>
      <c r="Y903" s="114"/>
      <c r="Z903" s="114"/>
    </row>
    <row r="904">
      <c r="A904" s="114"/>
      <c r="B904" s="114"/>
      <c r="C904" s="114"/>
      <c r="D904" s="114"/>
      <c r="E904" s="114"/>
      <c r="F904" s="114"/>
      <c r="G904" s="114"/>
      <c r="H904" s="114"/>
      <c r="I904" s="114"/>
      <c r="J904" s="114"/>
      <c r="K904" s="114"/>
      <c r="L904" s="114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  <c r="W904" s="114"/>
      <c r="X904" s="114"/>
      <c r="Y904" s="114"/>
      <c r="Z904" s="114"/>
    </row>
    <row r="905">
      <c r="A905" s="114"/>
      <c r="B905" s="114"/>
      <c r="C905" s="114"/>
      <c r="D905" s="114"/>
      <c r="E905" s="114"/>
      <c r="F905" s="114"/>
      <c r="G905" s="114"/>
      <c r="H905" s="114"/>
      <c r="I905" s="114"/>
      <c r="J905" s="114"/>
      <c r="K905" s="114"/>
      <c r="L905" s="114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  <c r="W905" s="114"/>
      <c r="X905" s="114"/>
      <c r="Y905" s="114"/>
      <c r="Z905" s="114"/>
    </row>
    <row r="906">
      <c r="A906" s="114"/>
      <c r="B906" s="114"/>
      <c r="C906" s="114"/>
      <c r="D906" s="114"/>
      <c r="E906" s="114"/>
      <c r="F906" s="114"/>
      <c r="G906" s="114"/>
      <c r="H906" s="114"/>
      <c r="I906" s="114"/>
      <c r="J906" s="114"/>
      <c r="K906" s="114"/>
      <c r="L906" s="114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  <c r="W906" s="114"/>
      <c r="X906" s="114"/>
      <c r="Y906" s="114"/>
      <c r="Z906" s="114"/>
    </row>
    <row r="907">
      <c r="A907" s="114"/>
      <c r="B907" s="114"/>
      <c r="C907" s="114"/>
      <c r="D907" s="114"/>
      <c r="E907" s="114"/>
      <c r="F907" s="114"/>
      <c r="G907" s="114"/>
      <c r="H907" s="114"/>
      <c r="I907" s="114"/>
      <c r="J907" s="114"/>
      <c r="K907" s="114"/>
      <c r="L907" s="114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  <c r="W907" s="114"/>
      <c r="X907" s="114"/>
      <c r="Y907" s="114"/>
      <c r="Z907" s="114"/>
    </row>
    <row r="908">
      <c r="A908" s="114"/>
      <c r="B908" s="114"/>
      <c r="C908" s="114"/>
      <c r="D908" s="114"/>
      <c r="E908" s="114"/>
      <c r="F908" s="114"/>
      <c r="G908" s="114"/>
      <c r="H908" s="114"/>
      <c r="I908" s="114"/>
      <c r="J908" s="114"/>
      <c r="K908" s="114"/>
      <c r="L908" s="114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  <c r="W908" s="114"/>
      <c r="X908" s="114"/>
      <c r="Y908" s="114"/>
      <c r="Z908" s="114"/>
    </row>
    <row r="909">
      <c r="A909" s="114"/>
      <c r="B909" s="114"/>
      <c r="C909" s="114"/>
      <c r="D909" s="114"/>
      <c r="E909" s="114"/>
      <c r="F909" s="114"/>
      <c r="G909" s="114"/>
      <c r="H909" s="114"/>
      <c r="I909" s="114"/>
      <c r="J909" s="114"/>
      <c r="K909" s="114"/>
      <c r="L909" s="114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  <c r="W909" s="114"/>
      <c r="X909" s="114"/>
      <c r="Y909" s="114"/>
      <c r="Z909" s="114"/>
    </row>
    <row r="910">
      <c r="A910" s="114"/>
      <c r="B910" s="114"/>
      <c r="C910" s="114"/>
      <c r="D910" s="114"/>
      <c r="E910" s="114"/>
      <c r="F910" s="114"/>
      <c r="G910" s="114"/>
      <c r="H910" s="114"/>
      <c r="I910" s="114"/>
      <c r="J910" s="114"/>
      <c r="K910" s="114"/>
      <c r="L910" s="114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  <c r="W910" s="114"/>
      <c r="X910" s="114"/>
      <c r="Y910" s="114"/>
      <c r="Z910" s="114"/>
    </row>
    <row r="911">
      <c r="A911" s="114"/>
      <c r="B911" s="114"/>
      <c r="C911" s="114"/>
      <c r="D911" s="114"/>
      <c r="E911" s="114"/>
      <c r="F911" s="114"/>
      <c r="G911" s="114"/>
      <c r="H911" s="114"/>
      <c r="I911" s="114"/>
      <c r="J911" s="114"/>
      <c r="K911" s="114"/>
      <c r="L911" s="114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  <c r="W911" s="114"/>
      <c r="X911" s="114"/>
      <c r="Y911" s="114"/>
      <c r="Z911" s="114"/>
    </row>
    <row r="912">
      <c r="A912" s="114"/>
      <c r="B912" s="114"/>
      <c r="C912" s="114"/>
      <c r="D912" s="114"/>
      <c r="E912" s="114"/>
      <c r="F912" s="114"/>
      <c r="G912" s="114"/>
      <c r="H912" s="114"/>
      <c r="I912" s="114"/>
      <c r="J912" s="114"/>
      <c r="K912" s="114"/>
      <c r="L912" s="114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  <c r="W912" s="114"/>
      <c r="X912" s="114"/>
      <c r="Y912" s="114"/>
      <c r="Z912" s="114"/>
    </row>
    <row r="913">
      <c r="A913" s="114"/>
      <c r="B913" s="114"/>
      <c r="C913" s="114"/>
      <c r="D913" s="114"/>
      <c r="E913" s="114"/>
      <c r="F913" s="114"/>
      <c r="G913" s="114"/>
      <c r="H913" s="114"/>
      <c r="I913" s="114"/>
      <c r="J913" s="114"/>
      <c r="K913" s="114"/>
      <c r="L913" s="114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  <c r="W913" s="114"/>
      <c r="X913" s="114"/>
      <c r="Y913" s="114"/>
      <c r="Z913" s="114"/>
    </row>
    <row r="914">
      <c r="A914" s="114"/>
      <c r="B914" s="114"/>
      <c r="C914" s="114"/>
      <c r="D914" s="114"/>
      <c r="E914" s="114"/>
      <c r="F914" s="114"/>
      <c r="G914" s="114"/>
      <c r="H914" s="114"/>
      <c r="I914" s="114"/>
      <c r="J914" s="114"/>
      <c r="K914" s="114"/>
      <c r="L914" s="114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  <c r="W914" s="114"/>
      <c r="X914" s="114"/>
      <c r="Y914" s="114"/>
      <c r="Z914" s="114"/>
    </row>
    <row r="915">
      <c r="A915" s="114"/>
      <c r="B915" s="114"/>
      <c r="C915" s="114"/>
      <c r="D915" s="114"/>
      <c r="E915" s="114"/>
      <c r="F915" s="114"/>
      <c r="G915" s="114"/>
      <c r="H915" s="114"/>
      <c r="I915" s="114"/>
      <c r="J915" s="114"/>
      <c r="K915" s="114"/>
      <c r="L915" s="114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  <c r="W915" s="114"/>
      <c r="X915" s="114"/>
      <c r="Y915" s="114"/>
      <c r="Z915" s="114"/>
    </row>
    <row r="916">
      <c r="A916" s="114"/>
      <c r="B916" s="114"/>
      <c r="C916" s="114"/>
      <c r="D916" s="114"/>
      <c r="E916" s="114"/>
      <c r="F916" s="114"/>
      <c r="G916" s="114"/>
      <c r="H916" s="114"/>
      <c r="I916" s="114"/>
      <c r="J916" s="114"/>
      <c r="K916" s="114"/>
      <c r="L916" s="114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  <c r="W916" s="114"/>
      <c r="X916" s="114"/>
      <c r="Y916" s="114"/>
      <c r="Z916" s="114"/>
    </row>
    <row r="917">
      <c r="A917" s="114"/>
      <c r="B917" s="114"/>
      <c r="C917" s="114"/>
      <c r="D917" s="114"/>
      <c r="E917" s="114"/>
      <c r="F917" s="114"/>
      <c r="G917" s="114"/>
      <c r="H917" s="114"/>
      <c r="I917" s="114"/>
      <c r="J917" s="114"/>
      <c r="K917" s="114"/>
      <c r="L917" s="114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  <c r="W917" s="114"/>
      <c r="X917" s="114"/>
      <c r="Y917" s="114"/>
      <c r="Z917" s="114"/>
    </row>
    <row r="918">
      <c r="A918" s="114"/>
      <c r="B918" s="114"/>
      <c r="C918" s="114"/>
      <c r="D918" s="114"/>
      <c r="E918" s="114"/>
      <c r="F918" s="114"/>
      <c r="G918" s="114"/>
      <c r="H918" s="114"/>
      <c r="I918" s="114"/>
      <c r="J918" s="114"/>
      <c r="K918" s="114"/>
      <c r="L918" s="114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  <c r="W918" s="114"/>
      <c r="X918" s="114"/>
      <c r="Y918" s="114"/>
      <c r="Z918" s="114"/>
    </row>
    <row r="919">
      <c r="A919" s="114"/>
      <c r="B919" s="114"/>
      <c r="C919" s="114"/>
      <c r="D919" s="114"/>
      <c r="E919" s="114"/>
      <c r="F919" s="114"/>
      <c r="G919" s="114"/>
      <c r="H919" s="114"/>
      <c r="I919" s="114"/>
      <c r="J919" s="114"/>
      <c r="K919" s="114"/>
      <c r="L919" s="114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  <c r="W919" s="114"/>
      <c r="X919" s="114"/>
      <c r="Y919" s="114"/>
      <c r="Z919" s="114"/>
    </row>
    <row r="920">
      <c r="A920" s="114"/>
      <c r="B920" s="114"/>
      <c r="C920" s="114"/>
      <c r="D920" s="114"/>
      <c r="E920" s="114"/>
      <c r="F920" s="114"/>
      <c r="G920" s="114"/>
      <c r="H920" s="114"/>
      <c r="I920" s="114"/>
      <c r="J920" s="114"/>
      <c r="K920" s="114"/>
      <c r="L920" s="114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  <c r="W920" s="114"/>
      <c r="X920" s="114"/>
      <c r="Y920" s="114"/>
      <c r="Z920" s="114"/>
    </row>
    <row r="921">
      <c r="A921" s="114"/>
      <c r="B921" s="114"/>
      <c r="C921" s="114"/>
      <c r="D921" s="114"/>
      <c r="E921" s="114"/>
      <c r="F921" s="114"/>
      <c r="G921" s="114"/>
      <c r="H921" s="114"/>
      <c r="I921" s="114"/>
      <c r="J921" s="114"/>
      <c r="K921" s="114"/>
      <c r="L921" s="114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  <c r="W921" s="114"/>
      <c r="X921" s="114"/>
      <c r="Y921" s="114"/>
      <c r="Z921" s="114"/>
    </row>
    <row r="922">
      <c r="A922" s="114"/>
      <c r="B922" s="114"/>
      <c r="C922" s="114"/>
      <c r="D922" s="114"/>
      <c r="E922" s="114"/>
      <c r="F922" s="114"/>
      <c r="G922" s="114"/>
      <c r="H922" s="114"/>
      <c r="I922" s="114"/>
      <c r="J922" s="114"/>
      <c r="K922" s="114"/>
      <c r="L922" s="114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  <c r="W922" s="114"/>
      <c r="X922" s="114"/>
      <c r="Y922" s="114"/>
      <c r="Z922" s="114"/>
    </row>
    <row r="923">
      <c r="A923" s="114"/>
      <c r="B923" s="114"/>
      <c r="C923" s="114"/>
      <c r="D923" s="114"/>
      <c r="E923" s="114"/>
      <c r="F923" s="114"/>
      <c r="G923" s="114"/>
      <c r="H923" s="114"/>
      <c r="I923" s="114"/>
      <c r="J923" s="114"/>
      <c r="K923" s="114"/>
      <c r="L923" s="114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  <c r="W923" s="114"/>
      <c r="X923" s="114"/>
      <c r="Y923" s="114"/>
      <c r="Z923" s="114"/>
    </row>
    <row r="924">
      <c r="A924" s="114"/>
      <c r="B924" s="114"/>
      <c r="C924" s="114"/>
      <c r="D924" s="114"/>
      <c r="E924" s="114"/>
      <c r="F924" s="114"/>
      <c r="G924" s="114"/>
      <c r="H924" s="114"/>
      <c r="I924" s="114"/>
      <c r="J924" s="114"/>
      <c r="K924" s="114"/>
      <c r="L924" s="114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  <c r="W924" s="114"/>
      <c r="X924" s="114"/>
      <c r="Y924" s="114"/>
      <c r="Z924" s="114"/>
    </row>
    <row r="925">
      <c r="A925" s="114"/>
      <c r="B925" s="114"/>
      <c r="C925" s="114"/>
      <c r="D925" s="114"/>
      <c r="E925" s="114"/>
      <c r="F925" s="114"/>
      <c r="G925" s="114"/>
      <c r="H925" s="114"/>
      <c r="I925" s="114"/>
      <c r="J925" s="114"/>
      <c r="K925" s="114"/>
      <c r="L925" s="114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  <c r="W925" s="114"/>
      <c r="X925" s="114"/>
      <c r="Y925" s="114"/>
      <c r="Z925" s="114"/>
    </row>
    <row r="926">
      <c r="A926" s="114"/>
      <c r="B926" s="114"/>
      <c r="C926" s="114"/>
      <c r="D926" s="114"/>
      <c r="E926" s="114"/>
      <c r="F926" s="114"/>
      <c r="G926" s="114"/>
      <c r="H926" s="114"/>
      <c r="I926" s="114"/>
      <c r="J926" s="114"/>
      <c r="K926" s="114"/>
      <c r="L926" s="114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  <c r="W926" s="114"/>
      <c r="X926" s="114"/>
      <c r="Y926" s="114"/>
      <c r="Z926" s="114"/>
    </row>
    <row r="927">
      <c r="A927" s="114"/>
      <c r="B927" s="114"/>
      <c r="C927" s="114"/>
      <c r="D927" s="114"/>
      <c r="E927" s="114"/>
      <c r="F927" s="114"/>
      <c r="G927" s="114"/>
      <c r="H927" s="114"/>
      <c r="I927" s="114"/>
      <c r="J927" s="114"/>
      <c r="K927" s="114"/>
      <c r="L927" s="114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  <c r="W927" s="114"/>
      <c r="X927" s="114"/>
      <c r="Y927" s="114"/>
      <c r="Z927" s="114"/>
    </row>
    <row r="928">
      <c r="A928" s="114"/>
      <c r="B928" s="114"/>
      <c r="C928" s="114"/>
      <c r="D928" s="114"/>
      <c r="E928" s="114"/>
      <c r="F928" s="114"/>
      <c r="G928" s="114"/>
      <c r="H928" s="114"/>
      <c r="I928" s="114"/>
      <c r="J928" s="114"/>
      <c r="K928" s="114"/>
      <c r="L928" s="114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  <c r="W928" s="114"/>
      <c r="X928" s="114"/>
      <c r="Y928" s="114"/>
      <c r="Z928" s="114"/>
    </row>
    <row r="929">
      <c r="A929" s="114"/>
      <c r="B929" s="114"/>
      <c r="C929" s="114"/>
      <c r="D929" s="114"/>
      <c r="E929" s="114"/>
      <c r="F929" s="114"/>
      <c r="G929" s="114"/>
      <c r="H929" s="114"/>
      <c r="I929" s="114"/>
      <c r="J929" s="114"/>
      <c r="K929" s="114"/>
      <c r="L929" s="114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  <c r="W929" s="114"/>
      <c r="X929" s="114"/>
      <c r="Y929" s="114"/>
      <c r="Z929" s="114"/>
    </row>
    <row r="930">
      <c r="A930" s="114"/>
      <c r="B930" s="114"/>
      <c r="C930" s="114"/>
      <c r="D930" s="114"/>
      <c r="E930" s="114"/>
      <c r="F930" s="114"/>
      <c r="G930" s="114"/>
      <c r="H930" s="114"/>
      <c r="I930" s="114"/>
      <c r="J930" s="114"/>
      <c r="K930" s="114"/>
      <c r="L930" s="114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  <c r="W930" s="114"/>
      <c r="X930" s="114"/>
      <c r="Y930" s="114"/>
      <c r="Z930" s="114"/>
    </row>
    <row r="931">
      <c r="A931" s="114"/>
      <c r="B931" s="114"/>
      <c r="C931" s="114"/>
      <c r="D931" s="114"/>
      <c r="E931" s="114"/>
      <c r="F931" s="114"/>
      <c r="G931" s="114"/>
      <c r="H931" s="114"/>
      <c r="I931" s="114"/>
      <c r="J931" s="114"/>
      <c r="K931" s="114"/>
      <c r="L931" s="114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  <c r="W931" s="114"/>
      <c r="X931" s="114"/>
      <c r="Y931" s="114"/>
      <c r="Z931" s="114"/>
    </row>
    <row r="932">
      <c r="A932" s="114"/>
      <c r="B932" s="114"/>
      <c r="C932" s="114"/>
      <c r="D932" s="114"/>
      <c r="E932" s="114"/>
      <c r="F932" s="114"/>
      <c r="G932" s="114"/>
      <c r="H932" s="114"/>
      <c r="I932" s="114"/>
      <c r="J932" s="114"/>
      <c r="K932" s="114"/>
      <c r="L932" s="114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  <c r="W932" s="114"/>
      <c r="X932" s="114"/>
      <c r="Y932" s="114"/>
      <c r="Z932" s="114"/>
    </row>
    <row r="933">
      <c r="A933" s="114"/>
      <c r="B933" s="114"/>
      <c r="C933" s="114"/>
      <c r="D933" s="114"/>
      <c r="E933" s="114"/>
      <c r="F933" s="114"/>
      <c r="G933" s="114"/>
      <c r="H933" s="114"/>
      <c r="I933" s="114"/>
      <c r="J933" s="114"/>
      <c r="K933" s="114"/>
      <c r="L933" s="114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  <c r="W933" s="114"/>
      <c r="X933" s="114"/>
      <c r="Y933" s="114"/>
      <c r="Z933" s="114"/>
    </row>
    <row r="934">
      <c r="A934" s="114"/>
      <c r="B934" s="114"/>
      <c r="C934" s="114"/>
      <c r="D934" s="114"/>
      <c r="E934" s="114"/>
      <c r="F934" s="114"/>
      <c r="G934" s="114"/>
      <c r="H934" s="114"/>
      <c r="I934" s="114"/>
      <c r="J934" s="114"/>
      <c r="K934" s="114"/>
      <c r="L934" s="114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  <c r="W934" s="114"/>
      <c r="X934" s="114"/>
      <c r="Y934" s="114"/>
      <c r="Z934" s="114"/>
    </row>
    <row r="935">
      <c r="A935" s="114"/>
      <c r="B935" s="114"/>
      <c r="C935" s="114"/>
      <c r="D935" s="114"/>
      <c r="E935" s="114"/>
      <c r="F935" s="114"/>
      <c r="G935" s="114"/>
      <c r="H935" s="114"/>
      <c r="I935" s="114"/>
      <c r="J935" s="114"/>
      <c r="K935" s="114"/>
      <c r="L935" s="114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  <c r="W935" s="114"/>
      <c r="X935" s="114"/>
      <c r="Y935" s="114"/>
      <c r="Z935" s="114"/>
    </row>
    <row r="936">
      <c r="A936" s="114"/>
      <c r="B936" s="114"/>
      <c r="C936" s="114"/>
      <c r="D936" s="114"/>
      <c r="E936" s="114"/>
      <c r="F936" s="114"/>
      <c r="G936" s="114"/>
      <c r="H936" s="114"/>
      <c r="I936" s="114"/>
      <c r="J936" s="114"/>
      <c r="K936" s="114"/>
      <c r="L936" s="114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  <c r="W936" s="114"/>
      <c r="X936" s="114"/>
      <c r="Y936" s="114"/>
      <c r="Z936" s="114"/>
    </row>
    <row r="937">
      <c r="A937" s="114"/>
      <c r="B937" s="114"/>
      <c r="C937" s="114"/>
      <c r="D937" s="114"/>
      <c r="E937" s="114"/>
      <c r="F937" s="114"/>
      <c r="G937" s="114"/>
      <c r="H937" s="114"/>
      <c r="I937" s="114"/>
      <c r="J937" s="114"/>
      <c r="K937" s="114"/>
      <c r="L937" s="114"/>
      <c r="M937" s="114"/>
      <c r="N937" s="114"/>
      <c r="O937" s="114"/>
      <c r="P937" s="114"/>
      <c r="Q937" s="114"/>
      <c r="R937" s="114"/>
      <c r="S937" s="114"/>
      <c r="T937" s="114"/>
      <c r="U937" s="114"/>
      <c r="V937" s="114"/>
      <c r="W937" s="114"/>
      <c r="X937" s="114"/>
      <c r="Y937" s="114"/>
      <c r="Z937" s="114"/>
    </row>
    <row r="938">
      <c r="A938" s="114"/>
      <c r="B938" s="114"/>
      <c r="C938" s="114"/>
      <c r="D938" s="114"/>
      <c r="E938" s="114"/>
      <c r="F938" s="114"/>
      <c r="G938" s="114"/>
      <c r="H938" s="114"/>
      <c r="I938" s="114"/>
      <c r="J938" s="114"/>
      <c r="K938" s="114"/>
      <c r="L938" s="114"/>
      <c r="M938" s="114"/>
      <c r="N938" s="114"/>
      <c r="O938" s="114"/>
      <c r="P938" s="114"/>
      <c r="Q938" s="114"/>
      <c r="R938" s="114"/>
      <c r="S938" s="114"/>
      <c r="T938" s="114"/>
      <c r="U938" s="114"/>
      <c r="V938" s="114"/>
      <c r="W938" s="114"/>
      <c r="X938" s="114"/>
      <c r="Y938" s="114"/>
      <c r="Z938" s="114"/>
    </row>
    <row r="939">
      <c r="A939" s="114"/>
      <c r="B939" s="114"/>
      <c r="C939" s="114"/>
      <c r="D939" s="114"/>
      <c r="E939" s="114"/>
      <c r="F939" s="114"/>
      <c r="G939" s="114"/>
      <c r="H939" s="114"/>
      <c r="I939" s="114"/>
      <c r="J939" s="114"/>
      <c r="K939" s="114"/>
      <c r="L939" s="114"/>
      <c r="M939" s="114"/>
      <c r="N939" s="114"/>
      <c r="O939" s="114"/>
      <c r="P939" s="114"/>
      <c r="Q939" s="114"/>
      <c r="R939" s="114"/>
      <c r="S939" s="114"/>
      <c r="T939" s="114"/>
      <c r="U939" s="114"/>
      <c r="V939" s="114"/>
      <c r="W939" s="114"/>
      <c r="X939" s="114"/>
      <c r="Y939" s="114"/>
      <c r="Z939" s="114"/>
    </row>
    <row r="940">
      <c r="A940" s="114"/>
      <c r="B940" s="114"/>
      <c r="C940" s="114"/>
      <c r="D940" s="114"/>
      <c r="E940" s="114"/>
      <c r="F940" s="114"/>
      <c r="G940" s="114"/>
      <c r="H940" s="114"/>
      <c r="I940" s="114"/>
      <c r="J940" s="114"/>
      <c r="K940" s="114"/>
      <c r="L940" s="114"/>
      <c r="M940" s="114"/>
      <c r="N940" s="114"/>
      <c r="O940" s="114"/>
      <c r="P940" s="114"/>
      <c r="Q940" s="114"/>
      <c r="R940" s="114"/>
      <c r="S940" s="114"/>
      <c r="T940" s="114"/>
      <c r="U940" s="114"/>
      <c r="V940" s="114"/>
      <c r="W940" s="114"/>
      <c r="X940" s="114"/>
      <c r="Y940" s="114"/>
      <c r="Z940" s="114"/>
    </row>
    <row r="941">
      <c r="A941" s="114"/>
      <c r="B941" s="114"/>
      <c r="C941" s="114"/>
      <c r="D941" s="114"/>
      <c r="E941" s="114"/>
      <c r="F941" s="114"/>
      <c r="G941" s="114"/>
      <c r="H941" s="114"/>
      <c r="I941" s="114"/>
      <c r="J941" s="114"/>
      <c r="K941" s="114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  <c r="W941" s="114"/>
      <c r="X941" s="114"/>
      <c r="Y941" s="114"/>
      <c r="Z941" s="114"/>
    </row>
    <row r="942">
      <c r="A942" s="114"/>
      <c r="B942" s="114"/>
      <c r="C942" s="114"/>
      <c r="D942" s="114"/>
      <c r="E942" s="114"/>
      <c r="F942" s="114"/>
      <c r="G942" s="114"/>
      <c r="H942" s="114"/>
      <c r="I942" s="114"/>
      <c r="J942" s="114"/>
      <c r="K942" s="114"/>
      <c r="L942" s="114"/>
      <c r="M942" s="114"/>
      <c r="N942" s="114"/>
      <c r="O942" s="114"/>
      <c r="P942" s="114"/>
      <c r="Q942" s="114"/>
      <c r="R942" s="114"/>
      <c r="S942" s="114"/>
      <c r="T942" s="114"/>
      <c r="U942" s="114"/>
      <c r="V942" s="114"/>
      <c r="W942" s="114"/>
      <c r="X942" s="114"/>
      <c r="Y942" s="114"/>
      <c r="Z942" s="114"/>
    </row>
    <row r="943">
      <c r="A943" s="114"/>
      <c r="B943" s="114"/>
      <c r="C943" s="114"/>
      <c r="D943" s="114"/>
      <c r="E943" s="114"/>
      <c r="F943" s="114"/>
      <c r="G943" s="114"/>
      <c r="H943" s="114"/>
      <c r="I943" s="114"/>
      <c r="J943" s="114"/>
      <c r="K943" s="114"/>
      <c r="L943" s="114"/>
      <c r="M943" s="114"/>
      <c r="N943" s="114"/>
      <c r="O943" s="114"/>
      <c r="P943" s="114"/>
      <c r="Q943" s="114"/>
      <c r="R943" s="114"/>
      <c r="S943" s="114"/>
      <c r="T943" s="114"/>
      <c r="U943" s="114"/>
      <c r="V943" s="114"/>
      <c r="W943" s="114"/>
      <c r="X943" s="114"/>
      <c r="Y943" s="114"/>
      <c r="Z943" s="114"/>
    </row>
    <row r="944">
      <c r="A944" s="114"/>
      <c r="B944" s="114"/>
      <c r="C944" s="114"/>
      <c r="D944" s="114"/>
      <c r="E944" s="114"/>
      <c r="F944" s="114"/>
      <c r="G944" s="114"/>
      <c r="H944" s="114"/>
      <c r="I944" s="114"/>
      <c r="J944" s="114"/>
      <c r="K944" s="114"/>
      <c r="L944" s="114"/>
      <c r="M944" s="114"/>
      <c r="N944" s="114"/>
      <c r="O944" s="114"/>
      <c r="P944" s="114"/>
      <c r="Q944" s="114"/>
      <c r="R944" s="114"/>
      <c r="S944" s="114"/>
      <c r="T944" s="114"/>
      <c r="U944" s="114"/>
      <c r="V944" s="114"/>
      <c r="W944" s="114"/>
      <c r="X944" s="114"/>
      <c r="Y944" s="114"/>
      <c r="Z944" s="114"/>
    </row>
    <row r="945">
      <c r="A945" s="114"/>
      <c r="B945" s="114"/>
      <c r="C945" s="114"/>
      <c r="D945" s="114"/>
      <c r="E945" s="114"/>
      <c r="F945" s="114"/>
      <c r="G945" s="114"/>
      <c r="H945" s="114"/>
      <c r="I945" s="114"/>
      <c r="J945" s="114"/>
      <c r="K945" s="114"/>
      <c r="L945" s="114"/>
      <c r="M945" s="114"/>
      <c r="N945" s="114"/>
      <c r="O945" s="114"/>
      <c r="P945" s="114"/>
      <c r="Q945" s="114"/>
      <c r="R945" s="114"/>
      <c r="S945" s="114"/>
      <c r="T945" s="114"/>
      <c r="U945" s="114"/>
      <c r="V945" s="114"/>
      <c r="W945" s="114"/>
      <c r="X945" s="114"/>
      <c r="Y945" s="114"/>
      <c r="Z945" s="114"/>
    </row>
    <row r="946">
      <c r="A946" s="114"/>
      <c r="B946" s="114"/>
      <c r="C946" s="114"/>
      <c r="D946" s="114"/>
      <c r="E946" s="114"/>
      <c r="F946" s="114"/>
      <c r="G946" s="114"/>
      <c r="H946" s="114"/>
      <c r="I946" s="114"/>
      <c r="J946" s="114"/>
      <c r="K946" s="114"/>
      <c r="L946" s="114"/>
      <c r="M946" s="114"/>
      <c r="N946" s="114"/>
      <c r="O946" s="114"/>
      <c r="P946" s="114"/>
      <c r="Q946" s="114"/>
      <c r="R946" s="114"/>
      <c r="S946" s="114"/>
      <c r="T946" s="114"/>
      <c r="U946" s="114"/>
      <c r="V946" s="114"/>
      <c r="W946" s="114"/>
      <c r="X946" s="114"/>
      <c r="Y946" s="114"/>
      <c r="Z946" s="114"/>
    </row>
    <row r="947">
      <c r="A947" s="114"/>
      <c r="B947" s="114"/>
      <c r="C947" s="114"/>
      <c r="D947" s="114"/>
      <c r="E947" s="114"/>
      <c r="F947" s="114"/>
      <c r="G947" s="114"/>
      <c r="H947" s="114"/>
      <c r="I947" s="114"/>
      <c r="J947" s="114"/>
      <c r="K947" s="114"/>
      <c r="L947" s="114"/>
      <c r="M947" s="114"/>
      <c r="N947" s="114"/>
      <c r="O947" s="114"/>
      <c r="P947" s="114"/>
      <c r="Q947" s="114"/>
      <c r="R947" s="114"/>
      <c r="S947" s="114"/>
      <c r="T947" s="114"/>
      <c r="U947" s="114"/>
      <c r="V947" s="114"/>
      <c r="W947" s="114"/>
      <c r="X947" s="114"/>
      <c r="Y947" s="114"/>
      <c r="Z947" s="114"/>
    </row>
    <row r="948">
      <c r="A948" s="114"/>
      <c r="B948" s="114"/>
      <c r="C948" s="114"/>
      <c r="D948" s="114"/>
      <c r="E948" s="114"/>
      <c r="F948" s="114"/>
      <c r="G948" s="114"/>
      <c r="H948" s="114"/>
      <c r="I948" s="114"/>
      <c r="J948" s="114"/>
      <c r="K948" s="114"/>
      <c r="L948" s="114"/>
      <c r="M948" s="114"/>
      <c r="N948" s="114"/>
      <c r="O948" s="114"/>
      <c r="P948" s="114"/>
      <c r="Q948" s="114"/>
      <c r="R948" s="114"/>
      <c r="S948" s="114"/>
      <c r="T948" s="114"/>
      <c r="U948" s="114"/>
      <c r="V948" s="114"/>
      <c r="W948" s="114"/>
      <c r="X948" s="114"/>
      <c r="Y948" s="114"/>
      <c r="Z948" s="114"/>
    </row>
    <row r="949">
      <c r="A949" s="114"/>
      <c r="B949" s="114"/>
      <c r="C949" s="114"/>
      <c r="D949" s="114"/>
      <c r="E949" s="114"/>
      <c r="F949" s="114"/>
      <c r="G949" s="114"/>
      <c r="H949" s="114"/>
      <c r="I949" s="114"/>
      <c r="J949" s="114"/>
      <c r="K949" s="114"/>
      <c r="L949" s="114"/>
      <c r="M949" s="114"/>
      <c r="N949" s="114"/>
      <c r="O949" s="114"/>
      <c r="P949" s="114"/>
      <c r="Q949" s="114"/>
      <c r="R949" s="114"/>
      <c r="S949" s="114"/>
      <c r="T949" s="114"/>
      <c r="U949" s="114"/>
      <c r="V949" s="114"/>
      <c r="W949" s="114"/>
      <c r="X949" s="114"/>
      <c r="Y949" s="114"/>
      <c r="Z949" s="114"/>
    </row>
    <row r="950">
      <c r="A950" s="114"/>
      <c r="B950" s="114"/>
      <c r="C950" s="114"/>
      <c r="D950" s="114"/>
      <c r="E950" s="114"/>
      <c r="F950" s="114"/>
      <c r="G950" s="114"/>
      <c r="H950" s="114"/>
      <c r="I950" s="114"/>
      <c r="J950" s="114"/>
      <c r="K950" s="114"/>
      <c r="L950" s="114"/>
      <c r="M950" s="114"/>
      <c r="N950" s="114"/>
      <c r="O950" s="114"/>
      <c r="P950" s="114"/>
      <c r="Q950" s="114"/>
      <c r="R950" s="114"/>
      <c r="S950" s="114"/>
      <c r="T950" s="114"/>
      <c r="U950" s="114"/>
      <c r="V950" s="114"/>
      <c r="W950" s="114"/>
      <c r="X950" s="114"/>
      <c r="Y950" s="114"/>
      <c r="Z950" s="114"/>
    </row>
    <row r="951">
      <c r="A951" s="114"/>
      <c r="B951" s="114"/>
      <c r="C951" s="114"/>
      <c r="D951" s="114"/>
      <c r="E951" s="114"/>
      <c r="F951" s="114"/>
      <c r="G951" s="114"/>
      <c r="H951" s="114"/>
      <c r="I951" s="114"/>
      <c r="J951" s="114"/>
      <c r="K951" s="114"/>
      <c r="L951" s="114"/>
      <c r="M951" s="114"/>
      <c r="N951" s="114"/>
      <c r="O951" s="114"/>
      <c r="P951" s="114"/>
      <c r="Q951" s="114"/>
      <c r="R951" s="114"/>
      <c r="S951" s="114"/>
      <c r="T951" s="114"/>
      <c r="U951" s="114"/>
      <c r="V951" s="114"/>
      <c r="W951" s="114"/>
      <c r="X951" s="114"/>
      <c r="Y951" s="114"/>
      <c r="Z951" s="114"/>
    </row>
    <row r="952">
      <c r="A952" s="114"/>
      <c r="B952" s="114"/>
      <c r="C952" s="114"/>
      <c r="D952" s="114"/>
      <c r="E952" s="114"/>
      <c r="F952" s="114"/>
      <c r="G952" s="114"/>
      <c r="H952" s="114"/>
      <c r="I952" s="114"/>
      <c r="J952" s="114"/>
      <c r="K952" s="114"/>
      <c r="L952" s="114"/>
      <c r="M952" s="114"/>
      <c r="N952" s="114"/>
      <c r="O952" s="114"/>
      <c r="P952" s="114"/>
      <c r="Q952" s="114"/>
      <c r="R952" s="114"/>
      <c r="S952" s="114"/>
      <c r="T952" s="114"/>
      <c r="U952" s="114"/>
      <c r="V952" s="114"/>
      <c r="W952" s="114"/>
      <c r="X952" s="114"/>
      <c r="Y952" s="114"/>
      <c r="Z952" s="114"/>
    </row>
    <row r="953">
      <c r="A953" s="114"/>
      <c r="B953" s="114"/>
      <c r="C953" s="114"/>
      <c r="D953" s="114"/>
      <c r="E953" s="114"/>
      <c r="F953" s="114"/>
      <c r="G953" s="114"/>
      <c r="H953" s="114"/>
      <c r="I953" s="114"/>
      <c r="J953" s="114"/>
      <c r="K953" s="114"/>
      <c r="L953" s="114"/>
      <c r="M953" s="114"/>
      <c r="N953" s="114"/>
      <c r="O953" s="114"/>
      <c r="P953" s="114"/>
      <c r="Q953" s="114"/>
      <c r="R953" s="114"/>
      <c r="S953" s="114"/>
      <c r="T953" s="114"/>
      <c r="U953" s="114"/>
      <c r="V953" s="114"/>
      <c r="W953" s="114"/>
      <c r="X953" s="114"/>
      <c r="Y953" s="114"/>
      <c r="Z953" s="114"/>
    </row>
    <row r="954">
      <c r="A954" s="114"/>
      <c r="B954" s="114"/>
      <c r="C954" s="114"/>
      <c r="D954" s="114"/>
      <c r="E954" s="114"/>
      <c r="F954" s="114"/>
      <c r="G954" s="114"/>
      <c r="H954" s="114"/>
      <c r="I954" s="114"/>
      <c r="J954" s="114"/>
      <c r="K954" s="114"/>
      <c r="L954" s="114"/>
      <c r="M954" s="114"/>
      <c r="N954" s="114"/>
      <c r="O954" s="114"/>
      <c r="P954" s="114"/>
      <c r="Q954" s="114"/>
      <c r="R954" s="114"/>
      <c r="S954" s="114"/>
      <c r="T954" s="114"/>
      <c r="U954" s="114"/>
      <c r="V954" s="114"/>
      <c r="W954" s="114"/>
      <c r="X954" s="114"/>
      <c r="Y954" s="114"/>
      <c r="Z954" s="114"/>
    </row>
    <row r="955">
      <c r="A955" s="114"/>
      <c r="B955" s="114"/>
      <c r="C955" s="114"/>
      <c r="D955" s="114"/>
      <c r="E955" s="114"/>
      <c r="F955" s="114"/>
      <c r="G955" s="114"/>
      <c r="H955" s="114"/>
      <c r="I955" s="114"/>
      <c r="J955" s="114"/>
      <c r="K955" s="114"/>
      <c r="L955" s="114"/>
      <c r="M955" s="114"/>
      <c r="N955" s="114"/>
      <c r="O955" s="114"/>
      <c r="P955" s="114"/>
      <c r="Q955" s="114"/>
      <c r="R955" s="114"/>
      <c r="S955" s="114"/>
      <c r="T955" s="114"/>
      <c r="U955" s="114"/>
      <c r="V955" s="114"/>
      <c r="W955" s="114"/>
      <c r="X955" s="114"/>
      <c r="Y955" s="114"/>
      <c r="Z955" s="114"/>
    </row>
    <row r="956">
      <c r="A956" s="114"/>
      <c r="B956" s="114"/>
      <c r="C956" s="114"/>
      <c r="D956" s="114"/>
      <c r="E956" s="114"/>
      <c r="F956" s="114"/>
      <c r="G956" s="114"/>
      <c r="H956" s="114"/>
      <c r="I956" s="114"/>
      <c r="J956" s="114"/>
      <c r="K956" s="114"/>
      <c r="L956" s="114"/>
      <c r="M956" s="114"/>
      <c r="N956" s="114"/>
      <c r="O956" s="114"/>
      <c r="P956" s="114"/>
      <c r="Q956" s="114"/>
      <c r="R956" s="114"/>
      <c r="S956" s="114"/>
      <c r="T956" s="114"/>
      <c r="U956" s="114"/>
      <c r="V956" s="114"/>
      <c r="W956" s="114"/>
      <c r="X956" s="114"/>
      <c r="Y956" s="114"/>
      <c r="Z956" s="114"/>
    </row>
    <row r="957">
      <c r="A957" s="114"/>
      <c r="B957" s="114"/>
      <c r="C957" s="114"/>
      <c r="D957" s="114"/>
      <c r="E957" s="114"/>
      <c r="F957" s="114"/>
      <c r="G957" s="114"/>
      <c r="H957" s="114"/>
      <c r="I957" s="114"/>
      <c r="J957" s="114"/>
      <c r="K957" s="114"/>
      <c r="L957" s="114"/>
      <c r="M957" s="114"/>
      <c r="N957" s="114"/>
      <c r="O957" s="114"/>
      <c r="P957" s="114"/>
      <c r="Q957" s="114"/>
      <c r="R957" s="114"/>
      <c r="S957" s="114"/>
      <c r="T957" s="114"/>
      <c r="U957" s="114"/>
      <c r="V957" s="114"/>
      <c r="W957" s="114"/>
      <c r="X957" s="114"/>
      <c r="Y957" s="114"/>
      <c r="Z957" s="114"/>
    </row>
    <row r="958">
      <c r="A958" s="114"/>
      <c r="B958" s="114"/>
      <c r="C958" s="114"/>
      <c r="D958" s="114"/>
      <c r="E958" s="114"/>
      <c r="F958" s="114"/>
      <c r="G958" s="114"/>
      <c r="H958" s="114"/>
      <c r="I958" s="114"/>
      <c r="J958" s="114"/>
      <c r="K958" s="114"/>
      <c r="L958" s="114"/>
      <c r="M958" s="114"/>
      <c r="N958" s="114"/>
      <c r="O958" s="114"/>
      <c r="P958" s="114"/>
      <c r="Q958" s="114"/>
      <c r="R958" s="114"/>
      <c r="S958" s="114"/>
      <c r="T958" s="114"/>
      <c r="U958" s="114"/>
      <c r="V958" s="114"/>
      <c r="W958" s="114"/>
      <c r="X958" s="114"/>
      <c r="Y958" s="114"/>
      <c r="Z958" s="114"/>
    </row>
    <row r="959">
      <c r="A959" s="114"/>
      <c r="B959" s="114"/>
      <c r="C959" s="114"/>
      <c r="D959" s="114"/>
      <c r="E959" s="114"/>
      <c r="F959" s="114"/>
      <c r="G959" s="114"/>
      <c r="H959" s="114"/>
      <c r="I959" s="114"/>
      <c r="J959" s="114"/>
      <c r="K959" s="114"/>
      <c r="L959" s="114"/>
      <c r="M959" s="114"/>
      <c r="N959" s="114"/>
      <c r="O959" s="114"/>
      <c r="P959" s="114"/>
      <c r="Q959" s="114"/>
      <c r="R959" s="114"/>
      <c r="S959" s="114"/>
      <c r="T959" s="114"/>
      <c r="U959" s="114"/>
      <c r="V959" s="114"/>
      <c r="W959" s="114"/>
      <c r="X959" s="114"/>
      <c r="Y959" s="114"/>
      <c r="Z959" s="114"/>
    </row>
    <row r="960">
      <c r="A960" s="114"/>
      <c r="B960" s="114"/>
      <c r="C960" s="114"/>
      <c r="D960" s="114"/>
      <c r="E960" s="114"/>
      <c r="F960" s="114"/>
      <c r="G960" s="114"/>
      <c r="H960" s="114"/>
      <c r="I960" s="114"/>
      <c r="J960" s="114"/>
      <c r="K960" s="114"/>
      <c r="L960" s="114"/>
      <c r="M960" s="114"/>
      <c r="N960" s="114"/>
      <c r="O960" s="114"/>
      <c r="P960" s="114"/>
      <c r="Q960" s="114"/>
      <c r="R960" s="114"/>
      <c r="S960" s="114"/>
      <c r="T960" s="114"/>
      <c r="U960" s="114"/>
      <c r="V960" s="114"/>
      <c r="W960" s="114"/>
      <c r="X960" s="114"/>
      <c r="Y960" s="114"/>
      <c r="Z960" s="114"/>
    </row>
    <row r="961">
      <c r="A961" s="114"/>
      <c r="B961" s="114"/>
      <c r="C961" s="114"/>
      <c r="D961" s="114"/>
      <c r="E961" s="114"/>
      <c r="F961" s="114"/>
      <c r="G961" s="114"/>
      <c r="H961" s="114"/>
      <c r="I961" s="114"/>
      <c r="J961" s="114"/>
      <c r="K961" s="114"/>
      <c r="L961" s="114"/>
      <c r="M961" s="114"/>
      <c r="N961" s="114"/>
      <c r="O961" s="114"/>
      <c r="P961" s="114"/>
      <c r="Q961" s="114"/>
      <c r="R961" s="114"/>
      <c r="S961" s="114"/>
      <c r="T961" s="114"/>
      <c r="U961" s="114"/>
      <c r="V961" s="114"/>
      <c r="W961" s="114"/>
      <c r="X961" s="114"/>
      <c r="Y961" s="114"/>
      <c r="Z961" s="114"/>
    </row>
    <row r="962">
      <c r="A962" s="114"/>
      <c r="B962" s="114"/>
      <c r="C962" s="114"/>
      <c r="D962" s="114"/>
      <c r="E962" s="114"/>
      <c r="F962" s="114"/>
      <c r="G962" s="114"/>
      <c r="H962" s="114"/>
      <c r="I962" s="114"/>
      <c r="J962" s="114"/>
      <c r="K962" s="114"/>
      <c r="L962" s="114"/>
      <c r="M962" s="114"/>
      <c r="N962" s="114"/>
      <c r="O962" s="114"/>
      <c r="P962" s="114"/>
      <c r="Q962" s="114"/>
      <c r="R962" s="114"/>
      <c r="S962" s="114"/>
      <c r="T962" s="114"/>
      <c r="U962" s="114"/>
      <c r="V962" s="114"/>
      <c r="W962" s="114"/>
      <c r="X962" s="114"/>
      <c r="Y962" s="114"/>
      <c r="Z962" s="114"/>
    </row>
    <row r="963">
      <c r="A963" s="114"/>
      <c r="B963" s="114"/>
      <c r="C963" s="114"/>
      <c r="D963" s="114"/>
      <c r="E963" s="114"/>
      <c r="F963" s="114"/>
      <c r="G963" s="114"/>
      <c r="H963" s="114"/>
      <c r="I963" s="114"/>
      <c r="J963" s="114"/>
      <c r="K963" s="114"/>
      <c r="L963" s="114"/>
      <c r="M963" s="114"/>
      <c r="N963" s="114"/>
      <c r="O963" s="114"/>
      <c r="P963" s="114"/>
      <c r="Q963" s="114"/>
      <c r="R963" s="114"/>
      <c r="S963" s="114"/>
      <c r="T963" s="114"/>
      <c r="U963" s="114"/>
      <c r="V963" s="114"/>
      <c r="W963" s="114"/>
      <c r="X963" s="114"/>
      <c r="Y963" s="114"/>
      <c r="Z963" s="114"/>
    </row>
    <row r="964">
      <c r="A964" s="114"/>
      <c r="B964" s="114"/>
      <c r="C964" s="114"/>
      <c r="D964" s="114"/>
      <c r="E964" s="114"/>
      <c r="F964" s="114"/>
      <c r="G964" s="114"/>
      <c r="H964" s="114"/>
      <c r="I964" s="114"/>
      <c r="J964" s="114"/>
      <c r="K964" s="114"/>
      <c r="L964" s="114"/>
      <c r="M964" s="114"/>
      <c r="N964" s="114"/>
      <c r="O964" s="114"/>
      <c r="P964" s="114"/>
      <c r="Q964" s="114"/>
      <c r="R964" s="114"/>
      <c r="S964" s="114"/>
      <c r="T964" s="114"/>
      <c r="U964" s="114"/>
      <c r="V964" s="114"/>
      <c r="W964" s="114"/>
      <c r="X964" s="114"/>
      <c r="Y964" s="114"/>
      <c r="Z964" s="114"/>
    </row>
    <row r="965">
      <c r="A965" s="114"/>
      <c r="B965" s="114"/>
      <c r="C965" s="114"/>
      <c r="D965" s="114"/>
      <c r="E965" s="114"/>
      <c r="F965" s="114"/>
      <c r="G965" s="114"/>
      <c r="H965" s="114"/>
      <c r="I965" s="114"/>
      <c r="J965" s="114"/>
      <c r="K965" s="114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  <c r="W965" s="114"/>
      <c r="X965" s="114"/>
      <c r="Y965" s="114"/>
      <c r="Z965" s="114"/>
    </row>
    <row r="966">
      <c r="A966" s="114"/>
      <c r="B966" s="114"/>
      <c r="C966" s="114"/>
      <c r="D966" s="114"/>
      <c r="E966" s="114"/>
      <c r="F966" s="114"/>
      <c r="G966" s="114"/>
      <c r="H966" s="114"/>
      <c r="I966" s="114"/>
      <c r="J966" s="114"/>
      <c r="K966" s="114"/>
      <c r="L966" s="114"/>
      <c r="M966" s="114"/>
      <c r="N966" s="114"/>
      <c r="O966" s="114"/>
      <c r="P966" s="114"/>
      <c r="Q966" s="114"/>
      <c r="R966" s="114"/>
      <c r="S966" s="114"/>
      <c r="T966" s="114"/>
      <c r="U966" s="114"/>
      <c r="V966" s="114"/>
      <c r="W966" s="114"/>
      <c r="X966" s="114"/>
      <c r="Y966" s="114"/>
      <c r="Z966" s="114"/>
    </row>
    <row r="967">
      <c r="A967" s="114"/>
      <c r="B967" s="114"/>
      <c r="C967" s="114"/>
      <c r="D967" s="114"/>
      <c r="E967" s="114"/>
      <c r="F967" s="114"/>
      <c r="G967" s="114"/>
      <c r="H967" s="114"/>
      <c r="I967" s="114"/>
      <c r="J967" s="114"/>
      <c r="K967" s="114"/>
      <c r="L967" s="114"/>
      <c r="M967" s="114"/>
      <c r="N967" s="114"/>
      <c r="O967" s="114"/>
      <c r="P967" s="114"/>
      <c r="Q967" s="114"/>
      <c r="R967" s="114"/>
      <c r="S967" s="114"/>
      <c r="T967" s="114"/>
      <c r="U967" s="114"/>
      <c r="V967" s="114"/>
      <c r="W967" s="114"/>
      <c r="X967" s="114"/>
      <c r="Y967" s="114"/>
      <c r="Z967" s="114"/>
    </row>
    <row r="968">
      <c r="A968" s="114"/>
      <c r="B968" s="114"/>
      <c r="C968" s="114"/>
      <c r="D968" s="114"/>
      <c r="E968" s="114"/>
      <c r="F968" s="114"/>
      <c r="G968" s="114"/>
      <c r="H968" s="114"/>
      <c r="I968" s="114"/>
      <c r="J968" s="114"/>
      <c r="K968" s="114"/>
      <c r="L968" s="114"/>
      <c r="M968" s="114"/>
      <c r="N968" s="114"/>
      <c r="O968" s="114"/>
      <c r="P968" s="114"/>
      <c r="Q968" s="114"/>
      <c r="R968" s="114"/>
      <c r="S968" s="114"/>
      <c r="T968" s="114"/>
      <c r="U968" s="114"/>
      <c r="V968" s="114"/>
      <c r="W968" s="114"/>
      <c r="X968" s="114"/>
      <c r="Y968" s="114"/>
      <c r="Z968" s="114"/>
    </row>
    <row r="969">
      <c r="A969" s="114"/>
      <c r="B969" s="114"/>
      <c r="C969" s="114"/>
      <c r="D969" s="114"/>
      <c r="E969" s="114"/>
      <c r="F969" s="114"/>
      <c r="G969" s="114"/>
      <c r="H969" s="114"/>
      <c r="I969" s="114"/>
      <c r="J969" s="114"/>
      <c r="K969" s="114"/>
      <c r="L969" s="114"/>
      <c r="M969" s="114"/>
      <c r="N969" s="114"/>
      <c r="O969" s="114"/>
      <c r="P969" s="114"/>
      <c r="Q969" s="114"/>
      <c r="R969" s="114"/>
      <c r="S969" s="114"/>
      <c r="T969" s="114"/>
      <c r="U969" s="114"/>
      <c r="V969" s="114"/>
      <c r="W969" s="114"/>
      <c r="X969" s="114"/>
      <c r="Y969" s="114"/>
      <c r="Z969" s="114"/>
    </row>
    <row r="970">
      <c r="A970" s="114"/>
      <c r="B970" s="114"/>
      <c r="C970" s="114"/>
      <c r="D970" s="114"/>
      <c r="E970" s="114"/>
      <c r="F970" s="114"/>
      <c r="G970" s="114"/>
      <c r="H970" s="114"/>
      <c r="I970" s="114"/>
      <c r="J970" s="114"/>
      <c r="K970" s="114"/>
      <c r="L970" s="114"/>
      <c r="M970" s="114"/>
      <c r="N970" s="114"/>
      <c r="O970" s="114"/>
      <c r="P970" s="114"/>
      <c r="Q970" s="114"/>
      <c r="R970" s="114"/>
      <c r="S970" s="114"/>
      <c r="T970" s="114"/>
      <c r="U970" s="114"/>
      <c r="V970" s="114"/>
      <c r="W970" s="114"/>
      <c r="X970" s="114"/>
      <c r="Y970" s="114"/>
      <c r="Z970" s="114"/>
    </row>
    <row r="971">
      <c r="A971" s="114"/>
      <c r="B971" s="114"/>
      <c r="C971" s="114"/>
      <c r="D971" s="114"/>
      <c r="E971" s="114"/>
      <c r="F971" s="114"/>
      <c r="G971" s="114"/>
      <c r="H971" s="114"/>
      <c r="I971" s="114"/>
      <c r="J971" s="114"/>
      <c r="K971" s="114"/>
      <c r="L971" s="114"/>
      <c r="M971" s="114"/>
      <c r="N971" s="114"/>
      <c r="O971" s="114"/>
      <c r="P971" s="114"/>
      <c r="Q971" s="114"/>
      <c r="R971" s="114"/>
      <c r="S971" s="114"/>
      <c r="T971" s="114"/>
      <c r="U971" s="114"/>
      <c r="V971" s="114"/>
      <c r="W971" s="114"/>
      <c r="X971" s="114"/>
      <c r="Y971" s="114"/>
      <c r="Z971" s="114"/>
    </row>
    <row r="972">
      <c r="A972" s="114"/>
      <c r="B972" s="114"/>
      <c r="C972" s="114"/>
      <c r="D972" s="114"/>
      <c r="E972" s="114"/>
      <c r="F972" s="114"/>
      <c r="G972" s="114"/>
      <c r="H972" s="114"/>
      <c r="I972" s="114"/>
      <c r="J972" s="114"/>
      <c r="K972" s="114"/>
      <c r="L972" s="114"/>
      <c r="M972" s="114"/>
      <c r="N972" s="114"/>
      <c r="O972" s="114"/>
      <c r="P972" s="114"/>
      <c r="Q972" s="114"/>
      <c r="R972" s="114"/>
      <c r="S972" s="114"/>
      <c r="T972" s="114"/>
      <c r="U972" s="114"/>
      <c r="V972" s="114"/>
      <c r="W972" s="114"/>
      <c r="X972" s="114"/>
      <c r="Y972" s="114"/>
      <c r="Z972" s="114"/>
    </row>
    <row r="973">
      <c r="A973" s="114"/>
      <c r="B973" s="114"/>
      <c r="C973" s="114"/>
      <c r="D973" s="114"/>
      <c r="E973" s="114"/>
      <c r="F973" s="114"/>
      <c r="G973" s="114"/>
      <c r="H973" s="114"/>
      <c r="I973" s="114"/>
      <c r="J973" s="114"/>
      <c r="K973" s="114"/>
      <c r="L973" s="114"/>
      <c r="M973" s="114"/>
      <c r="N973" s="114"/>
      <c r="O973" s="114"/>
      <c r="P973" s="114"/>
      <c r="Q973" s="114"/>
      <c r="R973" s="114"/>
      <c r="S973" s="114"/>
      <c r="T973" s="114"/>
      <c r="U973" s="114"/>
      <c r="V973" s="114"/>
      <c r="W973" s="114"/>
      <c r="X973" s="114"/>
      <c r="Y973" s="114"/>
      <c r="Z973" s="114"/>
    </row>
    <row r="974">
      <c r="A974" s="114"/>
      <c r="B974" s="114"/>
      <c r="C974" s="114"/>
      <c r="D974" s="114"/>
      <c r="E974" s="114"/>
      <c r="F974" s="114"/>
      <c r="G974" s="114"/>
      <c r="H974" s="114"/>
      <c r="I974" s="114"/>
      <c r="J974" s="114"/>
      <c r="K974" s="114"/>
      <c r="L974" s="114"/>
      <c r="M974" s="114"/>
      <c r="N974" s="114"/>
      <c r="O974" s="114"/>
      <c r="P974" s="114"/>
      <c r="Q974" s="114"/>
      <c r="R974" s="114"/>
      <c r="S974" s="114"/>
      <c r="T974" s="114"/>
      <c r="U974" s="114"/>
      <c r="V974" s="114"/>
      <c r="W974" s="114"/>
      <c r="X974" s="114"/>
      <c r="Y974" s="114"/>
      <c r="Z974" s="114"/>
    </row>
    <row r="975">
      <c r="A975" s="114"/>
      <c r="B975" s="114"/>
      <c r="C975" s="114"/>
      <c r="D975" s="114"/>
      <c r="E975" s="114"/>
      <c r="F975" s="114"/>
      <c r="G975" s="114"/>
      <c r="H975" s="114"/>
      <c r="I975" s="114"/>
      <c r="J975" s="114"/>
      <c r="K975" s="114"/>
      <c r="L975" s="114"/>
      <c r="M975" s="114"/>
      <c r="N975" s="114"/>
      <c r="O975" s="114"/>
      <c r="P975" s="114"/>
      <c r="Q975" s="114"/>
      <c r="R975" s="114"/>
      <c r="S975" s="114"/>
      <c r="T975" s="114"/>
      <c r="U975" s="114"/>
      <c r="V975" s="114"/>
      <c r="W975" s="114"/>
      <c r="X975" s="114"/>
      <c r="Y975" s="114"/>
      <c r="Z975" s="114"/>
    </row>
    <row r="976">
      <c r="A976" s="114"/>
      <c r="B976" s="114"/>
      <c r="C976" s="114"/>
      <c r="D976" s="114"/>
      <c r="E976" s="114"/>
      <c r="F976" s="114"/>
      <c r="G976" s="114"/>
      <c r="H976" s="114"/>
      <c r="I976" s="114"/>
      <c r="J976" s="114"/>
      <c r="K976" s="114"/>
      <c r="L976" s="114"/>
      <c r="M976" s="114"/>
      <c r="N976" s="114"/>
      <c r="O976" s="114"/>
      <c r="P976" s="114"/>
      <c r="Q976" s="114"/>
      <c r="R976" s="114"/>
      <c r="S976" s="114"/>
      <c r="T976" s="114"/>
      <c r="U976" s="114"/>
      <c r="V976" s="114"/>
      <c r="W976" s="114"/>
      <c r="X976" s="114"/>
      <c r="Y976" s="114"/>
      <c r="Z976" s="114"/>
    </row>
    <row r="977">
      <c r="A977" s="114"/>
      <c r="B977" s="114"/>
      <c r="C977" s="114"/>
      <c r="D977" s="114"/>
      <c r="E977" s="114"/>
      <c r="F977" s="114"/>
      <c r="G977" s="114"/>
      <c r="H977" s="114"/>
      <c r="I977" s="114"/>
      <c r="J977" s="114"/>
      <c r="K977" s="114"/>
      <c r="L977" s="114"/>
      <c r="M977" s="114"/>
      <c r="N977" s="114"/>
      <c r="O977" s="114"/>
      <c r="P977" s="114"/>
      <c r="Q977" s="114"/>
      <c r="R977" s="114"/>
      <c r="S977" s="114"/>
      <c r="T977" s="114"/>
      <c r="U977" s="114"/>
      <c r="V977" s="114"/>
      <c r="W977" s="114"/>
      <c r="X977" s="114"/>
      <c r="Y977" s="114"/>
      <c r="Z977" s="114"/>
    </row>
    <row r="978">
      <c r="A978" s="114"/>
      <c r="B978" s="114"/>
      <c r="C978" s="114"/>
      <c r="D978" s="114"/>
      <c r="E978" s="114"/>
      <c r="F978" s="114"/>
      <c r="G978" s="114"/>
      <c r="H978" s="114"/>
      <c r="I978" s="114"/>
      <c r="J978" s="114"/>
      <c r="K978" s="114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  <c r="W978" s="114"/>
      <c r="X978" s="114"/>
      <c r="Y978" s="114"/>
      <c r="Z978" s="114"/>
    </row>
    <row r="979">
      <c r="A979" s="114"/>
      <c r="B979" s="114"/>
      <c r="C979" s="114"/>
      <c r="D979" s="114"/>
      <c r="E979" s="114"/>
      <c r="F979" s="114"/>
      <c r="G979" s="114"/>
      <c r="H979" s="114"/>
      <c r="I979" s="114"/>
      <c r="J979" s="114"/>
      <c r="K979" s="114"/>
      <c r="L979" s="114"/>
      <c r="M979" s="114"/>
      <c r="N979" s="114"/>
      <c r="O979" s="114"/>
      <c r="P979" s="114"/>
      <c r="Q979" s="114"/>
      <c r="R979" s="114"/>
      <c r="S979" s="114"/>
      <c r="T979" s="114"/>
      <c r="U979" s="114"/>
      <c r="V979" s="114"/>
      <c r="W979" s="114"/>
      <c r="X979" s="114"/>
      <c r="Y979" s="114"/>
      <c r="Z979" s="114"/>
    </row>
    <row r="980">
      <c r="A980" s="114"/>
      <c r="B980" s="114"/>
      <c r="C980" s="114"/>
      <c r="D980" s="114"/>
      <c r="E980" s="114"/>
      <c r="F980" s="114"/>
      <c r="G980" s="114"/>
      <c r="H980" s="114"/>
      <c r="I980" s="114"/>
      <c r="J980" s="114"/>
      <c r="K980" s="114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  <c r="W980" s="114"/>
      <c r="X980" s="114"/>
      <c r="Y980" s="114"/>
      <c r="Z980" s="114"/>
    </row>
    <row r="981">
      <c r="A981" s="114"/>
      <c r="B981" s="114"/>
      <c r="C981" s="114"/>
      <c r="D981" s="114"/>
      <c r="E981" s="114"/>
      <c r="F981" s="114"/>
      <c r="G981" s="114"/>
      <c r="H981" s="114"/>
      <c r="I981" s="114"/>
      <c r="J981" s="114"/>
      <c r="K981" s="114"/>
      <c r="L981" s="114"/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  <c r="W981" s="114"/>
      <c r="X981" s="114"/>
      <c r="Y981" s="114"/>
      <c r="Z981" s="114"/>
    </row>
    <row r="982">
      <c r="A982" s="114"/>
      <c r="B982" s="114"/>
      <c r="C982" s="114"/>
      <c r="D982" s="114"/>
      <c r="E982" s="114"/>
      <c r="F982" s="114"/>
      <c r="G982" s="114"/>
      <c r="H982" s="114"/>
      <c r="I982" s="114"/>
      <c r="J982" s="114"/>
      <c r="K982" s="114"/>
      <c r="L982" s="114"/>
      <c r="M982" s="114"/>
      <c r="N982" s="114"/>
      <c r="O982" s="114"/>
      <c r="P982" s="114"/>
      <c r="Q982" s="114"/>
      <c r="R982" s="114"/>
      <c r="S982" s="114"/>
      <c r="T982" s="114"/>
      <c r="U982" s="114"/>
      <c r="V982" s="114"/>
      <c r="W982" s="114"/>
      <c r="X982" s="114"/>
      <c r="Y982" s="114"/>
      <c r="Z982" s="114"/>
    </row>
    <row r="983">
      <c r="A983" s="114"/>
      <c r="B983" s="114"/>
      <c r="C983" s="114"/>
      <c r="D983" s="114"/>
      <c r="E983" s="114"/>
      <c r="F983" s="114"/>
      <c r="G983" s="114"/>
      <c r="H983" s="114"/>
      <c r="I983" s="114"/>
      <c r="J983" s="114"/>
      <c r="K983" s="114"/>
      <c r="L983" s="114"/>
      <c r="M983" s="114"/>
      <c r="N983" s="114"/>
      <c r="O983" s="114"/>
      <c r="P983" s="114"/>
      <c r="Q983" s="114"/>
      <c r="R983" s="114"/>
      <c r="S983" s="114"/>
      <c r="T983" s="114"/>
      <c r="U983" s="114"/>
      <c r="V983" s="114"/>
      <c r="W983" s="114"/>
      <c r="X983" s="114"/>
      <c r="Y983" s="114"/>
      <c r="Z983" s="114"/>
    </row>
    <row r="984">
      <c r="A984" s="114"/>
      <c r="B984" s="114"/>
      <c r="C984" s="114"/>
      <c r="D984" s="114"/>
      <c r="E984" s="114"/>
      <c r="F984" s="114"/>
      <c r="G984" s="114"/>
      <c r="H984" s="114"/>
      <c r="I984" s="114"/>
      <c r="J984" s="114"/>
      <c r="K984" s="114"/>
      <c r="L984" s="114"/>
      <c r="M984" s="114"/>
      <c r="N984" s="114"/>
      <c r="O984" s="114"/>
      <c r="P984" s="114"/>
      <c r="Q984" s="114"/>
      <c r="R984" s="114"/>
      <c r="S984" s="114"/>
      <c r="T984" s="114"/>
      <c r="U984" s="114"/>
      <c r="V984" s="114"/>
      <c r="W984" s="114"/>
      <c r="X984" s="114"/>
      <c r="Y984" s="114"/>
      <c r="Z984" s="114"/>
    </row>
    <row r="985">
      <c r="A985" s="114"/>
      <c r="B985" s="114"/>
      <c r="C985" s="114"/>
      <c r="D985" s="114"/>
      <c r="E985" s="114"/>
      <c r="F985" s="114"/>
      <c r="G985" s="114"/>
      <c r="H985" s="114"/>
      <c r="I985" s="114"/>
      <c r="J985" s="114"/>
      <c r="K985" s="114"/>
      <c r="L985" s="114"/>
      <c r="M985" s="114"/>
      <c r="N985" s="114"/>
      <c r="O985" s="114"/>
      <c r="P985" s="114"/>
      <c r="Q985" s="114"/>
      <c r="R985" s="114"/>
      <c r="S985" s="114"/>
      <c r="T985" s="114"/>
      <c r="U985" s="114"/>
      <c r="V985" s="114"/>
      <c r="W985" s="114"/>
      <c r="X985" s="114"/>
      <c r="Y985" s="114"/>
      <c r="Z985" s="114"/>
    </row>
    <row r="986">
      <c r="A986" s="114"/>
      <c r="B986" s="114"/>
      <c r="C986" s="114"/>
      <c r="D986" s="114"/>
      <c r="E986" s="114"/>
      <c r="F986" s="114"/>
      <c r="G986" s="114"/>
      <c r="H986" s="114"/>
      <c r="I986" s="114"/>
      <c r="J986" s="114"/>
      <c r="K986" s="114"/>
      <c r="L986" s="114"/>
      <c r="M986" s="114"/>
      <c r="N986" s="114"/>
      <c r="O986" s="114"/>
      <c r="P986" s="114"/>
      <c r="Q986" s="114"/>
      <c r="R986" s="114"/>
      <c r="S986" s="114"/>
      <c r="T986" s="114"/>
      <c r="U986" s="114"/>
      <c r="V986" s="114"/>
      <c r="W986" s="114"/>
      <c r="X986" s="114"/>
      <c r="Y986" s="114"/>
      <c r="Z986" s="114"/>
    </row>
    <row r="987">
      <c r="A987" s="114"/>
      <c r="B987" s="114"/>
      <c r="C987" s="114"/>
      <c r="D987" s="114"/>
      <c r="E987" s="114"/>
      <c r="F987" s="114"/>
      <c r="G987" s="114"/>
      <c r="H987" s="114"/>
      <c r="I987" s="114"/>
      <c r="J987" s="114"/>
      <c r="K987" s="114"/>
      <c r="L987" s="114"/>
      <c r="M987" s="114"/>
      <c r="N987" s="114"/>
      <c r="O987" s="114"/>
      <c r="P987" s="114"/>
      <c r="Q987" s="114"/>
      <c r="R987" s="114"/>
      <c r="S987" s="114"/>
      <c r="T987" s="114"/>
      <c r="U987" s="114"/>
      <c r="V987" s="114"/>
      <c r="W987" s="114"/>
      <c r="X987" s="114"/>
      <c r="Y987" s="114"/>
      <c r="Z987" s="114"/>
    </row>
    <row r="988">
      <c r="A988" s="114"/>
      <c r="B988" s="114"/>
      <c r="C988" s="114"/>
      <c r="D988" s="114"/>
      <c r="E988" s="114"/>
      <c r="F988" s="114"/>
      <c r="G988" s="114"/>
      <c r="H988" s="114"/>
      <c r="I988" s="114"/>
      <c r="J988" s="114"/>
      <c r="K988" s="114"/>
      <c r="L988" s="114"/>
      <c r="M988" s="114"/>
      <c r="N988" s="114"/>
      <c r="O988" s="114"/>
      <c r="P988" s="114"/>
      <c r="Q988" s="114"/>
      <c r="R988" s="114"/>
      <c r="S988" s="114"/>
      <c r="T988" s="114"/>
      <c r="U988" s="114"/>
      <c r="V988" s="114"/>
      <c r="W988" s="114"/>
      <c r="X988" s="114"/>
      <c r="Y988" s="114"/>
      <c r="Z988" s="114"/>
    </row>
    <row r="989">
      <c r="A989" s="114"/>
      <c r="B989" s="114"/>
      <c r="C989" s="114"/>
      <c r="D989" s="114"/>
      <c r="E989" s="114"/>
      <c r="F989" s="114"/>
      <c r="G989" s="114"/>
      <c r="H989" s="114"/>
      <c r="I989" s="114"/>
      <c r="J989" s="114"/>
      <c r="K989" s="114"/>
      <c r="L989" s="114"/>
      <c r="M989" s="114"/>
      <c r="N989" s="114"/>
      <c r="O989" s="114"/>
      <c r="P989" s="114"/>
      <c r="Q989" s="114"/>
      <c r="R989" s="114"/>
      <c r="S989" s="114"/>
      <c r="T989" s="114"/>
      <c r="U989" s="114"/>
      <c r="V989" s="114"/>
      <c r="W989" s="114"/>
      <c r="X989" s="114"/>
      <c r="Y989" s="114"/>
      <c r="Z989" s="114"/>
    </row>
    <row r="990">
      <c r="A990" s="114"/>
      <c r="B990" s="114"/>
      <c r="C990" s="114"/>
      <c r="D990" s="114"/>
      <c r="E990" s="114"/>
      <c r="F990" s="114"/>
      <c r="G990" s="114"/>
      <c r="H990" s="114"/>
      <c r="I990" s="114"/>
      <c r="J990" s="114"/>
      <c r="K990" s="114"/>
      <c r="L990" s="114"/>
      <c r="M990" s="114"/>
      <c r="N990" s="114"/>
      <c r="O990" s="114"/>
      <c r="P990" s="114"/>
      <c r="Q990" s="114"/>
      <c r="R990" s="114"/>
      <c r="S990" s="114"/>
      <c r="T990" s="114"/>
      <c r="U990" s="114"/>
      <c r="V990" s="114"/>
      <c r="W990" s="114"/>
      <c r="X990" s="114"/>
      <c r="Y990" s="114"/>
      <c r="Z990" s="114"/>
    </row>
    <row r="991">
      <c r="A991" s="114"/>
      <c r="B991" s="114"/>
      <c r="C991" s="114"/>
      <c r="D991" s="114"/>
      <c r="E991" s="114"/>
      <c r="F991" s="114"/>
      <c r="G991" s="114"/>
      <c r="H991" s="114"/>
      <c r="I991" s="114"/>
      <c r="J991" s="114"/>
      <c r="K991" s="114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  <c r="W991" s="114"/>
      <c r="X991" s="114"/>
      <c r="Y991" s="114"/>
      <c r="Z991" s="114"/>
    </row>
    <row r="992">
      <c r="A992" s="114"/>
      <c r="B992" s="114"/>
      <c r="C992" s="114"/>
      <c r="D992" s="114"/>
      <c r="E992" s="114"/>
      <c r="F992" s="114"/>
      <c r="G992" s="114"/>
      <c r="H992" s="114"/>
      <c r="I992" s="114"/>
      <c r="J992" s="114"/>
      <c r="K992" s="114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  <c r="W992" s="114"/>
      <c r="X992" s="114"/>
      <c r="Y992" s="114"/>
      <c r="Z992" s="114"/>
    </row>
    <row r="993">
      <c r="A993" s="114"/>
      <c r="B993" s="114"/>
      <c r="C993" s="114"/>
      <c r="D993" s="114"/>
      <c r="E993" s="114"/>
      <c r="F993" s="114"/>
      <c r="G993" s="114"/>
      <c r="H993" s="114"/>
      <c r="I993" s="114"/>
      <c r="J993" s="114"/>
      <c r="K993" s="114"/>
      <c r="L993" s="114"/>
      <c r="M993" s="114"/>
      <c r="N993" s="114"/>
      <c r="O993" s="114"/>
      <c r="P993" s="114"/>
      <c r="Q993" s="114"/>
      <c r="R993" s="114"/>
      <c r="S993" s="114"/>
      <c r="T993" s="114"/>
      <c r="U993" s="114"/>
      <c r="V993" s="114"/>
      <c r="W993" s="114"/>
      <c r="X993" s="114"/>
      <c r="Y993" s="114"/>
      <c r="Z993" s="114"/>
    </row>
    <row r="994">
      <c r="A994" s="114"/>
      <c r="B994" s="114"/>
      <c r="C994" s="114"/>
      <c r="D994" s="114"/>
      <c r="E994" s="114"/>
      <c r="F994" s="114"/>
      <c r="G994" s="114"/>
      <c r="H994" s="114"/>
      <c r="I994" s="114"/>
      <c r="J994" s="114"/>
      <c r="K994" s="114"/>
      <c r="L994" s="114"/>
      <c r="M994" s="114"/>
      <c r="N994" s="114"/>
      <c r="O994" s="114"/>
      <c r="P994" s="114"/>
      <c r="Q994" s="114"/>
      <c r="R994" s="114"/>
      <c r="S994" s="114"/>
      <c r="T994" s="114"/>
      <c r="U994" s="114"/>
      <c r="V994" s="114"/>
      <c r="W994" s="114"/>
      <c r="X994" s="114"/>
      <c r="Y994" s="114"/>
      <c r="Z994" s="114"/>
    </row>
    <row r="995">
      <c r="A995" s="114"/>
      <c r="B995" s="114"/>
      <c r="C995" s="114"/>
      <c r="D995" s="114"/>
      <c r="E995" s="114"/>
      <c r="F995" s="114"/>
      <c r="G995" s="114"/>
      <c r="H995" s="114"/>
      <c r="I995" s="114"/>
      <c r="J995" s="114"/>
      <c r="K995" s="114"/>
      <c r="L995" s="114"/>
      <c r="M995" s="114"/>
      <c r="N995" s="114"/>
      <c r="O995" s="114"/>
      <c r="P995" s="114"/>
      <c r="Q995" s="114"/>
      <c r="R995" s="114"/>
      <c r="S995" s="114"/>
      <c r="T995" s="114"/>
      <c r="U995" s="114"/>
      <c r="V995" s="114"/>
      <c r="W995" s="114"/>
      <c r="X995" s="114"/>
      <c r="Y995" s="114"/>
      <c r="Z995" s="114"/>
    </row>
    <row r="996">
      <c r="A996" s="114"/>
      <c r="B996" s="114"/>
      <c r="C996" s="114"/>
      <c r="D996" s="114"/>
      <c r="E996" s="114"/>
      <c r="F996" s="114"/>
      <c r="G996" s="114"/>
      <c r="H996" s="114"/>
      <c r="I996" s="114"/>
      <c r="J996" s="114"/>
      <c r="K996" s="114"/>
      <c r="L996" s="114"/>
      <c r="M996" s="114"/>
      <c r="N996" s="114"/>
      <c r="O996" s="114"/>
      <c r="P996" s="114"/>
      <c r="Q996" s="114"/>
      <c r="R996" s="114"/>
      <c r="S996" s="114"/>
      <c r="T996" s="114"/>
      <c r="U996" s="114"/>
      <c r="V996" s="114"/>
      <c r="W996" s="114"/>
      <c r="X996" s="114"/>
      <c r="Y996" s="114"/>
      <c r="Z996" s="114"/>
    </row>
    <row r="997">
      <c r="A997" s="114"/>
      <c r="B997" s="114"/>
      <c r="C997" s="114"/>
      <c r="D997" s="114"/>
      <c r="E997" s="114"/>
      <c r="F997" s="114"/>
      <c r="G997" s="114"/>
      <c r="H997" s="114"/>
      <c r="I997" s="114"/>
      <c r="J997" s="114"/>
      <c r="K997" s="114"/>
      <c r="L997" s="114"/>
      <c r="M997" s="114"/>
      <c r="N997" s="114"/>
      <c r="O997" s="114"/>
      <c r="P997" s="114"/>
      <c r="Q997" s="114"/>
      <c r="R997" s="114"/>
      <c r="S997" s="114"/>
      <c r="T997" s="114"/>
      <c r="U997" s="114"/>
      <c r="V997" s="114"/>
      <c r="W997" s="114"/>
      <c r="X997" s="114"/>
      <c r="Y997" s="114"/>
      <c r="Z997" s="114"/>
    </row>
    <row r="998">
      <c r="A998" s="114"/>
      <c r="B998" s="114"/>
      <c r="C998" s="114"/>
      <c r="D998" s="114"/>
      <c r="E998" s="114"/>
      <c r="F998" s="114"/>
      <c r="G998" s="114"/>
      <c r="H998" s="114"/>
      <c r="I998" s="114"/>
      <c r="J998" s="114"/>
      <c r="K998" s="114"/>
      <c r="L998" s="114"/>
      <c r="M998" s="114"/>
      <c r="N998" s="114"/>
      <c r="O998" s="114"/>
      <c r="P998" s="114"/>
      <c r="Q998" s="114"/>
      <c r="R998" s="114"/>
      <c r="S998" s="114"/>
      <c r="T998" s="114"/>
      <c r="U998" s="114"/>
      <c r="V998" s="114"/>
      <c r="W998" s="114"/>
      <c r="X998" s="114"/>
      <c r="Y998" s="114"/>
      <c r="Z998" s="114"/>
    </row>
    <row r="999">
      <c r="A999" s="114"/>
      <c r="B999" s="114"/>
      <c r="C999" s="114"/>
      <c r="D999" s="114"/>
      <c r="E999" s="114"/>
      <c r="F999" s="114"/>
      <c r="G999" s="114"/>
      <c r="H999" s="114"/>
      <c r="I999" s="114"/>
      <c r="J999" s="114"/>
      <c r="K999" s="114"/>
      <c r="L999" s="114"/>
      <c r="M999" s="114"/>
      <c r="N999" s="114"/>
      <c r="O999" s="114"/>
      <c r="P999" s="114"/>
      <c r="Q999" s="114"/>
      <c r="R999" s="114"/>
      <c r="S999" s="114"/>
      <c r="T999" s="114"/>
      <c r="U999" s="114"/>
      <c r="V999" s="114"/>
      <c r="W999" s="114"/>
      <c r="X999" s="114"/>
      <c r="Y999" s="114"/>
      <c r="Z999" s="114"/>
    </row>
    <row r="1000">
      <c r="A1000" s="114"/>
      <c r="B1000" s="114"/>
      <c r="C1000" s="114"/>
      <c r="D1000" s="114"/>
      <c r="E1000" s="114"/>
      <c r="F1000" s="114"/>
      <c r="G1000" s="114"/>
      <c r="H1000" s="114"/>
      <c r="I1000" s="114"/>
      <c r="J1000" s="114"/>
      <c r="K1000" s="114"/>
      <c r="L1000" s="114"/>
      <c r="M1000" s="114"/>
      <c r="N1000" s="114"/>
      <c r="O1000" s="114"/>
      <c r="P1000" s="114"/>
      <c r="Q1000" s="114"/>
      <c r="R1000" s="114"/>
      <c r="S1000" s="114"/>
      <c r="T1000" s="114"/>
      <c r="U1000" s="114"/>
      <c r="V1000" s="114"/>
      <c r="W1000" s="114"/>
      <c r="X1000" s="114"/>
      <c r="Y1000" s="114"/>
      <c r="Z1000" s="1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20"/>
    </row>
    <row r="3">
      <c r="C3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20"/>
    </row>
    <row r="4">
      <c r="B4" s="121"/>
      <c r="C4" s="121"/>
    </row>
  </sheetData>
  <drawing r:id="rId1"/>
</worksheet>
</file>