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COSTEO " sheetId="2" r:id="rId5"/>
    <sheet state="visible" name="ITINERARIO" sheetId="3" r:id="rId6"/>
    <sheet state="visible" name="CONFIRMACIÓN " sheetId="4" r:id="rId7"/>
    <sheet state="visible" name="VUELO" sheetId="5" r:id="rId8"/>
    <sheet state="visible" name="PROXIMO VIAJE " sheetId="6" r:id="rId9"/>
  </sheets>
  <definedNames/>
  <calcPr/>
  <extLst>
    <ext uri="GoogleSheetsCustomDataVersion2">
      <go:sheetsCustomData xmlns:go="http://customooxmlschemas.google.com/" r:id="rId10" roundtripDataChecksum="eVJIrzbEPuIfjp/JzKHsV7smhCl6Gkat2FqOhe3qh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9">
      <text>
        <t xml:space="preserve">======
ID#AAAB3F06xlg
MEDICAL RESERVAS    (2026-04-07 15:01:33)
Se deja valor cero ya que cliente habia cancelado este examen pero igual se realizo</t>
      </text>
    </comment>
  </commentList>
  <extLst>
    <ext uri="GoogleSheetsCustomDataVersion2">
      <go:sheetsCustomData xmlns:go="http://customooxmlschemas.google.com/" r:id="rId1" roundtripDataSignature="AMtx7mi/RDOInTJZht8PpjqFRNUICKPkDw=="/>
    </ext>
  </extLst>
</comments>
</file>

<file path=xl/sharedStrings.xml><?xml version="1.0" encoding="utf-8"?>
<sst xmlns="http://schemas.openxmlformats.org/spreadsheetml/2006/main" count="351" uniqueCount="195">
  <si>
    <t>Nombre</t>
  </si>
  <si>
    <t>EMMY</t>
  </si>
  <si>
    <t>ASELA</t>
  </si>
  <si>
    <t>Apellido</t>
  </si>
  <si>
    <t>PIETER</t>
  </si>
  <si>
    <t>Género:  .</t>
  </si>
  <si>
    <t>FEMENINO</t>
  </si>
  <si>
    <t>Pasaporte</t>
  </si>
  <si>
    <t>NYJRBCJ54</t>
  </si>
  <si>
    <t>Fecha de nacimiento</t>
  </si>
  <si>
    <t>Edad</t>
  </si>
  <si>
    <t>Estado civil</t>
  </si>
  <si>
    <t>Soltera</t>
  </si>
  <si>
    <t>Dirección</t>
  </si>
  <si>
    <t>CURAZAO</t>
  </si>
  <si>
    <t xml:space="preserve">Nacionalidad  y  domicilio:  </t>
  </si>
  <si>
    <t xml:space="preserve">PAISES BAJOS </t>
  </si>
  <si>
    <t>Email:</t>
  </si>
  <si>
    <t>shuzellempieter@gmail.com</t>
  </si>
  <si>
    <t>Teléfono</t>
  </si>
  <si>
    <t>599 9 529 4094</t>
  </si>
  <si>
    <t xml:space="preserve">Profesión </t>
  </si>
  <si>
    <t>AMA DE CASA</t>
  </si>
  <si>
    <t>RH</t>
  </si>
  <si>
    <t>O+</t>
  </si>
  <si>
    <t>Seguro</t>
  </si>
  <si>
    <t>SVB</t>
  </si>
  <si>
    <t>Peso</t>
  </si>
  <si>
    <t>78 KG</t>
  </si>
  <si>
    <t>Altura</t>
  </si>
  <si>
    <t>Idioma</t>
  </si>
  <si>
    <t>PAPIAMENTO-HOLANES-ESPAÑOL-INGLES</t>
  </si>
  <si>
    <t>Estadia:</t>
  </si>
  <si>
    <t>6-7-8-9-10 Abril</t>
  </si>
  <si>
    <t>AÑO 2025 SE HIZO UNA MAMOGRAFIA EN CURAZAO</t>
  </si>
  <si>
    <t>VIENE POR : CHEQUEO MEDICO</t>
  </si>
  <si>
    <t>VALORACION RODILLLA Y PULMONES</t>
  </si>
  <si>
    <t>SE QUEDARA POR OVIEDO</t>
  </si>
  <si>
    <t>ESTADO DE CUENTA</t>
  </si>
  <si>
    <t>ARCHIVO DE DOCUMENTOS MEDICOS</t>
  </si>
  <si>
    <t>PAGOS  -  FACTURA</t>
  </si>
  <si>
    <t>RESERVAS  Y CONFIRMACION</t>
  </si>
  <si>
    <t xml:space="preserve">PRODUCTO  </t>
  </si>
  <si>
    <t>PROVEEDOR</t>
  </si>
  <si>
    <t>CANTIDAD</t>
  </si>
  <si>
    <t xml:space="preserve">PRECIO UNITARIO </t>
  </si>
  <si>
    <t>EMMY - PRECIO VENTA</t>
  </si>
  <si>
    <t xml:space="preserve">EMMY - VALOR TOTAL </t>
  </si>
  <si>
    <t>RETENCIÓN EN LA FUENTE</t>
  </si>
  <si>
    <t>VALOR DEL PAGO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</si>
  <si>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</si>
  <si>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</si>
  <si>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</si>
  <si>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</si>
  <si>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</si>
  <si>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</si>
  <si>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</si>
  <si>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</si>
  <si>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</si>
  <si>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Póliza de asistencia médica al viajero X 8 días</t>
  </si>
  <si>
    <t>Colasistencia</t>
  </si>
  <si>
    <t>PRE COMPRA</t>
  </si>
  <si>
    <t>DMS 354</t>
  </si>
  <si>
    <t>COMPRADA</t>
  </si>
  <si>
    <t>Sim card física</t>
  </si>
  <si>
    <t>1,00 Unidades</t>
  </si>
  <si>
    <t>$ 3,00</t>
  </si>
  <si>
    <t>RECARGADA</t>
  </si>
  <si>
    <t>Recarga 10 gigas de datos X 7 días</t>
  </si>
  <si>
    <t>$ 7,00</t>
  </si>
  <si>
    <t>CHEQUEO MÉDICO EJECUTIVO PREVENTIVO- MUJER</t>
  </si>
  <si>
    <t>$ 520,00</t>
  </si>
  <si>
    <t>ENTREGADO</t>
  </si>
  <si>
    <t>Fa</t>
  </si>
  <si>
    <t>CIMA</t>
  </si>
  <si>
    <t>LABORATORIOS CLÍNICOS</t>
  </si>
  <si>
    <t>EFECTIVO CAMBIO USD RVA274-1</t>
  </si>
  <si>
    <t>TRANSFERENCIA BANCOLOMBIA</t>
  </si>
  <si>
    <t>Archivado</t>
  </si>
  <si>
    <t>Facturado</t>
  </si>
  <si>
    <t>Confirmado</t>
  </si>
  <si>
    <t>Citologia Cervical</t>
  </si>
  <si>
    <t>Sin Cita</t>
  </si>
  <si>
    <t>Coprológico</t>
  </si>
  <si>
    <t>ECHAVARRIA</t>
  </si>
  <si>
    <t>JURIDICA BANCOLOMBIA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</si>
  <si>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</si>
  <si>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</si>
  <si>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</si>
  <si>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</si>
  <si>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</si>
  <si>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</si>
  <si>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</si>
  <si>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</si>
  <si>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</si>
  <si>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</si>
  <si>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</si>
  <si>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</si>
  <si>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</si>
  <si>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</si>
  <si>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</si>
  <si>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</si>
  <si>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</si>
  <si>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</si>
  <si>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T4L libre</t>
  </si>
  <si>
    <t>TSH</t>
  </si>
  <si>
    <t>Enfermedades de transmisión sexual</t>
  </si>
  <si>
    <t>VDRL serología</t>
  </si>
  <si>
    <t xml:space="preserve">VIH 1 Y 2, Anticuerpos </t>
  </si>
  <si>
    <t>IMÁGENES DIAGNÓSTICAS</t>
  </si>
  <si>
    <t>Radiografía de tórax</t>
  </si>
  <si>
    <t>Electrocardiograma</t>
  </si>
  <si>
    <t>Ecografía de abdomen total</t>
  </si>
  <si>
    <t>Ecografía Mamaria</t>
  </si>
  <si>
    <t>Espirometria</t>
  </si>
  <si>
    <t>Pagado, sin soporte</t>
  </si>
  <si>
    <t>Propina Acompañante Julieth CIMA</t>
  </si>
  <si>
    <t>JULIETH</t>
  </si>
  <si>
    <t>Nequi Personal Jenny</t>
  </si>
  <si>
    <t>Transferencia Bancaria</t>
  </si>
  <si>
    <t>Consulta con especialista en MEDICINA INTERNA</t>
  </si>
  <si>
    <t>Dr Manuel Fernando Dávila</t>
  </si>
  <si>
    <t>Traslados CORTOS Hotel - clínica</t>
  </si>
  <si>
    <t>Andres</t>
  </si>
  <si>
    <t>1 unidad</t>
  </si>
  <si>
    <t>Andrés Cantero</t>
  </si>
  <si>
    <t>Acompañamiento</t>
  </si>
  <si>
    <t xml:space="preserve">Uber Yenny </t>
  </si>
  <si>
    <t>Yenny</t>
  </si>
  <si>
    <t>2 unidad</t>
  </si>
  <si>
    <t>Abril</t>
  </si>
  <si>
    <t>EFECTIVO</t>
  </si>
  <si>
    <t>SE PAGA DEL DEPOSITO DE ABRIL DE $2.100.000</t>
  </si>
  <si>
    <t>Servicios Medical Trip colombia acompañamiento virtual y presencial 6 horas</t>
  </si>
  <si>
    <t>Traslado- Aeropuerto -Hotel en carro diurno conductor de habla español + RECARGO NOCTURNO</t>
  </si>
  <si>
    <t>AEROTUREX</t>
  </si>
  <si>
    <t>2,00 Unidades</t>
  </si>
  <si>
    <t>$ 50,00</t>
  </si>
  <si>
    <t>$ 107,00</t>
  </si>
  <si>
    <t>Total</t>
  </si>
  <si>
    <t>TOTAL PAGADO</t>
  </si>
  <si>
    <t>COBRADO</t>
  </si>
  <si>
    <t>UTILIDAD</t>
  </si>
  <si>
    <t>CONFIRMACIÓN</t>
  </si>
  <si>
    <t>DIRECCIÓN</t>
  </si>
  <si>
    <t>SEDE</t>
  </si>
  <si>
    <t>DIA/HORA</t>
  </si>
  <si>
    <t>FECHAS:  06 - 10 ABRIL - 2026</t>
  </si>
  <si>
    <t>Actividad</t>
  </si>
  <si>
    <t>ACP horas</t>
  </si>
  <si>
    <t>Traslado</t>
  </si>
  <si>
    <t>Directo del pax</t>
  </si>
  <si>
    <t>COPA AIRLINES</t>
  </si>
  <si>
    <t>Vuelo Panama- Medellín</t>
  </si>
  <si>
    <t>Aeroturex</t>
  </si>
  <si>
    <t>02:15 pm</t>
  </si>
  <si>
    <t>Traslado aeropuerto - Hotel</t>
  </si>
  <si>
    <t>Cl. 6 Sur #43 A - 254</t>
  </si>
  <si>
    <t>El Poblado</t>
  </si>
  <si>
    <t>Hotel Alcazar de Oviedo</t>
  </si>
  <si>
    <t>Alojamiento</t>
  </si>
  <si>
    <t>No desayunar  - tomar agua tener vejiga llena</t>
  </si>
  <si>
    <t>Cantero</t>
  </si>
  <si>
    <t>05:30 am</t>
  </si>
  <si>
    <t>Traslado hotel - centro médico</t>
  </si>
  <si>
    <t>Cra 44 # 18-64</t>
  </si>
  <si>
    <t>Ayudas diagnósticas</t>
  </si>
  <si>
    <t>05:45 am</t>
  </si>
  <si>
    <t xml:space="preserve">Exámenes de laboratorios clínicos </t>
  </si>
  <si>
    <t>Citología cervical</t>
  </si>
  <si>
    <t>Tiempo para desayunar</t>
  </si>
  <si>
    <t>Cra 48 # 18A - 126/134</t>
  </si>
  <si>
    <t>Administrativa</t>
  </si>
  <si>
    <t>Uber - Yenny</t>
  </si>
  <si>
    <t>09:30 am</t>
  </si>
  <si>
    <t>Traslado Centro medico- Hotel</t>
  </si>
  <si>
    <t>Resto del día libre</t>
  </si>
  <si>
    <t>Miercoles-08 Abril -Dia Libre</t>
  </si>
  <si>
    <t>Tomar Muestras Materia Fecal y Orina en la mañana</t>
  </si>
  <si>
    <t>Tiempo para almorzar</t>
  </si>
  <si>
    <t>Carrera 48 #1 sur 142</t>
  </si>
  <si>
    <t>las Vegas</t>
  </si>
  <si>
    <t>1:00 pm</t>
  </si>
  <si>
    <t>Entrega de muestras en Laboratorios Echavarria</t>
  </si>
  <si>
    <t>Cl 2 sur   46-55</t>
  </si>
  <si>
    <t>Clínica Las Vegas Consultorio 421 fase 1</t>
  </si>
  <si>
    <t>01:40 PM</t>
  </si>
  <si>
    <t>Desayuno en el hotel</t>
  </si>
  <si>
    <t>2:50 am</t>
  </si>
  <si>
    <t>Traslado hotel - aeropuerto</t>
  </si>
  <si>
    <t>6:25 am</t>
  </si>
  <si>
    <t>Vuelo Medellín - Panama</t>
  </si>
  <si>
    <t>paquete de chequeo medico incluido</t>
  </si>
  <si>
    <t>CITA CON ESPECIALISTA MEDICO INTERNISTA</t>
  </si>
  <si>
    <t>6 de Marzo al 10 de 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</si>
</sst>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d/m/yyyy"/>
    <numFmt numFmtId="166" formatCode="dd-mm-yyyy"/>
    <numFmt numFmtId="167" formatCode="[$cop]#,##0"/>
    <numFmt numFmtId="168" formatCode="d/MM/yyyy"/>
    <numFmt numFmtId="169" formatCode="&quot;$&quot;#,##0"/>
    <numFmt numFmtId="170" formatCode="dd-mm-yy"/>
    <numFmt numFmtId="171" formatCode="&quot;$&quot;#,##0.00"/>
    <numFmt numFmtId="172" formatCode="[$ $]#,##0"/>
    <numFmt numFmtId="173" formatCode="dddd dd mmmm"/>
    <numFmt numFmtId="174" formatCode="dd mmmm"/>
    <numFmt numFmtId="175" formatCode="dddd d mmmm"/>
  </numFmts>
  <fonts count="2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sz val="8.0"/>
      <color theme="1"/>
      <name val="Lexend"/>
    </font>
    <font>
      <b/>
      <sz val="8.0"/>
      <color rgb="FFFFFFFF"/>
      <name val="Lexend"/>
    </font>
    <font>
      <b/>
      <color rgb="FFFFFFFF"/>
      <name val="Lexend"/>
    </font>
    <font>
      <b/>
      <sz val="10.0"/>
      <color theme="1"/>
      <name val="Lexend"/>
    </font>
    <font>
      <sz val="10.0"/>
      <color rgb="FF212529"/>
      <name val="Lexend"/>
    </font>
    <font>
      <b/>
      <sz val="10.0"/>
      <color rgb="FF212529"/>
      <name val="Lexend"/>
    </font>
    <font>
      <sz val="10.0"/>
      <color rgb="FF000000"/>
      <name val="Lexend"/>
    </font>
    <font>
      <b/>
      <sz val="10.0"/>
      <color rgb="FFFFFFFF"/>
      <name val="Lexend"/>
    </font>
    <font>
      <sz val="10.0"/>
      <color rgb="FFFFFFFF"/>
      <name val="Lexend"/>
    </font>
    <font>
      <b/>
      <sz val="10.0"/>
      <color rgb="FF000000"/>
      <name val="Lexend"/>
    </font>
    <font>
      <color rgb="FF000000"/>
      <name val="Lexend"/>
    </font>
    <font>
      <color theme="1"/>
      <name val="Lexend"/>
    </font>
    <font>
      <b/>
      <color theme="1"/>
      <name val="Lexend"/>
    </font>
    <font>
      <b/>
      <sz val="11.0"/>
      <color rgb="FF1F1F1F"/>
      <name val="Arial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3" fillId="5" fontId="9" numFmtId="167" xfId="0" applyAlignment="1" applyBorder="1" applyFill="1" applyFont="1" applyNumberFormat="1">
      <alignment horizontal="center" shrinkToFit="0" vertical="center" wrapText="1"/>
    </xf>
    <xf borderId="3" fillId="5" fontId="9" numFmtId="168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2" fillId="7" fontId="11" numFmtId="0" xfId="0" applyAlignment="1" applyBorder="1" applyFont="1">
      <alignment horizontal="center" readingOrder="0" shrinkToFit="0" vertical="center" wrapText="1"/>
    </xf>
    <xf borderId="2" fillId="7" fontId="11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0" fillId="8" fontId="6" numFmtId="169" xfId="0" applyAlignment="1" applyFill="1" applyFont="1" applyNumberFormat="1">
      <alignment horizontal="center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ont="1">
      <alignment horizontal="center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8" fontId="6" numFmtId="169" xfId="0" applyAlignment="1" applyFont="1" applyNumberFormat="1">
      <alignment horizontal="center" readingOrder="0" shrinkToFit="0" vertical="center" wrapText="1"/>
    </xf>
    <xf borderId="4" fillId="10" fontId="10" numFmtId="0" xfId="0" applyAlignment="1" applyBorder="1" applyFont="1">
      <alignment horizontal="center" readingOrder="0" shrinkToFit="0" vertical="center" wrapText="1"/>
    </xf>
    <xf borderId="0" fillId="8" fontId="10" numFmtId="0" xfId="0" applyAlignment="1" applyFont="1">
      <alignment horizontal="center" shrinkToFit="0" vertical="center" wrapText="1"/>
    </xf>
    <xf borderId="0" fillId="8" fontId="6" numFmtId="0" xfId="0" applyAlignment="1" applyFont="1">
      <alignment horizontal="center" shrinkToFit="0" vertical="center" wrapText="1"/>
    </xf>
    <xf borderId="0" fillId="8" fontId="6" numFmtId="167" xfId="0" applyAlignment="1" applyFont="1" applyNumberFormat="1">
      <alignment horizontal="center" shrinkToFit="0" vertical="center" wrapText="1"/>
    </xf>
    <xf borderId="4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0" fillId="8" fontId="6" numFmtId="169" xfId="0" applyAlignment="1" applyFont="1" applyNumberFormat="1">
      <alignment horizontal="center" readingOrder="0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readingOrder="0" shrinkToFit="0" vertical="center" wrapText="1"/>
    </xf>
    <xf borderId="0" fillId="3" fontId="6" numFmtId="170" xfId="0" applyAlignment="1" applyFont="1" applyNumberFormat="1">
      <alignment horizontal="center" readingOrder="0" shrinkToFit="0" vertical="center" wrapText="1"/>
    </xf>
    <xf borderId="0" fillId="3" fontId="6" numFmtId="169" xfId="0" applyAlignment="1" applyFont="1" applyNumberFormat="1">
      <alignment horizontal="center" readingOrder="0" shrinkToFit="0" vertical="center" wrapText="1"/>
    </xf>
    <xf borderId="0" fillId="9" fontId="10" numFmtId="0" xfId="0" applyAlignment="1" applyFont="1">
      <alignment horizontal="center" shrinkToFit="0" vertical="center" wrapText="1"/>
    </xf>
    <xf borderId="0" fillId="9" fontId="6" numFmtId="167" xfId="0" applyAlignment="1" applyFont="1" applyNumberForma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readingOrder="0" shrinkToFit="0" vertical="center" wrapText="1"/>
    </xf>
    <xf borderId="0" fillId="3" fontId="6" numFmtId="16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4" fillId="7" fontId="6" numFmtId="0" xfId="0" applyAlignment="1" applyBorder="1" applyFont="1">
      <alignment horizontal="center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1" fontId="6" numFmtId="171" xfId="0" applyAlignment="1" applyBorder="1" applyFont="1" applyNumberFormat="1">
      <alignment horizontal="center" vertical="center"/>
    </xf>
    <xf borderId="4" fillId="7" fontId="6" numFmtId="172" xfId="0" applyAlignment="1" applyBorder="1" applyFont="1" applyNumberFormat="1">
      <alignment horizontal="center" vertical="center"/>
    </xf>
    <xf borderId="4" fillId="13" fontId="10" numFmtId="0" xfId="0" applyAlignment="1" applyBorder="1" applyFill="1" applyFont="1">
      <alignment horizontal="center" readingOrder="0" shrinkToFit="0" vertical="center" wrapText="1"/>
    </xf>
    <xf borderId="0" fillId="3" fontId="6" numFmtId="169" xfId="0" applyAlignment="1" applyFont="1" applyNumberFormat="1">
      <alignment horizontal="center" readingOrder="0" shrinkToFit="0" vertical="center" wrapText="1"/>
    </xf>
    <xf borderId="4" fillId="6" fontId="10" numFmtId="0" xfId="0" applyAlignment="1" applyBorder="1" applyFont="1">
      <alignment horizontal="center" readingOrder="0" shrinkToFit="0" vertical="center" wrapText="1"/>
    </xf>
    <xf borderId="4" fillId="7" fontId="11" numFmtId="0" xfId="0" applyAlignment="1" applyBorder="1" applyFont="1">
      <alignment horizontal="center" readingOrder="0" shrinkToFit="0" vertical="center" wrapText="1"/>
    </xf>
    <xf borderId="4" fillId="7" fontId="12" numFmtId="0" xfId="0" applyAlignment="1" applyBorder="1" applyFont="1">
      <alignment horizontal="center" readingOrder="0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0" fillId="8" fontId="6" numFmtId="169" xfId="0" applyAlignment="1" applyFont="1" applyNumberFormat="1">
      <alignment horizontal="center" shrinkToFit="0" vertical="center" wrapText="1"/>
    </xf>
    <xf borderId="4" fillId="6" fontId="11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vertical="center"/>
    </xf>
    <xf borderId="0" fillId="8" fontId="10" numFmtId="169" xfId="0" applyAlignment="1" applyFont="1" applyNumberFormat="1">
      <alignment horizontal="center" shrinkToFit="0" vertical="center" wrapText="1"/>
    </xf>
    <xf borderId="0" fillId="8" fontId="10" numFmtId="169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center" vertical="center"/>
    </xf>
    <xf borderId="0" fillId="3" fontId="6" numFmtId="169" xfId="0" applyAlignment="1" applyFont="1" applyNumberForma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14" fontId="10" numFmtId="169" xfId="0" applyAlignment="1" applyFill="1" applyFont="1" applyNumberFormat="1">
      <alignment horizontal="center" vertical="center"/>
    </xf>
    <xf borderId="0" fillId="14" fontId="10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4" fillId="4" fontId="14" numFmtId="0" xfId="0" applyAlignment="1" applyBorder="1" applyFont="1">
      <alignment horizontal="center" vertical="center"/>
    </xf>
    <xf borderId="4" fillId="4" fontId="15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vertical="center"/>
    </xf>
    <xf borderId="4" fillId="4" fontId="16" numFmtId="0" xfId="0" applyAlignment="1" applyBorder="1" applyFont="1">
      <alignment horizontal="center" vertical="center"/>
    </xf>
    <xf borderId="4" fillId="14" fontId="16" numFmtId="0" xfId="0" applyAlignment="1" applyBorder="1" applyFont="1">
      <alignment horizontal="center" shrinkToFit="0" vertical="center" wrapText="1"/>
    </xf>
    <xf borderId="4" fillId="14" fontId="16" numFmtId="0" xfId="0" applyAlignment="1" applyBorder="1" applyFont="1">
      <alignment horizontal="center" vertical="center"/>
    </xf>
    <xf borderId="5" fillId="14" fontId="16" numFmtId="0" xfId="0" applyAlignment="1" applyBorder="1" applyFont="1">
      <alignment horizontal="center" shrinkToFit="0" vertical="center" wrapText="1"/>
    </xf>
    <xf borderId="4" fillId="14" fontId="13" numFmtId="0" xfId="0" applyAlignment="1" applyBorder="1" applyFont="1">
      <alignment horizontal="center" readingOrder="0" shrinkToFit="0" vertical="center" wrapText="1"/>
    </xf>
    <xf borderId="4" fillId="14" fontId="16" numFmtId="173" xfId="0" applyAlignment="1" applyBorder="1" applyFont="1" applyNumberFormat="1">
      <alignment horizontal="center" readingOrder="0" vertical="center"/>
    </xf>
    <xf borderId="4" fillId="14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74" xfId="0" applyAlignment="1" applyBorder="1" applyFont="1" applyNumberFormat="1">
      <alignment horizontal="center" vertical="center"/>
    </xf>
    <xf borderId="4" fillId="6" fontId="13" numFmtId="0" xfId="0" applyAlignment="1" applyBorder="1" applyFont="1">
      <alignment horizontal="center" readingOrder="0" shrinkToFit="0" vertical="center" wrapText="1"/>
    </xf>
    <xf borderId="4" fillId="15" fontId="13" numFmtId="0" xfId="0" applyAlignment="1" applyBorder="1" applyFill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14" fontId="13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7" fontId="13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center" vertical="center"/>
    </xf>
    <xf borderId="4" fillId="3" fontId="16" numFmtId="0" xfId="0" applyAlignment="1" applyBorder="1" applyFont="1">
      <alignment horizontal="center" readingOrder="0" shrinkToFit="0" vertical="center" wrapText="1"/>
    </xf>
    <xf borderId="4" fillId="15" fontId="13" numFmtId="0" xfId="0" applyAlignment="1" applyBorder="1" applyFont="1">
      <alignment horizontal="center" readingOrder="0" vertical="center"/>
    </xf>
    <xf borderId="4" fillId="14" fontId="16" numFmtId="0" xfId="0" applyAlignment="1" applyBorder="1" applyFont="1">
      <alignment horizontal="center" readingOrder="0" vertical="center"/>
    </xf>
    <xf borderId="0" fillId="3" fontId="17" numFmtId="0" xfId="0" applyAlignment="1" applyFont="1">
      <alignment readingOrder="0"/>
    </xf>
    <xf borderId="4" fillId="16" fontId="13" numFmtId="0" xfId="0" applyAlignment="1" applyBorder="1" applyFill="1" applyFont="1">
      <alignment horizontal="center" readingOrder="0" vertical="center"/>
    </xf>
    <xf borderId="4" fillId="14" fontId="16" numFmtId="175" xfId="0" applyAlignment="1" applyBorder="1" applyFont="1" applyNumberFormat="1">
      <alignment horizontal="center" readingOrder="0" vertical="center"/>
    </xf>
    <xf borderId="0" fillId="3" fontId="13" numFmtId="0" xfId="0" applyAlignment="1" applyFont="1">
      <alignment horizontal="center" shrinkToFit="0" vertical="center" wrapText="1"/>
    </xf>
    <xf borderId="0" fillId="3" fontId="16" numFmtId="0" xfId="0" applyAlignment="1" applyFont="1">
      <alignment horizontal="center" vertical="center"/>
    </xf>
    <xf borderId="0" fillId="14" fontId="13" numFmtId="0" xfId="0" applyAlignment="1" applyFont="1">
      <alignment horizontal="center" readingOrder="0" vertical="center"/>
    </xf>
    <xf borderId="0" fillId="14" fontId="13" numFmtId="0" xfId="0" applyAlignment="1" applyFont="1">
      <alignment horizontal="center" vertical="center"/>
    </xf>
    <xf borderId="0" fillId="3" fontId="16" numFmtId="0" xfId="0" applyAlignment="1" applyFont="1">
      <alignment horizontal="center" shrinkToFit="0" vertical="center" wrapText="1"/>
    </xf>
    <xf borderId="0" fillId="3" fontId="13" numFmtId="174" xfId="0" applyAlignment="1" applyFont="1" applyNumberFormat="1">
      <alignment horizontal="center" vertical="center"/>
    </xf>
    <xf borderId="0" fillId="0" fontId="18" numFmtId="0" xfId="0" applyFont="1"/>
    <xf borderId="0" fillId="3" fontId="18" numFmtId="0" xfId="0" applyFont="1"/>
    <xf borderId="0" fillId="17" fontId="19" numFmtId="0" xfId="0" applyAlignment="1" applyFill="1" applyFont="1">
      <alignment readingOrder="0"/>
    </xf>
    <xf borderId="0" fillId="17" fontId="18" numFmtId="0" xfId="0" applyFont="1"/>
    <xf borderId="0" fillId="3" fontId="19" numFmtId="0" xfId="0" applyFont="1"/>
    <xf borderId="0" fillId="3" fontId="20" numFmtId="0" xfId="0" applyFont="1"/>
    <xf borderId="0" fillId="0" fontId="21" numFmtId="0" xfId="0" applyFont="1"/>
    <xf borderId="0" fillId="0" fontId="1" numFmtId="0" xfId="0" applyAlignment="1" applyFont="1">
      <alignment readingOrder="0"/>
    </xf>
    <xf borderId="0" fillId="17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-9525</xdr:rowOff>
    </xdr:from>
    <xdr:ext cx="4991100" cy="3933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4876800" cy="34194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3</xdr:row>
      <xdr:rowOff>66675</xdr:rowOff>
    </xdr:from>
    <xdr:ext cx="12001500" cy="630555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/>
      <c r="E18" s="1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4" t="s">
        <v>2</v>
      </c>
      <c r="C19" s="2"/>
      <c r="D19" s="1"/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3</v>
      </c>
      <c r="B20" s="4" t="s">
        <v>4</v>
      </c>
      <c r="C20" s="2"/>
      <c r="D20" s="1"/>
      <c r="E20" s="1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5</v>
      </c>
      <c r="B21" s="4" t="s">
        <v>6</v>
      </c>
      <c r="C21" s="2"/>
      <c r="D21" s="1"/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7</v>
      </c>
      <c r="B22" s="5" t="s">
        <v>8</v>
      </c>
      <c r="C22" s="2"/>
      <c r="D22" s="1"/>
      <c r="E22" s="1"/>
      <c r="F22" s="2"/>
      <c r="G22" s="3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9</v>
      </c>
      <c r="B23" s="6">
        <v>21888.0</v>
      </c>
      <c r="C23" s="2"/>
      <c r="D23" s="1"/>
      <c r="E23" s="7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10</v>
      </c>
      <c r="B24" s="4">
        <v>67.0</v>
      </c>
      <c r="C24" s="2"/>
      <c r="D24" s="1"/>
      <c r="E24" s="1"/>
      <c r="F24" s="2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11</v>
      </c>
      <c r="B25" s="4" t="s">
        <v>12</v>
      </c>
      <c r="C25" s="2"/>
      <c r="D25" s="1"/>
      <c r="E25" s="1"/>
      <c r="F25" s="2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13</v>
      </c>
      <c r="B26" s="4" t="s">
        <v>14</v>
      </c>
      <c r="C26" s="2"/>
      <c r="D26" s="1"/>
      <c r="E26" s="1"/>
      <c r="F26" s="2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15</v>
      </c>
      <c r="B27" s="4" t="s">
        <v>16</v>
      </c>
      <c r="C27" s="2"/>
      <c r="D27" s="1"/>
      <c r="E27" s="1"/>
      <c r="F27" s="2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17</v>
      </c>
      <c r="B28" s="4" t="s">
        <v>18</v>
      </c>
      <c r="C28" s="2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19</v>
      </c>
      <c r="B29" s="4" t="s">
        <v>20</v>
      </c>
      <c r="C29" s="2"/>
      <c r="D29" s="1"/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21</v>
      </c>
      <c r="B30" s="4" t="s">
        <v>22</v>
      </c>
      <c r="C30" s="2"/>
      <c r="D30" s="1"/>
      <c r="E30" s="1"/>
      <c r="F30" s="2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23</v>
      </c>
      <c r="B31" s="4" t="s">
        <v>24</v>
      </c>
      <c r="C31" s="2"/>
      <c r="D31" s="1"/>
      <c r="E31" s="1"/>
      <c r="F31" s="2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25</v>
      </c>
      <c r="B32" s="4" t="s">
        <v>26</v>
      </c>
      <c r="C32" s="2"/>
      <c r="D32" s="1"/>
      <c r="E32" s="1"/>
      <c r="F32" s="2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27</v>
      </c>
      <c r="B33" s="4" t="s">
        <v>28</v>
      </c>
      <c r="C33" s="2"/>
      <c r="D33" s="1"/>
      <c r="E33" s="1"/>
      <c r="F33" s="2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29</v>
      </c>
      <c r="B34" s="4">
        <v>1.59</v>
      </c>
      <c r="C34" s="2"/>
      <c r="D34" s="1"/>
      <c r="E34" s="1"/>
      <c r="F34" s="2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30</v>
      </c>
      <c r="B35" s="4" t="s">
        <v>31</v>
      </c>
      <c r="C35" s="2"/>
      <c r="D35" s="1"/>
      <c r="E35" s="1"/>
      <c r="F35" s="2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0" t="s">
        <v>32</v>
      </c>
      <c r="B36" s="4" t="s">
        <v>33</v>
      </c>
      <c r="C36" s="2"/>
      <c r="D36" s="1"/>
      <c r="E36" s="1"/>
      <c r="F36" s="2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1"/>
      <c r="C37" s="2"/>
      <c r="D37" s="1"/>
      <c r="E37" s="1"/>
      <c r="F37" s="2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4" t="s">
        <v>34</v>
      </c>
      <c r="B38" s="1"/>
      <c r="C38" s="2"/>
      <c r="D38" s="1"/>
      <c r="E38" s="1"/>
      <c r="F38" s="2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4" t="s">
        <v>35</v>
      </c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4" t="s">
        <v>36</v>
      </c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4" t="s">
        <v>37</v>
      </c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5"/>
    <col customWidth="1" min="2" max="2" width="13.63"/>
    <col customWidth="1" min="3" max="3" width="15.13"/>
    <col customWidth="1" min="4" max="4" width="15.75"/>
    <col customWidth="1" min="5" max="5" width="45.13"/>
    <col customWidth="1" min="6" max="6" width="17.63"/>
    <col customWidth="1" min="7" max="7" width="16.38"/>
    <col customWidth="1" min="8" max="8" width="12.13"/>
    <col customWidth="1" min="9" max="9" width="11.5"/>
    <col customWidth="1" min="10" max="10" width="2.38"/>
    <col customWidth="1" min="11" max="11" width="13.38"/>
    <col customWidth="1" min="12" max="12" width="13.5"/>
    <col customWidth="1" min="13" max="13" width="15.13"/>
    <col customWidth="1" min="14" max="14" width="1.38"/>
    <col customWidth="1" min="15" max="15" width="25.0"/>
    <col customWidth="1" min="16" max="17" width="11.5"/>
    <col customWidth="1" min="18" max="18" width="18.63"/>
    <col customWidth="1" min="19" max="19" width="18.38"/>
    <col customWidth="1" min="20" max="20" width="14.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3" t="s">
        <v>38</v>
      </c>
      <c r="L1" s="12"/>
      <c r="M1" s="12"/>
      <c r="N1" s="14"/>
      <c r="O1" s="14"/>
      <c r="P1" s="14"/>
      <c r="Q1" s="14"/>
      <c r="R1" s="14"/>
      <c r="S1" s="14"/>
      <c r="T1" s="14"/>
    </row>
    <row r="2" ht="36.0" customHeight="1">
      <c r="A2" s="15"/>
      <c r="B2" s="16" t="s">
        <v>39</v>
      </c>
      <c r="C2" s="17" t="s">
        <v>40</v>
      </c>
      <c r="D2" s="17" t="s">
        <v>41</v>
      </c>
      <c r="E2" s="18" t="s">
        <v>42</v>
      </c>
      <c r="F2" s="19" t="s">
        <v>43</v>
      </c>
      <c r="G2" s="18" t="s">
        <v>44</v>
      </c>
      <c r="H2" s="17" t="s">
        <v>45</v>
      </c>
      <c r="I2" s="16" t="s">
        <v>46</v>
      </c>
      <c r="J2" s="15"/>
      <c r="K2" s="16" t="s">
        <v>47</v>
      </c>
      <c r="L2" s="18" t="s">
        <v>48</v>
      </c>
      <c r="M2" s="19" t="s">
        <v>49</v>
      </c>
      <c r="N2" s="20"/>
      <c r="O2" s="21" t="s">
        <v>50</v>
      </c>
      <c r="P2" s="22" t="s">
        <v>51</v>
      </c>
      <c r="Q2" s="22" t="s">
        <v>52</v>
      </c>
      <c r="R2" s="22" t="s">
        <v>53</v>
      </c>
      <c r="S2" s="22" t="s">
        <v>54</v>
      </c>
      <c r="T2" s="22" t="s">
        <v>55</v>
      </c>
    </row>
    <row r="3">
      <c r="A3" s="12"/>
      <c r="B3" s="23" t="s">
        <v>56</v>
      </c>
      <c r="C3" s="23" t="s">
        <v>57</v>
      </c>
      <c r="D3" s="23" t="s">
        <v>58</v>
      </c>
      <c r="E3" s="24" t="s">
        <v>59</v>
      </c>
      <c r="F3" s="25" t="s">
        <v>60</v>
      </c>
      <c r="G3" s="26"/>
      <c r="H3" s="26"/>
      <c r="I3" s="27"/>
      <c r="J3" s="14"/>
      <c r="K3" s="28">
        <f>2750*8</f>
        <v>22000</v>
      </c>
      <c r="L3" s="28">
        <v>0.0</v>
      </c>
      <c r="M3" s="28">
        <f t="shared" ref="M3:M5" si="1">K3-L3</f>
        <v>22000</v>
      </c>
      <c r="N3" s="14"/>
      <c r="O3" s="29" t="s">
        <v>61</v>
      </c>
      <c r="P3" s="30"/>
      <c r="Q3" s="30"/>
      <c r="R3" s="30"/>
      <c r="S3" s="30"/>
      <c r="T3" s="30"/>
    </row>
    <row r="4" ht="15.75" customHeight="1">
      <c r="A4" s="12"/>
      <c r="B4" s="31"/>
      <c r="C4" s="32" t="s">
        <v>62</v>
      </c>
      <c r="D4" s="23" t="s">
        <v>63</v>
      </c>
      <c r="E4" s="33" t="s">
        <v>64</v>
      </c>
      <c r="F4" s="33"/>
      <c r="G4" s="34" t="s">
        <v>65</v>
      </c>
      <c r="H4" s="34" t="s">
        <v>66</v>
      </c>
      <c r="I4" s="35" t="s">
        <v>66</v>
      </c>
      <c r="J4" s="14"/>
      <c r="K4" s="36">
        <v>4000.0</v>
      </c>
      <c r="L4" s="28">
        <v>0.0</v>
      </c>
      <c r="M4" s="28">
        <f t="shared" si="1"/>
        <v>4000</v>
      </c>
      <c r="N4" s="14"/>
      <c r="O4" s="29"/>
      <c r="P4" s="29"/>
      <c r="Q4" s="29"/>
      <c r="R4" s="29"/>
      <c r="S4" s="29"/>
      <c r="T4" s="29"/>
    </row>
    <row r="5" ht="15.75" customHeight="1">
      <c r="A5" s="12"/>
      <c r="B5" s="31"/>
      <c r="C5" s="32" t="s">
        <v>62</v>
      </c>
      <c r="D5" s="23" t="s">
        <v>67</v>
      </c>
      <c r="E5" s="33" t="s">
        <v>68</v>
      </c>
      <c r="F5" s="33"/>
      <c r="G5" s="34" t="s">
        <v>65</v>
      </c>
      <c r="H5" s="34" t="s">
        <v>69</v>
      </c>
      <c r="I5" s="35" t="s">
        <v>69</v>
      </c>
      <c r="J5" s="14"/>
      <c r="K5" s="36">
        <v>13000.0</v>
      </c>
      <c r="L5" s="28">
        <v>0.0</v>
      </c>
      <c r="M5" s="28">
        <f t="shared" si="1"/>
        <v>13000</v>
      </c>
      <c r="N5" s="14"/>
      <c r="O5" s="29"/>
      <c r="P5" s="29"/>
      <c r="Q5" s="29"/>
      <c r="R5" s="29"/>
      <c r="S5" s="29"/>
      <c r="T5" s="29"/>
    </row>
    <row r="6">
      <c r="A6" s="12"/>
      <c r="B6" s="31"/>
      <c r="C6" s="31"/>
      <c r="D6" s="37"/>
      <c r="E6" s="33" t="s">
        <v>70</v>
      </c>
      <c r="F6" s="33"/>
      <c r="G6" s="34" t="s">
        <v>65</v>
      </c>
      <c r="H6" s="34" t="s">
        <v>71</v>
      </c>
      <c r="I6" s="35" t="s">
        <v>71</v>
      </c>
      <c r="J6" s="14"/>
      <c r="K6" s="38"/>
      <c r="L6" s="39"/>
      <c r="M6" s="40"/>
      <c r="N6" s="14"/>
      <c r="O6" s="14"/>
      <c r="P6" s="14"/>
      <c r="Q6" s="14"/>
      <c r="R6" s="14"/>
      <c r="S6" s="14"/>
      <c r="T6" s="14"/>
    </row>
    <row r="7">
      <c r="A7" s="12"/>
      <c r="B7" s="31"/>
      <c r="C7" s="31"/>
      <c r="D7" s="23" t="s">
        <v>72</v>
      </c>
      <c r="E7" s="24" t="s">
        <v>73</v>
      </c>
      <c r="F7" s="24" t="s">
        <v>74</v>
      </c>
      <c r="G7" s="41"/>
      <c r="H7" s="41"/>
      <c r="I7" s="42"/>
      <c r="J7" s="14"/>
      <c r="K7" s="43">
        <v>2000.0</v>
      </c>
      <c r="L7" s="28">
        <v>0.0</v>
      </c>
      <c r="M7" s="28">
        <f t="shared" ref="M7:M8" si="2">K7-L7</f>
        <v>2000</v>
      </c>
      <c r="N7" s="14"/>
      <c r="O7" s="14"/>
      <c r="P7" s="14"/>
      <c r="Q7" s="14"/>
      <c r="R7" s="14"/>
      <c r="S7" s="14"/>
      <c r="T7" s="14"/>
    </row>
    <row r="8">
      <c r="A8" s="12"/>
      <c r="B8" s="31"/>
      <c r="C8" s="31"/>
      <c r="D8" s="37"/>
      <c r="E8" s="44" t="s">
        <v>75</v>
      </c>
      <c r="F8" s="45"/>
      <c r="G8" s="45"/>
      <c r="H8" s="45"/>
      <c r="I8" s="46"/>
      <c r="J8" s="14"/>
      <c r="K8" s="43">
        <v>633150.0</v>
      </c>
      <c r="L8" s="28">
        <f>K8*2%</f>
        <v>12663</v>
      </c>
      <c r="M8" s="28">
        <f t="shared" si="2"/>
        <v>620487</v>
      </c>
      <c r="N8" s="14"/>
      <c r="O8" s="47" t="s">
        <v>74</v>
      </c>
      <c r="P8" s="48">
        <v>46119.0</v>
      </c>
      <c r="Q8" s="49">
        <v>2000000.0</v>
      </c>
      <c r="R8" s="47" t="s">
        <v>76</v>
      </c>
      <c r="S8" s="47" t="s">
        <v>77</v>
      </c>
      <c r="T8" s="14"/>
    </row>
    <row r="9">
      <c r="A9" s="12"/>
      <c r="B9" s="23" t="s">
        <v>78</v>
      </c>
      <c r="C9" s="23" t="s">
        <v>79</v>
      </c>
      <c r="D9" s="23" t="s">
        <v>80</v>
      </c>
      <c r="E9" s="24" t="s">
        <v>81</v>
      </c>
      <c r="F9" s="24" t="s">
        <v>74</v>
      </c>
      <c r="G9" s="41"/>
      <c r="H9" s="41"/>
      <c r="I9" s="42"/>
      <c r="J9" s="14"/>
      <c r="K9" s="50"/>
      <c r="L9" s="30"/>
      <c r="M9" s="51"/>
      <c r="N9" s="14"/>
      <c r="O9" s="51"/>
      <c r="P9" s="51"/>
      <c r="Q9" s="51"/>
      <c r="R9" s="51"/>
      <c r="S9" s="51"/>
      <c r="T9" s="14"/>
    </row>
    <row r="10">
      <c r="A10" s="12"/>
      <c r="B10" s="23" t="s">
        <v>78</v>
      </c>
      <c r="C10" s="23" t="s">
        <v>79</v>
      </c>
      <c r="D10" s="23" t="s">
        <v>82</v>
      </c>
      <c r="E10" s="52" t="s">
        <v>83</v>
      </c>
      <c r="F10" s="53" t="s">
        <v>84</v>
      </c>
      <c r="G10" s="41"/>
      <c r="H10" s="41"/>
      <c r="I10" s="42"/>
      <c r="J10" s="14"/>
      <c r="K10" s="43">
        <v>5390.0</v>
      </c>
      <c r="L10" s="28">
        <v>0.0</v>
      </c>
      <c r="M10" s="43">
        <v>5390.0</v>
      </c>
      <c r="N10" s="14"/>
      <c r="O10" s="47" t="s">
        <v>84</v>
      </c>
      <c r="P10" s="48">
        <v>46119.0</v>
      </c>
      <c r="Q10" s="54">
        <f>M10</f>
        <v>5390</v>
      </c>
      <c r="R10" s="47" t="s">
        <v>85</v>
      </c>
      <c r="S10" s="47" t="s">
        <v>77</v>
      </c>
      <c r="T10" s="14"/>
    </row>
    <row r="11">
      <c r="A11" s="12"/>
      <c r="B11" s="23" t="s">
        <v>78</v>
      </c>
      <c r="C11" s="23" t="s">
        <v>79</v>
      </c>
      <c r="D11" s="23" t="s">
        <v>80</v>
      </c>
      <c r="E11" s="52" t="s">
        <v>86</v>
      </c>
      <c r="F11" s="24" t="s">
        <v>74</v>
      </c>
      <c r="G11" s="41"/>
      <c r="H11" s="41"/>
      <c r="I11" s="42"/>
      <c r="J11" s="14"/>
      <c r="K11" s="50"/>
      <c r="L11" s="30"/>
      <c r="M11" s="51"/>
      <c r="N11" s="14"/>
      <c r="O11" s="50"/>
      <c r="P11" s="30"/>
      <c r="Q11" s="51"/>
      <c r="R11" s="50"/>
      <c r="S11" s="30"/>
      <c r="T11" s="51"/>
    </row>
    <row r="12">
      <c r="A12" s="12"/>
      <c r="B12" s="31"/>
      <c r="C12" s="31"/>
      <c r="D12" s="37"/>
      <c r="E12" s="44" t="s">
        <v>87</v>
      </c>
      <c r="F12" s="45"/>
      <c r="G12" s="45"/>
      <c r="H12" s="45"/>
      <c r="I12" s="46"/>
      <c r="J12" s="14"/>
      <c r="K12" s="50"/>
      <c r="L12" s="30"/>
      <c r="M12" s="51"/>
      <c r="N12" s="14"/>
      <c r="O12" s="50"/>
      <c r="P12" s="30"/>
      <c r="Q12" s="51"/>
      <c r="R12" s="50"/>
      <c r="S12" s="30"/>
      <c r="T12" s="51"/>
    </row>
    <row r="13">
      <c r="A13" s="12"/>
      <c r="B13" s="23" t="s">
        <v>78</v>
      </c>
      <c r="C13" s="23" t="s">
        <v>79</v>
      </c>
      <c r="D13" s="23" t="s">
        <v>80</v>
      </c>
      <c r="E13" s="52" t="s">
        <v>88</v>
      </c>
      <c r="F13" s="24" t="s">
        <v>74</v>
      </c>
      <c r="G13" s="41"/>
      <c r="H13" s="41"/>
      <c r="I13" s="42"/>
      <c r="J13" s="14"/>
      <c r="K13" s="50"/>
      <c r="L13" s="30"/>
      <c r="M13" s="51"/>
      <c r="N13" s="14"/>
      <c r="O13" s="50"/>
      <c r="P13" s="30"/>
      <c r="Q13" s="51"/>
      <c r="R13" s="50"/>
      <c r="S13" s="30"/>
      <c r="T13" s="51"/>
    </row>
    <row r="14">
      <c r="A14" s="12"/>
      <c r="B14" s="23" t="s">
        <v>78</v>
      </c>
      <c r="C14" s="23" t="s">
        <v>79</v>
      </c>
      <c r="D14" s="23" t="s">
        <v>80</v>
      </c>
      <c r="E14" s="52" t="s">
        <v>89</v>
      </c>
      <c r="F14" s="24" t="s">
        <v>74</v>
      </c>
      <c r="G14" s="41"/>
      <c r="H14" s="41"/>
      <c r="I14" s="42"/>
      <c r="J14" s="14"/>
      <c r="K14" s="50"/>
      <c r="L14" s="30"/>
      <c r="M14" s="51"/>
      <c r="N14" s="14"/>
      <c r="O14" s="50"/>
      <c r="P14" s="30"/>
      <c r="Q14" s="51"/>
      <c r="R14" s="50"/>
      <c r="S14" s="30"/>
      <c r="T14" s="51"/>
    </row>
    <row r="15">
      <c r="A15" s="12"/>
      <c r="B15" s="23" t="s">
        <v>78</v>
      </c>
      <c r="C15" s="23" t="s">
        <v>79</v>
      </c>
      <c r="D15" s="23" t="s">
        <v>80</v>
      </c>
      <c r="E15" s="52" t="s">
        <v>90</v>
      </c>
      <c r="F15" s="24" t="s">
        <v>74</v>
      </c>
      <c r="G15" s="41"/>
      <c r="H15" s="41"/>
      <c r="I15" s="42"/>
      <c r="J15" s="14"/>
      <c r="K15" s="50"/>
      <c r="L15" s="30"/>
      <c r="M15" s="51"/>
      <c r="N15" s="14"/>
      <c r="O15" s="50"/>
      <c r="P15" s="30"/>
      <c r="Q15" s="51"/>
      <c r="R15" s="50"/>
      <c r="S15" s="30"/>
      <c r="T15" s="51"/>
    </row>
    <row r="16">
      <c r="A16" s="12"/>
      <c r="B16" s="23" t="s">
        <v>78</v>
      </c>
      <c r="C16" s="23" t="s">
        <v>79</v>
      </c>
      <c r="D16" s="23" t="s">
        <v>80</v>
      </c>
      <c r="E16" s="52" t="s">
        <v>91</v>
      </c>
      <c r="F16" s="24" t="s">
        <v>74</v>
      </c>
      <c r="G16" s="41"/>
      <c r="H16" s="41"/>
      <c r="I16" s="42"/>
      <c r="J16" s="14"/>
      <c r="K16" s="50"/>
      <c r="L16" s="30"/>
      <c r="M16" s="51"/>
      <c r="N16" s="14"/>
      <c r="O16" s="50"/>
      <c r="P16" s="30"/>
      <c r="Q16" s="51"/>
      <c r="R16" s="50"/>
      <c r="S16" s="30"/>
      <c r="T16" s="51"/>
    </row>
    <row r="17">
      <c r="A17" s="12"/>
      <c r="B17" s="31"/>
      <c r="C17" s="31"/>
      <c r="D17" s="37"/>
      <c r="E17" s="44" t="s">
        <v>92</v>
      </c>
      <c r="F17" s="45"/>
      <c r="G17" s="45"/>
      <c r="H17" s="45"/>
      <c r="I17" s="46"/>
      <c r="J17" s="14"/>
      <c r="K17" s="50"/>
      <c r="L17" s="30"/>
      <c r="M17" s="51"/>
      <c r="N17" s="14"/>
      <c r="O17" s="50"/>
      <c r="P17" s="30"/>
      <c r="Q17" s="51"/>
      <c r="R17" s="50"/>
      <c r="S17" s="30"/>
      <c r="T17" s="51"/>
    </row>
    <row r="18">
      <c r="A18" s="55"/>
      <c r="B18" s="23" t="s">
        <v>78</v>
      </c>
      <c r="C18" s="23" t="s">
        <v>79</v>
      </c>
      <c r="D18" s="23" t="s">
        <v>80</v>
      </c>
      <c r="E18" s="52" t="s">
        <v>93</v>
      </c>
      <c r="F18" s="24" t="s">
        <v>74</v>
      </c>
      <c r="G18" s="41"/>
      <c r="H18" s="41"/>
      <c r="I18" s="42"/>
      <c r="J18" s="56"/>
      <c r="K18" s="50"/>
      <c r="L18" s="30"/>
      <c r="M18" s="51"/>
      <c r="N18" s="56"/>
      <c r="O18" s="50"/>
      <c r="P18" s="30"/>
      <c r="Q18" s="51"/>
      <c r="R18" s="50"/>
      <c r="S18" s="30"/>
      <c r="T18" s="51"/>
    </row>
    <row r="19">
      <c r="A19" s="55"/>
      <c r="B19" s="23" t="s">
        <v>78</v>
      </c>
      <c r="C19" s="23" t="s">
        <v>79</v>
      </c>
      <c r="D19" s="23" t="s">
        <v>80</v>
      </c>
      <c r="E19" s="52" t="s">
        <v>94</v>
      </c>
      <c r="F19" s="24" t="s">
        <v>74</v>
      </c>
      <c r="G19" s="41"/>
      <c r="H19" s="41"/>
      <c r="I19" s="42"/>
      <c r="J19" s="56"/>
      <c r="K19" s="50"/>
      <c r="L19" s="30"/>
      <c r="M19" s="51"/>
      <c r="N19" s="56"/>
      <c r="O19" s="50"/>
      <c r="P19" s="30"/>
      <c r="Q19" s="51"/>
      <c r="R19" s="50"/>
      <c r="S19" s="30"/>
      <c r="T19" s="51"/>
    </row>
    <row r="20">
      <c r="A20" s="55"/>
      <c r="B20" s="31"/>
      <c r="C20" s="31"/>
      <c r="D20" s="37"/>
      <c r="E20" s="44" t="s">
        <v>95</v>
      </c>
      <c r="F20" s="45"/>
      <c r="G20" s="45"/>
      <c r="H20" s="45"/>
      <c r="I20" s="46"/>
      <c r="J20" s="56"/>
      <c r="K20" s="50"/>
      <c r="L20" s="30"/>
      <c r="M20" s="51"/>
      <c r="N20" s="56"/>
      <c r="O20" s="50"/>
      <c r="P20" s="30"/>
      <c r="Q20" s="51"/>
      <c r="R20" s="50"/>
      <c r="S20" s="30"/>
      <c r="T20" s="51"/>
    </row>
    <row r="21">
      <c r="A21" s="55"/>
      <c r="B21" s="23" t="s">
        <v>78</v>
      </c>
      <c r="C21" s="23" t="s">
        <v>79</v>
      </c>
      <c r="D21" s="23" t="s">
        <v>80</v>
      </c>
      <c r="E21" s="52" t="s">
        <v>96</v>
      </c>
      <c r="F21" s="24" t="s">
        <v>74</v>
      </c>
      <c r="G21" s="41"/>
      <c r="H21" s="41"/>
      <c r="I21" s="42"/>
      <c r="J21" s="56"/>
      <c r="K21" s="50"/>
      <c r="L21" s="30"/>
      <c r="M21" s="51"/>
      <c r="N21" s="56"/>
      <c r="O21" s="50"/>
      <c r="P21" s="30"/>
      <c r="Q21" s="51"/>
      <c r="R21" s="50"/>
      <c r="S21" s="30"/>
      <c r="T21" s="51"/>
    </row>
    <row r="22">
      <c r="A22" s="55"/>
      <c r="B22" s="23" t="s">
        <v>78</v>
      </c>
      <c r="C22" s="23" t="s">
        <v>79</v>
      </c>
      <c r="D22" s="23" t="s">
        <v>82</v>
      </c>
      <c r="E22" s="52" t="s">
        <v>97</v>
      </c>
      <c r="F22" s="53" t="s">
        <v>84</v>
      </c>
      <c r="G22" s="41"/>
      <c r="H22" s="41"/>
      <c r="I22" s="42"/>
      <c r="J22" s="56"/>
      <c r="K22" s="43">
        <v>6300.0</v>
      </c>
      <c r="L22" s="28">
        <v>0.0</v>
      </c>
      <c r="M22" s="43">
        <v>6300.0</v>
      </c>
      <c r="N22" s="56"/>
      <c r="O22" s="47" t="s">
        <v>84</v>
      </c>
      <c r="P22" s="48">
        <v>46119.0</v>
      </c>
      <c r="Q22" s="54">
        <f>M22</f>
        <v>6300</v>
      </c>
      <c r="R22" s="47" t="s">
        <v>85</v>
      </c>
      <c r="S22" s="47" t="s">
        <v>77</v>
      </c>
      <c r="T22" s="51"/>
    </row>
    <row r="23">
      <c r="A23" s="55"/>
      <c r="B23" s="31"/>
      <c r="C23" s="31"/>
      <c r="D23" s="31"/>
      <c r="E23" s="44" t="s">
        <v>98</v>
      </c>
      <c r="F23" s="45"/>
      <c r="G23" s="45"/>
      <c r="H23" s="45"/>
      <c r="I23" s="46"/>
      <c r="J23" s="56"/>
      <c r="K23" s="50"/>
      <c r="L23" s="30"/>
      <c r="M23" s="51"/>
      <c r="N23" s="56"/>
      <c r="O23" s="50"/>
      <c r="P23" s="30"/>
      <c r="Q23" s="51"/>
      <c r="R23" s="50"/>
      <c r="S23" s="30"/>
      <c r="T23" s="51"/>
    </row>
    <row r="24">
      <c r="A24" s="14"/>
      <c r="B24" s="23" t="s">
        <v>78</v>
      </c>
      <c r="C24" s="23" t="s">
        <v>79</v>
      </c>
      <c r="D24" s="23" t="s">
        <v>80</v>
      </c>
      <c r="E24" s="52" t="s">
        <v>99</v>
      </c>
      <c r="F24" s="24" t="s">
        <v>74</v>
      </c>
      <c r="G24" s="41"/>
      <c r="H24" s="41"/>
      <c r="I24" s="42"/>
      <c r="J24" s="14"/>
      <c r="K24" s="50"/>
      <c r="L24" s="30"/>
      <c r="M24" s="51"/>
      <c r="N24" s="14"/>
      <c r="O24" s="50"/>
      <c r="P24" s="30"/>
      <c r="Q24" s="51"/>
      <c r="R24" s="50"/>
      <c r="S24" s="30"/>
      <c r="T24" s="51"/>
    </row>
    <row r="25">
      <c r="A25" s="14"/>
      <c r="B25" s="23" t="s">
        <v>78</v>
      </c>
      <c r="C25" s="23" t="s">
        <v>79</v>
      </c>
      <c r="D25" s="23" t="s">
        <v>80</v>
      </c>
      <c r="E25" s="52" t="s">
        <v>100</v>
      </c>
      <c r="F25" s="24" t="s">
        <v>74</v>
      </c>
      <c r="G25" s="42"/>
      <c r="H25" s="42"/>
      <c r="I25" s="42"/>
      <c r="J25" s="14"/>
      <c r="K25" s="50"/>
      <c r="L25" s="30"/>
      <c r="M25" s="51"/>
      <c r="N25" s="14"/>
      <c r="O25" s="50"/>
      <c r="P25" s="30"/>
      <c r="Q25" s="51"/>
      <c r="R25" s="50"/>
      <c r="S25" s="30"/>
      <c r="T25" s="51"/>
    </row>
    <row r="26">
      <c r="A26" s="14"/>
      <c r="B26" s="23" t="s">
        <v>78</v>
      </c>
      <c r="C26" s="23" t="s">
        <v>79</v>
      </c>
      <c r="D26" s="23" t="s">
        <v>80</v>
      </c>
      <c r="E26" s="57" t="s">
        <v>101</v>
      </c>
      <c r="F26" s="24" t="s">
        <v>74</v>
      </c>
      <c r="G26" s="42"/>
      <c r="H26" s="42"/>
      <c r="I26" s="42"/>
      <c r="J26" s="14"/>
      <c r="K26" s="50"/>
      <c r="L26" s="30"/>
      <c r="M26" s="51"/>
      <c r="N26" s="14"/>
      <c r="O26" s="50"/>
      <c r="P26" s="30"/>
      <c r="Q26" s="51"/>
      <c r="R26" s="50"/>
      <c r="S26" s="30"/>
      <c r="T26" s="51"/>
    </row>
    <row r="27">
      <c r="A27" s="14"/>
      <c r="B27" s="23" t="s">
        <v>78</v>
      </c>
      <c r="C27" s="23" t="s">
        <v>79</v>
      </c>
      <c r="D27" s="23" t="s">
        <v>80</v>
      </c>
      <c r="E27" s="57" t="s">
        <v>102</v>
      </c>
      <c r="F27" s="24" t="s">
        <v>74</v>
      </c>
      <c r="G27" s="42"/>
      <c r="H27" s="42"/>
      <c r="I27" s="42"/>
      <c r="J27" s="14"/>
      <c r="K27" s="50"/>
      <c r="L27" s="30"/>
      <c r="M27" s="51"/>
      <c r="N27" s="14"/>
      <c r="O27" s="50"/>
      <c r="P27" s="30"/>
      <c r="Q27" s="51"/>
      <c r="R27" s="50"/>
      <c r="S27" s="30"/>
      <c r="T27" s="51"/>
    </row>
    <row r="28">
      <c r="A28" s="14"/>
      <c r="B28" s="31"/>
      <c r="C28" s="31"/>
      <c r="D28" s="31"/>
      <c r="E28" s="58" t="s">
        <v>103</v>
      </c>
      <c r="F28" s="46"/>
      <c r="G28" s="46"/>
      <c r="H28" s="46"/>
      <c r="I28" s="59"/>
      <c r="J28" s="14"/>
      <c r="K28" s="50"/>
      <c r="L28" s="30"/>
      <c r="M28" s="51"/>
      <c r="N28" s="14"/>
      <c r="O28" s="50"/>
      <c r="P28" s="30"/>
      <c r="Q28" s="51"/>
      <c r="R28" s="50"/>
      <c r="S28" s="30"/>
      <c r="T28" s="51"/>
    </row>
    <row r="29">
      <c r="A29" s="14"/>
      <c r="B29" s="23" t="s">
        <v>78</v>
      </c>
      <c r="C29" s="23" t="s">
        <v>79</v>
      </c>
      <c r="D29" s="23" t="s">
        <v>80</v>
      </c>
      <c r="E29" s="57" t="s">
        <v>104</v>
      </c>
      <c r="F29" s="24" t="s">
        <v>74</v>
      </c>
      <c r="G29" s="42"/>
      <c r="H29" s="42"/>
      <c r="I29" s="42"/>
      <c r="J29" s="14"/>
      <c r="K29" s="50"/>
      <c r="L29" s="30"/>
      <c r="M29" s="51"/>
      <c r="N29" s="14"/>
      <c r="O29" s="50"/>
      <c r="P29" s="30"/>
      <c r="Q29" s="51"/>
      <c r="R29" s="50"/>
      <c r="S29" s="30"/>
      <c r="T29" s="51"/>
    </row>
    <row r="30">
      <c r="A30" s="14"/>
      <c r="B30" s="23" t="s">
        <v>78</v>
      </c>
      <c r="C30" s="23" t="s">
        <v>79</v>
      </c>
      <c r="D30" s="23" t="s">
        <v>80</v>
      </c>
      <c r="E30" s="57" t="s">
        <v>105</v>
      </c>
      <c r="F30" s="24" t="s">
        <v>74</v>
      </c>
      <c r="G30" s="42"/>
      <c r="H30" s="42"/>
      <c r="I30" s="42"/>
      <c r="J30" s="14"/>
      <c r="K30" s="50"/>
      <c r="L30" s="30"/>
      <c r="M30" s="51"/>
      <c r="N30" s="14"/>
      <c r="O30" s="50"/>
      <c r="P30" s="30"/>
      <c r="Q30" s="51"/>
      <c r="R30" s="50"/>
      <c r="S30" s="30"/>
      <c r="T30" s="51"/>
    </row>
    <row r="31">
      <c r="A31" s="14"/>
      <c r="B31" s="31"/>
      <c r="C31" s="31"/>
      <c r="D31" s="31"/>
      <c r="E31" s="58" t="s">
        <v>106</v>
      </c>
      <c r="F31" s="46"/>
      <c r="G31" s="46"/>
      <c r="H31" s="46"/>
      <c r="I31" s="46"/>
      <c r="J31" s="14"/>
      <c r="K31" s="50"/>
      <c r="L31" s="30"/>
      <c r="M31" s="51"/>
      <c r="N31" s="14"/>
      <c r="O31" s="50"/>
      <c r="P31" s="30"/>
      <c r="Q31" s="51"/>
      <c r="R31" s="50"/>
      <c r="S31" s="30"/>
      <c r="T31" s="51"/>
    </row>
    <row r="32">
      <c r="A32" s="14"/>
      <c r="B32" s="23" t="s">
        <v>78</v>
      </c>
      <c r="C32" s="23" t="s">
        <v>79</v>
      </c>
      <c r="D32" s="23" t="s">
        <v>80</v>
      </c>
      <c r="E32" s="57" t="s">
        <v>107</v>
      </c>
      <c r="F32" s="24" t="s">
        <v>74</v>
      </c>
      <c r="G32" s="42"/>
      <c r="H32" s="42"/>
      <c r="I32" s="42"/>
      <c r="J32" s="14"/>
      <c r="K32" s="50"/>
      <c r="L32" s="30"/>
      <c r="M32" s="51"/>
      <c r="N32" s="14"/>
      <c r="O32" s="50"/>
      <c r="P32" s="30"/>
      <c r="Q32" s="51"/>
      <c r="R32" s="50"/>
      <c r="S32" s="30"/>
      <c r="T32" s="51"/>
    </row>
    <row r="33">
      <c r="A33" s="14"/>
      <c r="B33" s="23" t="s">
        <v>78</v>
      </c>
      <c r="C33" s="23" t="s">
        <v>79</v>
      </c>
      <c r="D33" s="23" t="s">
        <v>80</v>
      </c>
      <c r="E33" s="57" t="s">
        <v>108</v>
      </c>
      <c r="F33" s="24" t="s">
        <v>74</v>
      </c>
      <c r="G33" s="42"/>
      <c r="H33" s="42"/>
      <c r="I33" s="42"/>
      <c r="J33" s="14"/>
      <c r="K33" s="50"/>
      <c r="L33" s="30"/>
      <c r="M33" s="51"/>
      <c r="N33" s="14"/>
      <c r="O33" s="50"/>
      <c r="P33" s="30"/>
      <c r="Q33" s="51"/>
      <c r="R33" s="50"/>
      <c r="S33" s="30"/>
      <c r="T33" s="51"/>
    </row>
    <row r="34">
      <c r="A34" s="12"/>
      <c r="B34" s="31"/>
      <c r="C34" s="31"/>
      <c r="D34" s="31"/>
      <c r="E34" s="58" t="s">
        <v>109</v>
      </c>
      <c r="F34" s="46"/>
      <c r="G34" s="46"/>
      <c r="H34" s="46"/>
      <c r="I34" s="46"/>
      <c r="J34" s="14"/>
      <c r="K34" s="50"/>
      <c r="L34" s="30"/>
      <c r="M34" s="51"/>
      <c r="N34" s="14"/>
      <c r="O34" s="50"/>
      <c r="P34" s="30"/>
      <c r="Q34" s="51"/>
      <c r="R34" s="50"/>
      <c r="S34" s="30"/>
      <c r="T34" s="51"/>
    </row>
    <row r="35" ht="27.0" customHeight="1">
      <c r="A35" s="12"/>
      <c r="B35" s="23" t="s">
        <v>78</v>
      </c>
      <c r="C35" s="23" t="s">
        <v>79</v>
      </c>
      <c r="D35" s="23" t="s">
        <v>80</v>
      </c>
      <c r="E35" s="57" t="s">
        <v>110</v>
      </c>
      <c r="F35" s="24" t="s">
        <v>74</v>
      </c>
      <c r="G35" s="60"/>
      <c r="H35" s="60"/>
      <c r="I35" s="60"/>
      <c r="J35" s="14"/>
      <c r="K35" s="50"/>
      <c r="L35" s="30"/>
      <c r="M35" s="51"/>
      <c r="N35" s="14"/>
      <c r="O35" s="50"/>
      <c r="P35" s="30"/>
      <c r="Q35" s="51"/>
      <c r="R35" s="50"/>
      <c r="S35" s="30"/>
      <c r="T35" s="51"/>
    </row>
    <row r="36" ht="27.0" customHeight="1">
      <c r="A36" s="12"/>
      <c r="B36" s="23" t="s">
        <v>78</v>
      </c>
      <c r="C36" s="23" t="s">
        <v>79</v>
      </c>
      <c r="D36" s="23" t="s">
        <v>80</v>
      </c>
      <c r="E36" s="57" t="s">
        <v>111</v>
      </c>
      <c r="F36" s="24" t="s">
        <v>74</v>
      </c>
      <c r="G36" s="60"/>
      <c r="H36" s="60"/>
      <c r="I36" s="60"/>
      <c r="J36" s="14"/>
      <c r="K36" s="50"/>
      <c r="L36" s="30"/>
      <c r="M36" s="51"/>
      <c r="N36" s="14"/>
      <c r="O36" s="50"/>
      <c r="P36" s="30"/>
      <c r="Q36" s="51"/>
      <c r="R36" s="50"/>
      <c r="S36" s="30"/>
      <c r="T36" s="51"/>
    </row>
    <row r="37" ht="27.0" customHeight="1">
      <c r="A37" s="12"/>
      <c r="B37" s="23" t="s">
        <v>78</v>
      </c>
      <c r="C37" s="23" t="s">
        <v>79</v>
      </c>
      <c r="D37" s="23" t="s">
        <v>80</v>
      </c>
      <c r="E37" s="57" t="s">
        <v>112</v>
      </c>
      <c r="F37" s="24" t="s">
        <v>74</v>
      </c>
      <c r="G37" s="60"/>
      <c r="H37" s="60"/>
      <c r="I37" s="60"/>
      <c r="J37" s="14"/>
      <c r="K37" s="50"/>
      <c r="L37" s="30"/>
      <c r="M37" s="51"/>
      <c r="N37" s="14"/>
      <c r="O37" s="50"/>
      <c r="P37" s="30"/>
      <c r="Q37" s="51"/>
      <c r="R37" s="50"/>
      <c r="S37" s="30"/>
      <c r="T37" s="51"/>
    </row>
    <row r="38" ht="27.0" customHeight="1">
      <c r="A38" s="12"/>
      <c r="B38" s="23" t="s">
        <v>78</v>
      </c>
      <c r="C38" s="23" t="s">
        <v>79</v>
      </c>
      <c r="D38" s="23" t="s">
        <v>80</v>
      </c>
      <c r="E38" s="24" t="s">
        <v>113</v>
      </c>
      <c r="F38" s="24" t="s">
        <v>74</v>
      </c>
      <c r="G38" s="60"/>
      <c r="H38" s="60"/>
      <c r="I38" s="60"/>
      <c r="J38" s="14"/>
      <c r="K38" s="50"/>
      <c r="L38" s="30"/>
      <c r="M38" s="51"/>
      <c r="N38" s="14"/>
      <c r="O38" s="50"/>
      <c r="P38" s="30"/>
      <c r="Q38" s="51"/>
      <c r="R38" s="50"/>
      <c r="S38" s="30"/>
      <c r="T38" s="51"/>
    </row>
    <row r="39" ht="27.0" customHeight="1">
      <c r="A39" s="12"/>
      <c r="B39" s="23" t="s">
        <v>78</v>
      </c>
      <c r="C39" s="23" t="s">
        <v>79</v>
      </c>
      <c r="D39" s="23" t="s">
        <v>80</v>
      </c>
      <c r="E39" s="24" t="s">
        <v>114</v>
      </c>
      <c r="F39" s="24" t="s">
        <v>74</v>
      </c>
      <c r="G39" s="60"/>
      <c r="H39" s="60"/>
      <c r="I39" s="60"/>
      <c r="J39" s="14"/>
      <c r="K39" s="50"/>
      <c r="L39" s="30"/>
      <c r="M39" s="51"/>
      <c r="N39" s="14"/>
      <c r="O39" s="50"/>
      <c r="P39" s="30"/>
      <c r="Q39" s="51"/>
      <c r="R39" s="50"/>
      <c r="S39" s="30"/>
      <c r="T39" s="51"/>
    </row>
    <row r="40" ht="27.0" customHeight="1">
      <c r="A40" s="12"/>
      <c r="B40" s="31"/>
      <c r="C40" s="61" t="s">
        <v>115</v>
      </c>
      <c r="D40" s="23" t="s">
        <v>80</v>
      </c>
      <c r="E40" s="24" t="s">
        <v>116</v>
      </c>
      <c r="F40" s="24" t="s">
        <v>117</v>
      </c>
      <c r="G40" s="60"/>
      <c r="H40" s="60"/>
      <c r="I40" s="60"/>
      <c r="J40" s="14"/>
      <c r="K40" s="36">
        <v>12000.0</v>
      </c>
      <c r="L40" s="36">
        <v>0.0</v>
      </c>
      <c r="M40" s="36">
        <v>12000.0</v>
      </c>
      <c r="N40" s="14"/>
      <c r="O40" s="47" t="s">
        <v>117</v>
      </c>
      <c r="P40" s="48">
        <v>46119.0</v>
      </c>
      <c r="Q40" s="62">
        <f t="shared" ref="Q40:Q41" si="3">M40</f>
        <v>12000</v>
      </c>
      <c r="R40" s="47" t="s">
        <v>118</v>
      </c>
      <c r="S40" s="47" t="s">
        <v>119</v>
      </c>
      <c r="T40" s="14"/>
    </row>
    <row r="41" ht="27.0" customHeight="1">
      <c r="A41" s="12"/>
      <c r="B41" s="23" t="s">
        <v>78</v>
      </c>
      <c r="C41" s="61" t="s">
        <v>115</v>
      </c>
      <c r="D41" s="23" t="s">
        <v>80</v>
      </c>
      <c r="E41" s="24" t="s">
        <v>120</v>
      </c>
      <c r="F41" s="24" t="s">
        <v>121</v>
      </c>
      <c r="G41" s="60"/>
      <c r="H41" s="60"/>
      <c r="I41" s="60"/>
      <c r="J41" s="14"/>
      <c r="K41" s="36">
        <v>250000.0</v>
      </c>
      <c r="L41" s="36">
        <v>0.0</v>
      </c>
      <c r="M41" s="36">
        <f t="shared" ref="M41:M47" si="4">K41</f>
        <v>250000</v>
      </c>
      <c r="N41" s="14"/>
      <c r="O41" s="14" t="s">
        <v>121</v>
      </c>
      <c r="P41" s="48">
        <v>46119.0</v>
      </c>
      <c r="Q41" s="62">
        <f t="shared" si="3"/>
        <v>250000</v>
      </c>
      <c r="R41" s="47" t="s">
        <v>85</v>
      </c>
      <c r="S41" s="47" t="s">
        <v>119</v>
      </c>
      <c r="T41" s="14"/>
    </row>
    <row r="42">
      <c r="A42" s="12"/>
      <c r="B42" s="31"/>
      <c r="C42" s="63" t="s">
        <v>62</v>
      </c>
      <c r="D42" s="23" t="s">
        <v>80</v>
      </c>
      <c r="E42" s="64" t="s">
        <v>122</v>
      </c>
      <c r="F42" s="65" t="s">
        <v>123</v>
      </c>
      <c r="G42" s="64" t="s">
        <v>124</v>
      </c>
      <c r="H42" s="66"/>
      <c r="I42" s="67"/>
      <c r="J42" s="14"/>
      <c r="K42" s="36">
        <v>30000.0</v>
      </c>
      <c r="L42" s="36">
        <v>0.0</v>
      </c>
      <c r="M42" s="36">
        <f t="shared" si="4"/>
        <v>30000</v>
      </c>
      <c r="N42" s="14"/>
      <c r="O42" s="47" t="s">
        <v>125</v>
      </c>
      <c r="P42" s="48">
        <v>46119.0</v>
      </c>
      <c r="Q42" s="62">
        <v>66100.0</v>
      </c>
      <c r="R42" s="47" t="s">
        <v>85</v>
      </c>
      <c r="S42" s="47" t="s">
        <v>119</v>
      </c>
      <c r="T42" s="14"/>
    </row>
    <row r="43">
      <c r="A43" s="12"/>
      <c r="B43" s="31"/>
      <c r="C43" s="63" t="s">
        <v>62</v>
      </c>
      <c r="D43" s="23" t="s">
        <v>80</v>
      </c>
      <c r="E43" s="64" t="s">
        <v>126</v>
      </c>
      <c r="F43" s="65" t="s">
        <v>123</v>
      </c>
      <c r="G43" s="64"/>
      <c r="H43" s="66"/>
      <c r="I43" s="67"/>
      <c r="J43" s="14"/>
      <c r="K43" s="36">
        <f>36100-17000</f>
        <v>19100</v>
      </c>
      <c r="L43" s="36">
        <v>0.0</v>
      </c>
      <c r="M43" s="36">
        <f t="shared" si="4"/>
        <v>19100</v>
      </c>
      <c r="N43" s="14"/>
      <c r="O43" s="50"/>
      <c r="P43" s="50"/>
      <c r="Q43" s="50"/>
      <c r="R43" s="50"/>
      <c r="S43" s="50"/>
      <c r="T43" s="50"/>
    </row>
    <row r="44">
      <c r="A44" s="12"/>
      <c r="B44" s="31"/>
      <c r="C44" s="63" t="s">
        <v>62</v>
      </c>
      <c r="D44" s="23" t="s">
        <v>80</v>
      </c>
      <c r="E44" s="64" t="s">
        <v>122</v>
      </c>
      <c r="F44" s="64" t="s">
        <v>127</v>
      </c>
      <c r="G44" s="64" t="s">
        <v>124</v>
      </c>
      <c r="H44" s="66"/>
      <c r="I44" s="67"/>
      <c r="J44" s="14"/>
      <c r="K44" s="36">
        <f>71300-K4-K5-K7</f>
        <v>52300</v>
      </c>
      <c r="L44" s="36">
        <v>0.0</v>
      </c>
      <c r="M44" s="36">
        <f t="shared" si="4"/>
        <v>52300</v>
      </c>
      <c r="N44" s="14"/>
      <c r="O44" s="50"/>
      <c r="P44" s="50"/>
      <c r="Q44" s="50"/>
      <c r="R44" s="50"/>
      <c r="S44" s="50"/>
      <c r="T44" s="50"/>
    </row>
    <row r="45">
      <c r="A45" s="12"/>
      <c r="B45" s="31"/>
      <c r="C45" s="31"/>
      <c r="D45" s="23" t="s">
        <v>80</v>
      </c>
      <c r="E45" s="64" t="s">
        <v>122</v>
      </c>
      <c r="F45" s="64" t="s">
        <v>128</v>
      </c>
      <c r="G45" s="64" t="s">
        <v>129</v>
      </c>
      <c r="H45" s="66"/>
      <c r="I45" s="67"/>
      <c r="J45" s="14"/>
      <c r="K45" s="36">
        <v>95000.0</v>
      </c>
      <c r="L45" s="36">
        <v>0.0</v>
      </c>
      <c r="M45" s="68">
        <f t="shared" si="4"/>
        <v>95000</v>
      </c>
      <c r="N45" s="14"/>
      <c r="O45" s="14" t="s">
        <v>128</v>
      </c>
      <c r="P45" s="47" t="s">
        <v>130</v>
      </c>
      <c r="Q45" s="62">
        <v>228300.0</v>
      </c>
      <c r="R45" s="62" t="s">
        <v>131</v>
      </c>
      <c r="S45" s="47" t="s">
        <v>132</v>
      </c>
      <c r="T45" s="14"/>
    </row>
    <row r="46">
      <c r="A46" s="12"/>
      <c r="B46" s="31"/>
      <c r="C46" s="31"/>
      <c r="D46" s="23" t="s">
        <v>80</v>
      </c>
      <c r="E46" s="64" t="s">
        <v>133</v>
      </c>
      <c r="F46" s="64" t="s">
        <v>128</v>
      </c>
      <c r="G46" s="64">
        <v>0.75</v>
      </c>
      <c r="H46" s="66"/>
      <c r="I46" s="67"/>
      <c r="J46" s="14"/>
      <c r="K46" s="36">
        <v>62000.0</v>
      </c>
      <c r="L46" s="36">
        <v>0.0</v>
      </c>
      <c r="M46" s="68">
        <f t="shared" si="4"/>
        <v>62000</v>
      </c>
      <c r="N46" s="14"/>
      <c r="O46" s="50"/>
      <c r="P46" s="50"/>
      <c r="Q46" s="50"/>
      <c r="R46" s="50"/>
      <c r="S46" s="50"/>
      <c r="T46" s="50"/>
    </row>
    <row r="47">
      <c r="A47" s="12"/>
      <c r="B47" s="31"/>
      <c r="C47" s="23" t="s">
        <v>79</v>
      </c>
      <c r="D47" s="23" t="s">
        <v>80</v>
      </c>
      <c r="E47" s="69" t="s">
        <v>134</v>
      </c>
      <c r="F47" s="33" t="s">
        <v>135</v>
      </c>
      <c r="G47" s="34" t="s">
        <v>136</v>
      </c>
      <c r="H47" s="34" t="s">
        <v>137</v>
      </c>
      <c r="I47" s="33" t="s">
        <v>138</v>
      </c>
      <c r="J47" s="14"/>
      <c r="K47" s="68">
        <f>165000+185000</f>
        <v>350000</v>
      </c>
      <c r="L47" s="36">
        <v>0.0</v>
      </c>
      <c r="M47" s="68">
        <f t="shared" si="4"/>
        <v>350000</v>
      </c>
      <c r="N47" s="14"/>
      <c r="O47" s="33" t="s">
        <v>135</v>
      </c>
      <c r="P47" s="48">
        <v>46126.0</v>
      </c>
      <c r="Q47" s="62">
        <v>350000.0</v>
      </c>
      <c r="R47" s="47" t="s">
        <v>85</v>
      </c>
      <c r="S47" s="47" t="s">
        <v>119</v>
      </c>
      <c r="T47" s="14"/>
    </row>
    <row r="48" ht="25.5" customHeight="1">
      <c r="A48" s="12"/>
      <c r="B48" s="70"/>
      <c r="C48" s="70"/>
      <c r="D48" s="70"/>
      <c r="E48" s="71" t="s">
        <v>139</v>
      </c>
      <c r="F48" s="71"/>
      <c r="G48" s="71"/>
      <c r="H48" s="72"/>
      <c r="I48" s="71">
        <v>637.0</v>
      </c>
      <c r="J48" s="14"/>
      <c r="K48" s="73">
        <f>SUM(K3:K47)</f>
        <v>1556240</v>
      </c>
      <c r="L48" s="74" t="s">
        <v>140</v>
      </c>
      <c r="M48" s="75"/>
      <c r="N48" s="14"/>
      <c r="O48" s="14"/>
      <c r="P48" s="14"/>
      <c r="Q48" s="14"/>
      <c r="R48" s="47"/>
      <c r="S48" s="47"/>
      <c r="T48" s="75"/>
    </row>
    <row r="49" ht="15.75" customHeight="1">
      <c r="A49" s="12"/>
      <c r="B49" s="75"/>
      <c r="C49" s="75"/>
      <c r="D49" s="75"/>
      <c r="E49" s="75"/>
      <c r="F49" s="75"/>
      <c r="G49" s="75"/>
      <c r="H49" s="75"/>
      <c r="I49" s="75"/>
      <c r="J49" s="75"/>
      <c r="K49" s="76">
        <f>I48*3500</f>
        <v>2229500</v>
      </c>
      <c r="L49" s="77" t="s">
        <v>141</v>
      </c>
      <c r="M49" s="75"/>
      <c r="N49" s="14"/>
      <c r="O49" s="14"/>
      <c r="P49" s="14"/>
      <c r="Q49" s="14"/>
      <c r="R49" s="14"/>
      <c r="S49" s="14"/>
      <c r="T49" s="14"/>
    </row>
    <row r="50" ht="15.75" customHeight="1">
      <c r="A50" s="12"/>
      <c r="B50" s="75"/>
      <c r="C50" s="75"/>
      <c r="D50" s="75"/>
      <c r="E50" s="75"/>
      <c r="F50" s="75"/>
      <c r="G50" s="75"/>
      <c r="H50" s="75"/>
      <c r="I50" s="75"/>
      <c r="J50" s="75"/>
      <c r="K50" s="78">
        <f>K49-K48</f>
        <v>673260</v>
      </c>
      <c r="L50" s="79" t="s">
        <v>142</v>
      </c>
      <c r="M50" s="75"/>
      <c r="N50" s="14"/>
      <c r="O50" s="14"/>
      <c r="P50" s="14"/>
      <c r="Q50" s="14"/>
      <c r="R50" s="14"/>
      <c r="S50" s="14"/>
      <c r="T50" s="14"/>
    </row>
    <row r="51" ht="15.75" customHeight="1">
      <c r="A51" s="12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14"/>
      <c r="O51" s="14"/>
      <c r="P51" s="14"/>
      <c r="Q51" s="14"/>
      <c r="R51" s="14"/>
      <c r="S51" s="14"/>
      <c r="T51" s="14"/>
    </row>
    <row r="52" ht="15.75" customHeight="1">
      <c r="A52" s="12"/>
      <c r="B52" s="75"/>
      <c r="C52" s="75"/>
      <c r="D52" s="75"/>
      <c r="E52" s="75"/>
      <c r="F52" s="75"/>
      <c r="G52" s="75"/>
      <c r="H52" s="75"/>
      <c r="I52" s="75"/>
      <c r="J52" s="75"/>
      <c r="K52" s="33"/>
      <c r="L52" s="75"/>
      <c r="M52" s="75"/>
      <c r="N52" s="14"/>
      <c r="O52" s="14"/>
      <c r="P52" s="14"/>
      <c r="Q52" s="14"/>
      <c r="R52" s="14"/>
      <c r="S52" s="14"/>
      <c r="T52" s="14"/>
    </row>
    <row r="53" ht="15.75" customHeight="1">
      <c r="A53" s="12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14"/>
      <c r="O53" s="14"/>
      <c r="P53" s="14"/>
      <c r="Q53" s="14"/>
      <c r="R53" s="14"/>
      <c r="S53" s="14"/>
      <c r="T53" s="14"/>
    </row>
    <row r="54" ht="15.75" customHeight="1">
      <c r="A54" s="12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14"/>
      <c r="O54" s="14"/>
      <c r="P54" s="14"/>
      <c r="Q54" s="14"/>
      <c r="R54" s="14"/>
      <c r="S54" s="14"/>
      <c r="T54" s="14"/>
    </row>
    <row r="55" ht="15.75" customHeight="1">
      <c r="A55" s="12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14"/>
      <c r="O55" s="14"/>
      <c r="P55" s="14"/>
      <c r="Q55" s="14"/>
      <c r="R55" s="14"/>
      <c r="S55" s="14"/>
      <c r="T55" s="14"/>
    </row>
    <row r="56" ht="15.75" customHeight="1">
      <c r="A56" s="12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14"/>
      <c r="O56" s="14"/>
      <c r="P56" s="14"/>
      <c r="Q56" s="14"/>
      <c r="R56" s="14"/>
      <c r="S56" s="14"/>
      <c r="T56" s="14"/>
    </row>
    <row r="57" ht="15.75" customHeight="1">
      <c r="A57" s="12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14"/>
      <c r="O57" s="14"/>
      <c r="P57" s="14"/>
      <c r="Q57" s="14"/>
      <c r="R57" s="14"/>
      <c r="S57" s="14"/>
      <c r="T57" s="14"/>
    </row>
    <row r="58" ht="15.75" customHeight="1">
      <c r="A58" s="12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14"/>
      <c r="O58" s="14"/>
      <c r="P58" s="14"/>
      <c r="Q58" s="14"/>
      <c r="R58" s="14"/>
      <c r="S58" s="14"/>
      <c r="T58" s="14"/>
    </row>
    <row r="59" ht="15.75" customHeight="1">
      <c r="A59" s="12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14"/>
      <c r="O59" s="14"/>
      <c r="P59" s="14"/>
      <c r="Q59" s="14"/>
      <c r="R59" s="14"/>
      <c r="S59" s="14"/>
      <c r="T59" s="1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13"/>
    <col customWidth="1" min="2" max="2" width="16.0"/>
    <col customWidth="1" min="3" max="3" width="19.88"/>
    <col customWidth="1" min="4" max="4" width="21.13"/>
    <col customWidth="1" min="5" max="5" width="18.75"/>
    <col customWidth="1" min="6" max="6" width="11.38"/>
    <col customWidth="1" min="7" max="7" width="49.38"/>
    <col customWidth="1" min="8" max="8" width="8.38"/>
    <col customWidth="1" min="9" max="9" width="10.88"/>
    <col customWidth="1" min="10" max="11" width="11.0"/>
  </cols>
  <sheetData>
    <row r="1" ht="23.25" customHeight="1">
      <c r="A1" s="80"/>
      <c r="B1" s="81" t="s">
        <v>143</v>
      </c>
      <c r="C1" s="81" t="s">
        <v>144</v>
      </c>
      <c r="D1" s="82" t="s">
        <v>145</v>
      </c>
      <c r="E1" s="81" t="s">
        <v>43</v>
      </c>
      <c r="F1" s="83" t="s">
        <v>146</v>
      </c>
      <c r="G1" s="83" t="s">
        <v>147</v>
      </c>
      <c r="H1" s="81"/>
      <c r="I1" s="84"/>
      <c r="J1" s="80"/>
      <c r="K1" s="80"/>
    </row>
    <row r="2">
      <c r="A2" s="80"/>
      <c r="B2" s="85"/>
      <c r="C2" s="85"/>
      <c r="D2" s="85"/>
      <c r="E2" s="85"/>
      <c r="F2" s="86"/>
      <c r="G2" s="85" t="s">
        <v>148</v>
      </c>
      <c r="H2" s="87" t="s">
        <v>149</v>
      </c>
      <c r="I2" s="87" t="s">
        <v>150</v>
      </c>
      <c r="J2" s="80"/>
      <c r="K2" s="80"/>
    </row>
    <row r="3">
      <c r="A3" s="80"/>
      <c r="B3" s="85"/>
      <c r="C3" s="85"/>
      <c r="D3" s="85"/>
      <c r="E3" s="85"/>
      <c r="F3" s="88">
        <v>1.0</v>
      </c>
      <c r="G3" s="89">
        <v>46118.0</v>
      </c>
      <c r="H3" s="90"/>
      <c r="I3" s="90"/>
      <c r="J3" s="80"/>
      <c r="K3" s="80"/>
    </row>
    <row r="4">
      <c r="A4" s="80"/>
      <c r="B4" s="91" t="s">
        <v>151</v>
      </c>
      <c r="C4" s="92"/>
      <c r="D4" s="93"/>
      <c r="E4" s="94" t="s">
        <v>152</v>
      </c>
      <c r="F4" s="92"/>
      <c r="G4" s="95" t="s">
        <v>153</v>
      </c>
      <c r="H4" s="96"/>
      <c r="I4" s="96"/>
      <c r="J4" s="80"/>
      <c r="K4" s="80"/>
    </row>
    <row r="5">
      <c r="A5" s="80"/>
      <c r="B5" s="97" t="s">
        <v>80</v>
      </c>
      <c r="C5" s="92"/>
      <c r="D5" s="93"/>
      <c r="E5" s="94" t="s">
        <v>154</v>
      </c>
      <c r="F5" s="94" t="s">
        <v>155</v>
      </c>
      <c r="G5" s="98" t="s">
        <v>156</v>
      </c>
      <c r="H5" s="96"/>
      <c r="I5" s="96"/>
      <c r="J5" s="80"/>
      <c r="K5" s="80"/>
    </row>
    <row r="6">
      <c r="A6" s="80"/>
      <c r="B6" s="91" t="s">
        <v>151</v>
      </c>
      <c r="C6" s="92" t="s">
        <v>157</v>
      </c>
      <c r="D6" s="91" t="s">
        <v>158</v>
      </c>
      <c r="E6" s="91" t="s">
        <v>159</v>
      </c>
      <c r="F6" s="92"/>
      <c r="G6" s="92" t="s">
        <v>160</v>
      </c>
      <c r="H6" s="99"/>
      <c r="I6" s="99"/>
      <c r="J6" s="80"/>
      <c r="K6" s="80"/>
    </row>
    <row r="7">
      <c r="A7" s="80"/>
      <c r="B7" s="90"/>
      <c r="C7" s="90"/>
      <c r="D7" s="100"/>
      <c r="E7" s="90"/>
      <c r="F7" s="88">
        <v>2.0</v>
      </c>
      <c r="G7" s="89">
        <v>46119.0</v>
      </c>
      <c r="H7" s="90"/>
      <c r="I7" s="90"/>
      <c r="J7" s="80"/>
      <c r="K7" s="80"/>
    </row>
    <row r="8">
      <c r="A8" s="80"/>
      <c r="B8" s="93"/>
      <c r="C8" s="92"/>
      <c r="D8" s="93"/>
      <c r="E8" s="92"/>
      <c r="F8" s="101"/>
      <c r="G8" s="102" t="s">
        <v>161</v>
      </c>
      <c r="H8" s="99"/>
      <c r="I8" s="99"/>
      <c r="J8" s="80"/>
      <c r="K8" s="80"/>
    </row>
    <row r="9" ht="20.25" customHeight="1">
      <c r="A9" s="80"/>
      <c r="B9" s="97" t="s">
        <v>80</v>
      </c>
      <c r="C9" s="92"/>
      <c r="D9" s="93"/>
      <c r="E9" s="91" t="s">
        <v>162</v>
      </c>
      <c r="F9" s="94" t="s">
        <v>163</v>
      </c>
      <c r="G9" s="98" t="s">
        <v>164</v>
      </c>
      <c r="H9" s="95">
        <v>0.5</v>
      </c>
      <c r="I9" s="95">
        <v>1.0</v>
      </c>
      <c r="J9" s="80"/>
      <c r="K9" s="80"/>
    </row>
    <row r="10">
      <c r="A10" s="80"/>
      <c r="B10" s="97" t="s">
        <v>80</v>
      </c>
      <c r="C10" s="94" t="s">
        <v>165</v>
      </c>
      <c r="D10" s="91" t="s">
        <v>166</v>
      </c>
      <c r="E10" s="91" t="s">
        <v>74</v>
      </c>
      <c r="F10" s="94" t="s">
        <v>167</v>
      </c>
      <c r="G10" s="103" t="s">
        <v>112</v>
      </c>
      <c r="H10" s="99"/>
      <c r="I10" s="99"/>
      <c r="J10" s="80"/>
      <c r="K10" s="80"/>
    </row>
    <row r="11" ht="13.5" customHeight="1">
      <c r="A11" s="80"/>
      <c r="B11" s="92"/>
      <c r="C11" s="92"/>
      <c r="D11" s="93"/>
      <c r="E11" s="104"/>
      <c r="F11" s="101"/>
      <c r="G11" s="105" t="s">
        <v>113</v>
      </c>
      <c r="H11" s="99"/>
      <c r="I11" s="99"/>
      <c r="J11" s="80"/>
      <c r="K11" s="80"/>
    </row>
    <row r="12" ht="15.0" customHeight="1">
      <c r="A12" s="80"/>
      <c r="B12" s="92"/>
      <c r="C12" s="92"/>
      <c r="D12" s="93"/>
      <c r="E12" s="104"/>
      <c r="F12" s="101"/>
      <c r="G12" s="105" t="s">
        <v>168</v>
      </c>
      <c r="H12" s="99"/>
      <c r="I12" s="99"/>
      <c r="J12" s="80"/>
      <c r="K12" s="80"/>
    </row>
    <row r="13">
      <c r="A13" s="80"/>
      <c r="B13" s="93"/>
      <c r="C13" s="106"/>
      <c r="D13" s="91"/>
      <c r="E13" s="94"/>
      <c r="F13" s="94"/>
      <c r="G13" s="105" t="s">
        <v>169</v>
      </c>
      <c r="H13" s="92"/>
      <c r="I13" s="92"/>
      <c r="J13" s="107"/>
      <c r="K13" s="107"/>
    </row>
    <row r="14">
      <c r="A14" s="80"/>
      <c r="B14" s="92"/>
      <c r="C14" s="93"/>
      <c r="D14" s="93"/>
      <c r="E14" s="92"/>
      <c r="F14" s="101"/>
      <c r="G14" s="103" t="s">
        <v>110</v>
      </c>
      <c r="H14" s="99"/>
      <c r="I14" s="99"/>
      <c r="J14" s="80"/>
      <c r="K14" s="80"/>
    </row>
    <row r="15">
      <c r="A15" s="80"/>
      <c r="B15" s="92"/>
      <c r="C15" s="94"/>
      <c r="D15" s="91"/>
      <c r="E15" s="94"/>
      <c r="F15" s="101"/>
      <c r="G15" s="92" t="s">
        <v>170</v>
      </c>
      <c r="H15" s="99"/>
      <c r="I15" s="99"/>
      <c r="J15" s="80"/>
      <c r="K15" s="80"/>
    </row>
    <row r="16">
      <c r="A16" s="80"/>
      <c r="B16" s="92"/>
      <c r="C16" s="94" t="s">
        <v>171</v>
      </c>
      <c r="D16" s="91" t="s">
        <v>172</v>
      </c>
      <c r="E16" s="91" t="s">
        <v>74</v>
      </c>
      <c r="F16" s="92"/>
      <c r="G16" s="103" t="s">
        <v>111</v>
      </c>
      <c r="H16" s="99"/>
      <c r="I16" s="99"/>
      <c r="J16" s="80"/>
      <c r="K16" s="80"/>
    </row>
    <row r="17">
      <c r="A17" s="80"/>
      <c r="B17" s="92"/>
      <c r="C17" s="94"/>
      <c r="D17" s="91"/>
      <c r="E17" s="91"/>
      <c r="F17" s="92"/>
      <c r="G17" s="105" t="s">
        <v>114</v>
      </c>
      <c r="H17" s="99"/>
      <c r="I17" s="99"/>
      <c r="J17" s="80"/>
      <c r="K17" s="80"/>
    </row>
    <row r="18">
      <c r="A18" s="80"/>
      <c r="B18" s="97" t="s">
        <v>80</v>
      </c>
      <c r="C18" s="94"/>
      <c r="D18" s="91"/>
      <c r="E18" s="108" t="s">
        <v>173</v>
      </c>
      <c r="F18" s="94" t="s">
        <v>174</v>
      </c>
      <c r="G18" s="109" t="s">
        <v>175</v>
      </c>
      <c r="H18" s="99"/>
      <c r="I18" s="95">
        <v>1.0</v>
      </c>
      <c r="J18" s="80"/>
      <c r="K18" s="80"/>
    </row>
    <row r="19">
      <c r="A19" s="80"/>
      <c r="B19" s="92"/>
      <c r="C19" s="94"/>
      <c r="D19" s="91"/>
      <c r="E19" s="94"/>
      <c r="F19" s="92"/>
      <c r="G19" s="94" t="s">
        <v>176</v>
      </c>
      <c r="H19" s="99"/>
      <c r="I19" s="99"/>
      <c r="J19" s="80"/>
      <c r="K19" s="80"/>
    </row>
    <row r="20">
      <c r="A20" s="80"/>
      <c r="B20" s="90"/>
      <c r="C20" s="90"/>
      <c r="D20" s="100"/>
      <c r="E20" s="90"/>
      <c r="F20" s="88">
        <v>3.0</v>
      </c>
      <c r="G20" s="110" t="s">
        <v>177</v>
      </c>
      <c r="H20" s="90"/>
      <c r="I20" s="90"/>
      <c r="J20" s="80"/>
      <c r="K20" s="80"/>
    </row>
    <row r="21">
      <c r="A21" s="80"/>
      <c r="B21" s="90"/>
      <c r="C21" s="90"/>
      <c r="D21" s="100"/>
      <c r="E21" s="90"/>
      <c r="F21" s="88">
        <v>4.0</v>
      </c>
      <c r="G21" s="89">
        <v>46121.0</v>
      </c>
      <c r="H21" s="90"/>
      <c r="I21" s="90"/>
      <c r="J21" s="80"/>
      <c r="K21" s="80"/>
    </row>
    <row r="22">
      <c r="A22" s="80"/>
      <c r="B22" s="92"/>
      <c r="C22" s="92"/>
      <c r="D22" s="93"/>
      <c r="E22" s="92"/>
      <c r="F22" s="94"/>
      <c r="G22" s="94" t="s">
        <v>178</v>
      </c>
      <c r="H22" s="99"/>
      <c r="I22" s="99"/>
      <c r="J22" s="80"/>
      <c r="K22" s="80"/>
    </row>
    <row r="23">
      <c r="A23" s="80"/>
      <c r="B23" s="92"/>
      <c r="C23" s="92"/>
      <c r="D23" s="93"/>
      <c r="E23" s="92"/>
      <c r="F23" s="94"/>
      <c r="G23" s="94" t="s">
        <v>179</v>
      </c>
      <c r="H23" s="99"/>
      <c r="I23" s="99"/>
      <c r="J23" s="80"/>
      <c r="K23" s="80"/>
    </row>
    <row r="24">
      <c r="A24" s="80"/>
      <c r="B24" s="92"/>
      <c r="C24" s="92"/>
      <c r="D24" s="93"/>
      <c r="E24" s="92"/>
      <c r="F24" s="94"/>
      <c r="G24" s="98" t="s">
        <v>164</v>
      </c>
      <c r="H24" s="95">
        <v>0.25</v>
      </c>
      <c r="I24" s="95">
        <v>1.0</v>
      </c>
      <c r="J24" s="80"/>
      <c r="K24" s="80"/>
    </row>
    <row r="25">
      <c r="A25" s="80"/>
      <c r="B25" s="97"/>
      <c r="C25" s="111" t="s">
        <v>180</v>
      </c>
      <c r="D25" s="91" t="s">
        <v>181</v>
      </c>
      <c r="E25" s="94" t="s">
        <v>84</v>
      </c>
      <c r="F25" s="94" t="s">
        <v>182</v>
      </c>
      <c r="G25" s="112" t="s">
        <v>183</v>
      </c>
      <c r="H25" s="99"/>
      <c r="I25" s="99"/>
      <c r="J25" s="80"/>
      <c r="K25" s="80"/>
    </row>
    <row r="26">
      <c r="A26" s="80"/>
      <c r="B26" s="97" t="s">
        <v>80</v>
      </c>
      <c r="C26" s="94" t="s">
        <v>184</v>
      </c>
      <c r="D26" s="91" t="s">
        <v>185</v>
      </c>
      <c r="E26" s="91" t="s">
        <v>121</v>
      </c>
      <c r="F26" s="94" t="s">
        <v>186</v>
      </c>
      <c r="G26" s="112" t="s">
        <v>120</v>
      </c>
      <c r="H26" s="99"/>
      <c r="I26" s="99"/>
      <c r="J26" s="80"/>
      <c r="K26" s="80"/>
    </row>
    <row r="27">
      <c r="A27" s="80"/>
      <c r="B27" s="93"/>
      <c r="C27" s="92"/>
      <c r="D27" s="93"/>
      <c r="E27" s="104"/>
      <c r="F27" s="92"/>
      <c r="G27" s="109" t="s">
        <v>175</v>
      </c>
      <c r="H27" s="99"/>
      <c r="I27" s="95">
        <v>1.0</v>
      </c>
      <c r="J27" s="80"/>
      <c r="K27" s="80"/>
    </row>
    <row r="28">
      <c r="A28" s="80"/>
      <c r="B28" s="90"/>
      <c r="C28" s="90"/>
      <c r="D28" s="100"/>
      <c r="E28" s="90"/>
      <c r="F28" s="88">
        <v>5.0</v>
      </c>
      <c r="G28" s="113">
        <v>46122.0</v>
      </c>
      <c r="H28" s="90"/>
      <c r="I28" s="90"/>
      <c r="J28" s="80"/>
      <c r="K28" s="80"/>
    </row>
    <row r="29">
      <c r="A29" s="80"/>
      <c r="B29" s="92"/>
      <c r="C29" s="92"/>
      <c r="D29" s="93"/>
      <c r="E29" s="91" t="s">
        <v>159</v>
      </c>
      <c r="F29" s="93"/>
      <c r="G29" s="99" t="s">
        <v>187</v>
      </c>
      <c r="H29" s="92"/>
      <c r="I29" s="92"/>
      <c r="J29" s="80"/>
      <c r="K29" s="80"/>
    </row>
    <row r="30">
      <c r="A30" s="80"/>
      <c r="B30" s="97" t="s">
        <v>80</v>
      </c>
      <c r="C30" s="92"/>
      <c r="D30" s="93"/>
      <c r="E30" s="94" t="s">
        <v>154</v>
      </c>
      <c r="F30" s="91" t="s">
        <v>188</v>
      </c>
      <c r="G30" s="98" t="s">
        <v>189</v>
      </c>
      <c r="H30" s="92"/>
      <c r="I30" s="92"/>
      <c r="J30" s="80"/>
      <c r="K30" s="80"/>
    </row>
    <row r="31">
      <c r="A31" s="80"/>
      <c r="B31" s="92"/>
      <c r="C31" s="92"/>
      <c r="D31" s="93"/>
      <c r="E31" s="94" t="s">
        <v>152</v>
      </c>
      <c r="F31" s="94" t="s">
        <v>190</v>
      </c>
      <c r="G31" s="95" t="s">
        <v>191</v>
      </c>
      <c r="H31" s="99"/>
      <c r="I31" s="99"/>
      <c r="J31" s="80"/>
      <c r="K31" s="80"/>
    </row>
    <row r="32">
      <c r="A32" s="80"/>
      <c r="B32" s="107"/>
      <c r="C32" s="107"/>
      <c r="D32" s="114"/>
      <c r="E32" s="107"/>
      <c r="F32" s="115"/>
      <c r="G32" s="116" t="s">
        <v>192</v>
      </c>
      <c r="H32" s="117">
        <f t="shared" ref="H32:I32" si="1">SUM(H3:H31)</f>
        <v>0.75</v>
      </c>
      <c r="I32" s="117">
        <f t="shared" si="1"/>
        <v>4</v>
      </c>
      <c r="J32" s="107"/>
      <c r="K32" s="107"/>
    </row>
    <row r="33">
      <c r="A33" s="80"/>
      <c r="B33" s="107"/>
      <c r="C33" s="107"/>
      <c r="D33" s="114"/>
      <c r="E33" s="107"/>
      <c r="F33" s="114"/>
      <c r="G33" s="115"/>
      <c r="H33" s="107"/>
      <c r="I33" s="107"/>
      <c r="J33" s="107"/>
      <c r="K33" s="107"/>
    </row>
    <row r="34">
      <c r="A34" s="80"/>
      <c r="B34" s="107"/>
      <c r="C34" s="107"/>
      <c r="D34" s="114"/>
      <c r="E34" s="107"/>
      <c r="F34" s="107"/>
      <c r="G34" s="107"/>
      <c r="H34" s="107"/>
      <c r="I34" s="107"/>
      <c r="J34" s="107"/>
      <c r="K34" s="107"/>
    </row>
    <row r="35">
      <c r="A35" s="80"/>
      <c r="B35" s="107"/>
      <c r="C35" s="107"/>
      <c r="D35" s="114"/>
      <c r="E35" s="107"/>
      <c r="F35" s="115"/>
      <c r="G35" s="107"/>
      <c r="H35" s="107"/>
      <c r="I35" s="107"/>
      <c r="J35" s="107"/>
      <c r="K35" s="107"/>
    </row>
    <row r="36">
      <c r="A36" s="80"/>
      <c r="B36" s="107"/>
      <c r="C36" s="114"/>
      <c r="D36" s="114"/>
      <c r="E36" s="107"/>
      <c r="F36" s="115"/>
      <c r="G36" s="107"/>
      <c r="H36" s="107"/>
      <c r="I36" s="107"/>
      <c r="J36" s="107"/>
      <c r="K36" s="107"/>
    </row>
    <row r="37">
      <c r="A37" s="80"/>
      <c r="B37" s="107"/>
      <c r="C37" s="107"/>
      <c r="D37" s="114"/>
      <c r="E37" s="107"/>
      <c r="F37" s="107"/>
      <c r="G37" s="107"/>
      <c r="H37" s="107"/>
      <c r="I37" s="107"/>
      <c r="J37" s="107"/>
      <c r="K37" s="107"/>
    </row>
    <row r="38">
      <c r="A38" s="80"/>
      <c r="B38" s="107"/>
      <c r="C38" s="107"/>
      <c r="D38" s="114"/>
      <c r="E38" s="107"/>
      <c r="F38" s="107"/>
      <c r="G38" s="107"/>
      <c r="H38" s="107"/>
      <c r="I38" s="107"/>
      <c r="J38" s="107"/>
      <c r="K38" s="107"/>
    </row>
    <row r="39">
      <c r="A39" s="80"/>
      <c r="B39" s="107"/>
      <c r="C39" s="107"/>
      <c r="D39" s="114"/>
      <c r="E39" s="115"/>
      <c r="F39" s="107"/>
      <c r="G39" s="107"/>
      <c r="H39" s="107"/>
      <c r="I39" s="107"/>
      <c r="J39" s="107"/>
      <c r="K39" s="107"/>
    </row>
    <row r="40">
      <c r="A40" s="80"/>
      <c r="B40" s="107"/>
      <c r="C40" s="107"/>
      <c r="D40" s="114"/>
      <c r="E40" s="107"/>
      <c r="F40" s="115"/>
      <c r="G40" s="107"/>
      <c r="H40" s="107"/>
      <c r="I40" s="107"/>
      <c r="J40" s="107"/>
      <c r="K40" s="107"/>
    </row>
    <row r="41">
      <c r="A41" s="107"/>
      <c r="B41" s="107"/>
      <c r="C41" s="107"/>
      <c r="D41" s="114"/>
      <c r="E41" s="115"/>
      <c r="F41" s="115"/>
      <c r="G41" s="107"/>
      <c r="H41" s="107"/>
      <c r="I41" s="107"/>
      <c r="J41" s="107"/>
      <c r="K41" s="107"/>
    </row>
    <row r="42">
      <c r="A42" s="80"/>
      <c r="B42" s="107"/>
      <c r="C42" s="107"/>
      <c r="D42" s="114"/>
      <c r="E42" s="107"/>
      <c r="F42" s="114"/>
      <c r="G42" s="115"/>
      <c r="H42" s="107"/>
      <c r="I42" s="107"/>
      <c r="J42" s="107"/>
      <c r="K42" s="107"/>
    </row>
    <row r="43">
      <c r="A43" s="80"/>
      <c r="B43" s="107"/>
      <c r="C43" s="107"/>
      <c r="D43" s="114"/>
      <c r="E43" s="107"/>
      <c r="F43" s="107"/>
      <c r="G43" s="115"/>
      <c r="H43" s="107"/>
      <c r="I43" s="107"/>
      <c r="J43" s="107"/>
      <c r="K43" s="107"/>
    </row>
    <row r="44">
      <c r="A44" s="80"/>
      <c r="B44" s="107"/>
      <c r="C44" s="107"/>
      <c r="D44" s="114"/>
      <c r="E44" s="107"/>
      <c r="F44" s="115"/>
      <c r="G44" s="107"/>
      <c r="H44" s="107"/>
      <c r="I44" s="107"/>
      <c r="J44" s="107"/>
      <c r="K44" s="107"/>
    </row>
    <row r="45">
      <c r="A45" s="80"/>
      <c r="B45" s="107"/>
      <c r="C45" s="114"/>
      <c r="D45" s="114"/>
      <c r="E45" s="107"/>
      <c r="F45" s="115"/>
      <c r="G45" s="114"/>
      <c r="H45" s="107"/>
      <c r="I45" s="107"/>
      <c r="J45" s="107"/>
      <c r="K45" s="107"/>
    </row>
    <row r="46">
      <c r="A46" s="80"/>
      <c r="B46" s="107"/>
      <c r="C46" s="107"/>
      <c r="D46" s="114"/>
      <c r="E46" s="114"/>
      <c r="F46" s="115"/>
      <c r="G46" s="107"/>
      <c r="H46" s="107"/>
      <c r="I46" s="107"/>
      <c r="J46" s="107"/>
      <c r="K46" s="107"/>
    </row>
    <row r="47">
      <c r="A47" s="80"/>
      <c r="B47" s="107"/>
      <c r="C47" s="107"/>
      <c r="D47" s="114"/>
      <c r="E47" s="114"/>
      <c r="F47" s="115"/>
      <c r="G47" s="107"/>
      <c r="H47" s="107"/>
      <c r="I47" s="107"/>
      <c r="J47" s="107"/>
      <c r="K47" s="107"/>
    </row>
    <row r="48">
      <c r="A48" s="80"/>
      <c r="B48" s="107"/>
      <c r="C48" s="107"/>
      <c r="D48" s="114"/>
      <c r="E48" s="107"/>
      <c r="F48" s="107"/>
      <c r="G48" s="107"/>
      <c r="H48" s="107"/>
      <c r="I48" s="107"/>
      <c r="J48" s="107"/>
      <c r="K48" s="107"/>
    </row>
    <row r="49">
      <c r="A49" s="80"/>
      <c r="B49" s="107"/>
      <c r="C49" s="107"/>
      <c r="D49" s="114"/>
      <c r="E49" s="107"/>
      <c r="F49" s="107"/>
      <c r="G49" s="107"/>
      <c r="H49" s="107"/>
      <c r="I49" s="107"/>
      <c r="J49" s="107"/>
      <c r="K49" s="107"/>
    </row>
    <row r="50">
      <c r="A50" s="80"/>
      <c r="B50" s="107"/>
      <c r="C50" s="114"/>
      <c r="D50" s="114"/>
      <c r="E50" s="107"/>
      <c r="F50" s="115"/>
      <c r="G50" s="107"/>
      <c r="H50" s="107"/>
      <c r="I50" s="107"/>
      <c r="J50" s="107"/>
      <c r="K50" s="107"/>
    </row>
    <row r="51">
      <c r="A51" s="80"/>
      <c r="B51" s="107"/>
      <c r="C51" s="114"/>
      <c r="D51" s="114"/>
      <c r="E51" s="107"/>
      <c r="F51" s="115"/>
      <c r="G51" s="107"/>
      <c r="H51" s="107"/>
      <c r="I51" s="107"/>
      <c r="J51" s="107"/>
      <c r="K51" s="107"/>
    </row>
    <row r="52">
      <c r="A52" s="80"/>
      <c r="B52" s="107"/>
      <c r="C52" s="114"/>
      <c r="D52" s="114"/>
      <c r="E52" s="107"/>
      <c r="F52" s="107"/>
      <c r="G52" s="107"/>
      <c r="H52" s="107"/>
      <c r="I52" s="107"/>
      <c r="J52" s="107"/>
      <c r="K52" s="107"/>
    </row>
    <row r="53">
      <c r="A53" s="80"/>
      <c r="B53" s="107"/>
      <c r="C53" s="107"/>
      <c r="D53" s="114"/>
      <c r="E53" s="107"/>
      <c r="F53" s="114"/>
      <c r="G53" s="115"/>
      <c r="H53" s="107"/>
      <c r="I53" s="107"/>
      <c r="J53" s="107"/>
      <c r="K53" s="107"/>
    </row>
    <row r="54">
      <c r="A54" s="80"/>
      <c r="B54" s="107"/>
      <c r="C54" s="107"/>
      <c r="D54" s="114"/>
      <c r="E54" s="107"/>
      <c r="F54" s="114"/>
      <c r="G54" s="115"/>
      <c r="H54" s="107"/>
      <c r="I54" s="107"/>
      <c r="J54" s="107"/>
      <c r="K54" s="107"/>
    </row>
    <row r="55">
      <c r="A55" s="107"/>
      <c r="B55" s="107"/>
      <c r="C55" s="107"/>
      <c r="D55" s="114"/>
      <c r="E55" s="107"/>
      <c r="F55" s="114"/>
      <c r="G55" s="107"/>
      <c r="H55" s="107"/>
      <c r="I55" s="107"/>
      <c r="J55" s="107"/>
      <c r="K55" s="107"/>
    </row>
    <row r="56">
      <c r="A56" s="107"/>
      <c r="B56" s="107"/>
      <c r="C56" s="107"/>
      <c r="D56" s="114"/>
      <c r="E56" s="107"/>
      <c r="F56" s="114"/>
      <c r="G56" s="107"/>
      <c r="H56" s="107"/>
      <c r="I56" s="107"/>
      <c r="J56" s="107"/>
      <c r="K56" s="107"/>
    </row>
    <row r="57">
      <c r="A57" s="107"/>
      <c r="B57" s="107"/>
      <c r="C57" s="107"/>
      <c r="D57" s="114"/>
      <c r="E57" s="107"/>
      <c r="F57" s="114"/>
      <c r="G57" s="114"/>
      <c r="H57" s="107"/>
      <c r="I57" s="107"/>
      <c r="J57" s="107"/>
      <c r="K57" s="107"/>
    </row>
    <row r="58">
      <c r="A58" s="107"/>
      <c r="B58" s="107"/>
      <c r="C58" s="114"/>
      <c r="D58" s="114"/>
      <c r="E58" s="107"/>
      <c r="F58" s="118"/>
      <c r="G58" s="114"/>
      <c r="H58" s="107"/>
      <c r="I58" s="107"/>
      <c r="J58" s="107"/>
      <c r="K58" s="107"/>
    </row>
    <row r="59">
      <c r="A59" s="107"/>
      <c r="B59" s="107"/>
      <c r="C59" s="107"/>
      <c r="D59" s="114"/>
      <c r="E59" s="107"/>
      <c r="F59" s="114"/>
      <c r="G59" s="107"/>
      <c r="H59" s="107"/>
      <c r="I59" s="107"/>
      <c r="J59" s="107"/>
      <c r="K59" s="107"/>
    </row>
    <row r="60">
      <c r="A60" s="80"/>
      <c r="B60" s="107"/>
      <c r="C60" s="107"/>
      <c r="D60" s="114"/>
      <c r="E60" s="107"/>
      <c r="F60" s="114"/>
      <c r="G60" s="115"/>
      <c r="H60" s="107"/>
      <c r="I60" s="107"/>
      <c r="J60" s="107"/>
      <c r="K60" s="107"/>
    </row>
    <row r="61">
      <c r="A61" s="80"/>
      <c r="B61" s="107"/>
      <c r="C61" s="107"/>
      <c r="D61" s="114"/>
      <c r="E61" s="107"/>
      <c r="F61" s="114"/>
      <c r="G61" s="115"/>
      <c r="H61" s="107"/>
      <c r="I61" s="107"/>
      <c r="J61" s="107"/>
      <c r="K61" s="107"/>
    </row>
    <row r="62">
      <c r="A62" s="80"/>
      <c r="B62" s="107"/>
      <c r="C62" s="107"/>
      <c r="D62" s="114"/>
      <c r="E62" s="107"/>
      <c r="F62" s="107"/>
      <c r="G62" s="107"/>
      <c r="H62" s="107"/>
      <c r="I62" s="107"/>
      <c r="J62" s="107"/>
      <c r="K62" s="107"/>
    </row>
    <row r="63">
      <c r="A63" s="80"/>
      <c r="B63" s="107"/>
      <c r="C63" s="107"/>
      <c r="D63" s="114"/>
      <c r="E63" s="107"/>
      <c r="F63" s="115"/>
      <c r="G63" s="107"/>
      <c r="H63" s="107"/>
      <c r="I63" s="107"/>
      <c r="J63" s="107"/>
      <c r="K63" s="107"/>
    </row>
    <row r="64">
      <c r="A64" s="80"/>
      <c r="B64" s="107"/>
      <c r="C64" s="107"/>
      <c r="D64" s="114"/>
      <c r="E64" s="107"/>
      <c r="F64" s="115"/>
      <c r="G64" s="107"/>
      <c r="H64" s="107"/>
      <c r="I64" s="107"/>
      <c r="J64" s="107"/>
      <c r="K64" s="107"/>
    </row>
    <row r="65" ht="23.25" customHeight="1">
      <c r="A65" s="80"/>
      <c r="B65" s="119"/>
      <c r="C65" s="107"/>
      <c r="D65" s="114"/>
      <c r="E65" s="107"/>
      <c r="F65" s="107"/>
      <c r="G65" s="107"/>
      <c r="H65" s="114"/>
      <c r="I65" s="114"/>
      <c r="J65" s="107"/>
      <c r="K65" s="107"/>
    </row>
    <row r="66" ht="23.25" customHeight="1">
      <c r="A66" s="80"/>
      <c r="B66" s="119"/>
      <c r="C66" s="107"/>
      <c r="D66" s="114"/>
      <c r="E66" s="107"/>
      <c r="F66" s="107"/>
      <c r="G66" s="107"/>
      <c r="H66" s="107"/>
      <c r="I66" s="107"/>
      <c r="J66" s="107"/>
      <c r="K66" s="107"/>
    </row>
    <row r="67" ht="23.25" customHeight="1">
      <c r="A67" s="80"/>
      <c r="B67" s="119"/>
      <c r="C67" s="107"/>
      <c r="D67" s="114"/>
      <c r="E67" s="107"/>
      <c r="F67" s="107"/>
      <c r="G67" s="107"/>
      <c r="H67" s="107"/>
      <c r="I67" s="107"/>
      <c r="J67" s="107"/>
      <c r="K67" s="107"/>
    </row>
    <row r="68" ht="23.25" customHeight="1">
      <c r="A68" s="80"/>
      <c r="B68" s="119"/>
      <c r="C68" s="107"/>
      <c r="D68" s="114"/>
      <c r="E68" s="107"/>
      <c r="F68" s="107"/>
      <c r="G68" s="107"/>
      <c r="H68" s="107"/>
      <c r="I68" s="107"/>
      <c r="J68" s="107"/>
      <c r="K68" s="107"/>
    </row>
    <row r="69" ht="23.25" customHeight="1">
      <c r="A69" s="80"/>
      <c r="B69" s="119"/>
      <c r="C69" s="107"/>
      <c r="D69" s="114"/>
      <c r="E69" s="107"/>
      <c r="F69" s="107"/>
      <c r="G69" s="107"/>
      <c r="H69" s="107"/>
      <c r="I69" s="107"/>
      <c r="J69" s="107"/>
      <c r="K69" s="10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4.25"/>
  </cols>
  <sheetData>
    <row r="1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21"/>
      <c r="B4" s="122" t="s">
        <v>193</v>
      </c>
      <c r="C4" s="123"/>
      <c r="D4" s="123"/>
      <c r="E4" s="123"/>
      <c r="F4" s="120"/>
      <c r="G4" s="121"/>
      <c r="H4" s="124"/>
      <c r="I4" s="121"/>
      <c r="J4" s="121"/>
      <c r="K4" s="121"/>
      <c r="L4" s="121"/>
      <c r="M4" s="121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21"/>
      <c r="B5" s="121"/>
      <c r="C5" s="121"/>
      <c r="D5" s="121"/>
      <c r="E5" s="121"/>
      <c r="F5" s="120"/>
      <c r="G5" s="121"/>
      <c r="H5" s="121"/>
      <c r="I5" s="121"/>
      <c r="J5" s="121"/>
      <c r="K5" s="121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20"/>
      <c r="B6" s="125"/>
      <c r="C6" s="120"/>
      <c r="D6" s="120"/>
      <c r="E6" s="120"/>
      <c r="F6" s="120"/>
      <c r="G6" s="121"/>
      <c r="H6" s="121"/>
      <c r="I6" s="121"/>
      <c r="J6" s="121"/>
      <c r="K6" s="121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20"/>
      <c r="B7" s="125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6"/>
    </row>
    <row r="3">
      <c r="C3" s="127" t="s">
        <v>194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26"/>
    </row>
    <row r="4">
      <c r="B4" s="128"/>
      <c r="C4" s="128"/>
    </row>
  </sheetData>
  <drawing r:id="rId1"/>
</worksheet>
</file>