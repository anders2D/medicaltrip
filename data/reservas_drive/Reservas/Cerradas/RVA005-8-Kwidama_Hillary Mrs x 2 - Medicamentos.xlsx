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ción" sheetId="1" r:id="rId4"/>
    <sheet state="visible" name="Pasaporte - HC" sheetId="2" r:id="rId5"/>
    <sheet state="visible" name="COSTEO" sheetId="3" r:id="rId6"/>
    <sheet state="visible" name="Detalle de los servicios" sheetId="4" r:id="rId7"/>
  </sheets>
  <definedNames/>
  <calcPr/>
  <extLst>
    <ext uri="GoogleSheetsCustomDataVersion2">
      <go:sheetsCustomData xmlns:go="http://customooxmlschemas.google.com/" r:id="rId8" roundtripDataChecksum="s3+JaQTdKH221K+0O40sd02WkB5x3sJDytMh4+5hKwU="/>
    </ext>
  </extLst>
</workbook>
</file>

<file path=xl/sharedStrings.xml><?xml version="1.0" encoding="utf-8"?>
<sst xmlns="http://schemas.openxmlformats.org/spreadsheetml/2006/main" count="96" uniqueCount="86">
  <si>
    <t>DATOS DE FACTURACIÓN</t>
  </si>
  <si>
    <t>Centro de costo principal</t>
  </si>
  <si>
    <t>Centro de costo específico</t>
  </si>
  <si>
    <t>RESERVAS</t>
  </si>
  <si>
    <t>CLIENTE - USUARIO</t>
  </si>
  <si>
    <t>Nombre</t>
  </si>
  <si>
    <t>Apellido</t>
  </si>
  <si>
    <t>Tipo</t>
  </si>
  <si>
    <t>ID</t>
  </si>
  <si>
    <t>Teléfono</t>
  </si>
  <si>
    <t>Dirección</t>
  </si>
  <si>
    <t>Ciudad</t>
  </si>
  <si>
    <t>Correo electrónico</t>
  </si>
  <si>
    <t>Forma de pago</t>
  </si>
  <si>
    <t>Estado de la factura</t>
  </si>
  <si>
    <t>Concepto</t>
  </si>
  <si>
    <t>Fecha</t>
  </si>
  <si>
    <t>Valor Usd</t>
  </si>
  <si>
    <t>Valor Pesos</t>
  </si>
  <si>
    <t>Recibo de caja</t>
  </si>
  <si>
    <t>Ingresos para terceros</t>
  </si>
  <si>
    <t>Ingresos propios MEDICAL TRIP</t>
  </si>
  <si>
    <t>Retención en la fuente _____ %</t>
  </si>
  <si>
    <t>Fecha SS</t>
  </si>
  <si>
    <t>Tercero</t>
  </si>
  <si>
    <t>Nit</t>
  </si>
  <si>
    <t>Fecha de factura</t>
  </si>
  <si>
    <t>Factura electrónica  O documento soporte</t>
  </si>
  <si>
    <t>Montante total de la factura</t>
  </si>
  <si>
    <t>Servicio</t>
  </si>
  <si>
    <t>Ingresos para terceros de esta RVA</t>
  </si>
  <si>
    <t>HILLARY</t>
  </si>
  <si>
    <t>MARY</t>
  </si>
  <si>
    <t>GORETTE</t>
  </si>
  <si>
    <t>KWIDAMA</t>
  </si>
  <si>
    <t>VALENTIJN</t>
  </si>
  <si>
    <t>Pasaporte</t>
  </si>
  <si>
    <t>NN93PD299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</si>
  <si>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</si>
  <si>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</si>
  <si>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</si>
  <si>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</si>
  <si>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</si>
  <si>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</si>
  <si>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</si>
  <si>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</si>
  <si>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Proveedor</t>
  </si>
  <si>
    <t xml:space="preserve">Valor </t>
  </si>
  <si>
    <t>Días</t>
  </si>
  <si>
    <t>HIllary</t>
  </si>
  <si>
    <t>Comisionable</t>
  </si>
  <si>
    <t>Usd</t>
  </si>
  <si>
    <t>Hillary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</si>
  <si>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</si>
  <si>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</si>
  <si>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</si>
  <si>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</si>
  <si>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</si>
  <si>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</si>
  <si>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</si>
  <si>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</si>
  <si>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</si>
  <si>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</si>
  <si>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</si>
  <si>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</si>
  <si>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</si>
  <si>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</si>
  <si>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Facturado</t>
  </si>
  <si>
    <t>Confirmado</t>
  </si>
  <si>
    <t>DROSPERINONA (SLINDA) 4 mg caja x 28 tabletas  x 7 cajas</t>
  </si>
  <si>
    <t>Cruz Verde</t>
  </si>
  <si>
    <t>CRUZ VERDE</t>
  </si>
  <si>
    <t>JENNY CUENTA PERSONAL BANCOLOMBIA</t>
  </si>
  <si>
    <t>Incluído</t>
  </si>
  <si>
    <t>Domicilio casa en Medellin</t>
  </si>
  <si>
    <t>Domicilio casa Medellin hotel del pasajero que lo lleve a Curazao</t>
  </si>
  <si>
    <t>Medical Trip Colombia</t>
  </si>
  <si>
    <t>Servicio de Medical Trip Colombia</t>
  </si>
  <si>
    <t>Gastos bancarios</t>
  </si>
  <si>
    <t>4 * 1000</t>
  </si>
  <si>
    <t>Transferencia nacional</t>
  </si>
  <si>
    <t>Transferencia internacional</t>
  </si>
  <si>
    <t>Tasa del dólar</t>
  </si>
  <si>
    <t>DETALLE DE SERVICIOS</t>
  </si>
  <si>
    <t>Tarjeta de crédito 6%</t>
  </si>
  <si>
    <t>VALOR TOTAL A PAGAR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</si>
</sst>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$&quot;#,##0"/>
    <numFmt numFmtId="165" formatCode="d-m-yy"/>
    <numFmt numFmtId="166" formatCode="[$$]#,##0"/>
    <numFmt numFmtId="167" formatCode="dd-mm-yy"/>
    <numFmt numFmtId="168" formatCode="d&quot;-&quot;mmm&quot;-&quot;yyyy"/>
    <numFmt numFmtId="169" formatCode="d mmmm yyyy"/>
    <numFmt numFmtId="170" formatCode="dd mmmm yyyy"/>
    <numFmt numFmtId="171" formatCode="&quot;$&quot;#,##0.00"/>
    <numFmt numFmtId="172" formatCode="[$cop]#,##0"/>
    <numFmt numFmtId="173" formatCode="[$$]#,##0.00"/>
    <numFmt numFmtId="174" formatCode="d/MM/yyyy"/>
    <numFmt numFmtId="175" formatCode="d-m-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rgb="FF5E5E5E"/>
      <name val="Arial"/>
    </font>
    <font>
      <color theme="1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  <font>
      <sz val="8.0"/>
      <color theme="1"/>
      <name val="Calibri"/>
    </font>
    <font>
      <sz val="13.0"/>
      <color theme="1"/>
      <name val="Lexend"/>
    </font>
    <font>
      <b/>
      <sz val="13.0"/>
      <color rgb="FFFFFFFF"/>
      <name val="Lexend"/>
    </font>
    <font>
      <sz val="13.0"/>
      <color rgb="FF000000"/>
      <name val="Lexend"/>
    </font>
    <font>
      <b/>
      <sz val="13.0"/>
      <color rgb="FF000000"/>
      <name val="Lexend"/>
    </font>
    <font>
      <b/>
      <sz val="13.0"/>
      <color theme="1"/>
      <name val="Lexend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right" vertical="center"/>
    </xf>
    <xf borderId="0" fillId="0" fontId="1" numFmtId="4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5" fontId="1" numFmtId="164" xfId="0" applyAlignment="1" applyFill="1" applyFont="1" applyNumberFormat="1">
      <alignment horizontal="right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1" numFmtId="166" xfId="0" applyAlignment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4" fontId="1" numFmtId="0" xfId="0" applyAlignment="1" applyFont="1">
      <alignment vertical="center"/>
    </xf>
    <xf borderId="0" fillId="4" fontId="1" numFmtId="164" xfId="0" applyAlignment="1" applyFont="1" applyNumberFormat="1">
      <alignment vertical="center"/>
    </xf>
    <xf borderId="0" fillId="4" fontId="1" numFmtId="165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6" fontId="3" numFmtId="166" xfId="0" applyAlignment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7" numFmtId="0" xfId="0" applyFont="1"/>
    <xf borderId="0" fillId="7" fontId="7" numFmtId="0" xfId="0" applyFill="1" applyFont="1"/>
    <xf borderId="0" fillId="0" fontId="8" numFmtId="0" xfId="0" applyAlignment="1" applyFont="1">
      <alignment horizontal="center" vertical="center"/>
    </xf>
    <xf borderId="0" fillId="0" fontId="1" numFmtId="0" xfId="0" applyFont="1"/>
    <xf borderId="0" fillId="0" fontId="7" numFmtId="169" xfId="0" applyFont="1" applyNumberFormat="1"/>
    <xf borderId="0" fillId="0" fontId="7" numFmtId="170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1" numFmtId="173" xfId="0" applyFont="1" applyNumberFormat="1"/>
    <xf borderId="1" fillId="0" fontId="9" numFmtId="0" xfId="0" applyAlignment="1" applyBorder="1" applyFont="1">
      <alignment shrinkToFit="0" wrapText="1"/>
    </xf>
    <xf borderId="1" fillId="0" fontId="1" numFmtId="0" xfId="0" applyBorder="1" applyFont="1"/>
    <xf borderId="0" fillId="8" fontId="1" numFmtId="0" xfId="0" applyFill="1" applyFont="1"/>
    <xf borderId="2" fillId="8" fontId="10" numFmtId="0" xfId="0" applyAlignment="1" applyBorder="1" applyFont="1">
      <alignment shrinkToFit="0" wrapText="1"/>
    </xf>
    <xf borderId="2" fillId="8" fontId="1" numFmtId="0" xfId="0" applyBorder="1" applyFont="1"/>
    <xf borderId="1" fillId="8" fontId="1" numFmtId="0" xfId="0" applyBorder="1" applyFont="1"/>
    <xf borderId="1" fillId="8" fontId="1" numFmtId="171" xfId="0" applyBorder="1" applyFont="1" applyNumberFormat="1"/>
    <xf borderId="2" fillId="8" fontId="1" numFmtId="172" xfId="0" applyBorder="1" applyFont="1" applyNumberFormat="1"/>
    <xf borderId="1" fillId="8" fontId="10" numFmtId="0" xfId="0" applyAlignment="1" applyBorder="1" applyFont="1">
      <alignment shrinkToFit="0" wrapText="1"/>
    </xf>
    <xf borderId="1" fillId="8" fontId="1" numFmtId="173" xfId="0" applyBorder="1" applyFont="1" applyNumberFormat="1"/>
    <xf borderId="1" fillId="8" fontId="10" numFmtId="0" xfId="0" applyAlignment="1" applyBorder="1" applyFont="1">
      <alignment horizontal="center" shrinkToFit="0" wrapText="1"/>
    </xf>
    <xf borderId="1" fillId="0" fontId="11" numFmtId="0" xfId="0" applyBorder="1" applyFont="1"/>
    <xf borderId="3" fillId="0" fontId="11" numFmtId="0" xfId="0" applyBorder="1" applyFont="1"/>
    <xf borderId="3" fillId="8" fontId="1" numFmtId="0" xfId="0" applyBorder="1" applyFont="1"/>
    <xf borderId="2" fillId="2" fontId="6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wrapText="1"/>
    </xf>
    <xf borderId="4" fillId="2" fontId="12" numFmtId="0" xfId="0" applyAlignment="1" applyBorder="1" applyFont="1">
      <alignment horizontal="center" shrinkToFit="0" wrapText="1"/>
    </xf>
    <xf borderId="3" fillId="2" fontId="12" numFmtId="0" xfId="0" applyAlignment="1" applyBorder="1" applyFont="1">
      <alignment horizontal="center" shrinkToFit="0" wrapText="1"/>
    </xf>
    <xf borderId="2" fillId="2" fontId="12" numFmtId="0" xfId="0" applyAlignment="1" applyBorder="1" applyFont="1">
      <alignment horizontal="center" shrinkToFit="0" wrapText="1"/>
    </xf>
    <xf borderId="2" fillId="9" fontId="12" numFmtId="0" xfId="0" applyAlignment="1" applyBorder="1" applyFill="1" applyFont="1">
      <alignment horizontal="center" shrinkToFit="0" wrapText="1"/>
    </xf>
    <xf borderId="2" fillId="10" fontId="12" numFmtId="172" xfId="0" applyAlignment="1" applyBorder="1" applyFill="1" applyFont="1" applyNumberFormat="1">
      <alignment horizontal="center" shrinkToFit="0" wrapText="1"/>
    </xf>
    <xf borderId="4" fillId="2" fontId="12" numFmtId="172" xfId="0" applyAlignment="1" applyBorder="1" applyFont="1" applyNumberFormat="1">
      <alignment horizontal="center" shrinkToFit="0" wrapText="1"/>
    </xf>
    <xf borderId="3" fillId="2" fontId="12" numFmtId="173" xfId="0" applyAlignment="1" applyBorder="1" applyFont="1" applyNumberFormat="1">
      <alignment horizontal="center" shrinkToFit="0" wrapText="1"/>
    </xf>
    <xf borderId="5" fillId="11" fontId="10" numFmtId="0" xfId="0" applyAlignment="1" applyBorder="1" applyFill="1" applyFont="1">
      <alignment horizontal="center" shrinkToFit="0" wrapText="1"/>
    </xf>
    <xf borderId="5" fillId="11" fontId="10" numFmtId="174" xfId="0" applyAlignment="1" applyBorder="1" applyFont="1" applyNumberFormat="1">
      <alignment horizontal="center" shrinkToFit="0" wrapText="1"/>
    </xf>
    <xf borderId="2" fillId="11" fontId="10" numFmtId="0" xfId="0" applyAlignment="1" applyBorder="1" applyFont="1">
      <alignment horizontal="center" shrinkToFit="0" wrapText="1"/>
    </xf>
    <xf borderId="4" fillId="12" fontId="6" numFmtId="0" xfId="0" applyAlignment="1" applyBorder="1" applyFill="1" applyFont="1">
      <alignment readingOrder="0" shrinkToFit="0" wrapText="1"/>
    </xf>
    <xf borderId="4" fillId="12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3" fillId="0" fontId="6" numFmtId="164" xfId="0" applyAlignment="1" applyBorder="1" applyFont="1" applyNumberFormat="1">
      <alignment horizontal="center" shrinkToFit="0" wrapText="1"/>
    </xf>
    <xf borderId="3" fillId="0" fontId="6" numFmtId="0" xfId="0" applyAlignment="1" applyBorder="1" applyFont="1">
      <alignment horizontal="center" readingOrder="0" shrinkToFit="0" wrapText="1"/>
    </xf>
    <xf borderId="2" fillId="4" fontId="6" numFmtId="164" xfId="0" applyAlignment="1" applyBorder="1" applyFont="1" applyNumberFormat="1">
      <alignment horizontal="center" shrinkToFit="0" wrapText="1"/>
    </xf>
    <xf borderId="2" fillId="0" fontId="6" numFmtId="164" xfId="0" applyAlignment="1" applyBorder="1" applyFont="1" applyNumberFormat="1">
      <alignment horizontal="right" shrinkToFit="0" wrapText="1"/>
    </xf>
    <xf borderId="2" fillId="0" fontId="6" numFmtId="171" xfId="0" applyAlignment="1" applyBorder="1" applyFont="1" applyNumberFormat="1">
      <alignment horizontal="center" shrinkToFit="0" wrapText="1"/>
    </xf>
    <xf borderId="2" fillId="2" fontId="6" numFmtId="171" xfId="0" applyAlignment="1" applyBorder="1" applyFont="1" applyNumberFormat="1">
      <alignment horizontal="center" shrinkToFit="0" wrapText="1"/>
    </xf>
    <xf borderId="2" fillId="10" fontId="6" numFmtId="172" xfId="0" applyAlignment="1" applyBorder="1" applyFont="1" applyNumberFormat="1">
      <alignment horizontal="center" shrinkToFit="0" wrapText="1"/>
    </xf>
    <xf borderId="2" fillId="10" fontId="1" numFmtId="172" xfId="0" applyBorder="1" applyFont="1" applyNumberFormat="1"/>
    <xf borderId="4" fillId="2" fontId="1" numFmtId="172" xfId="0" applyBorder="1" applyFont="1" applyNumberFormat="1"/>
    <xf borderId="3" fillId="2" fontId="1" numFmtId="173" xfId="0" applyBorder="1" applyFont="1" applyNumberFormat="1"/>
    <xf borderId="5" fillId="0" fontId="6" numFmtId="0" xfId="0" applyAlignment="1" applyBorder="1" applyFont="1">
      <alignment horizontal="center" shrinkToFit="0" wrapText="1"/>
    </xf>
    <xf borderId="5" fillId="0" fontId="1" numFmtId="0" xfId="0" applyBorder="1" applyFont="1"/>
    <xf borderId="5" fillId="0" fontId="6" numFmtId="175" xfId="0" applyAlignment="1" applyBorder="1" applyFont="1" applyNumberFormat="1">
      <alignment horizontal="center" shrinkToFit="0" wrapText="1"/>
    </xf>
    <xf borderId="5" fillId="0" fontId="6" numFmtId="164" xfId="0" applyAlignment="1" applyBorder="1" applyFont="1" applyNumberFormat="1">
      <alignment horizontal="center" shrinkToFit="0" wrapText="1"/>
    </xf>
    <xf borderId="2" fillId="0" fontId="1" numFmtId="0" xfId="0" applyBorder="1" applyFont="1"/>
    <xf borderId="0" fillId="0" fontId="6" numFmtId="0" xfId="0" applyAlignment="1" applyFont="1">
      <alignment shrinkToFit="0" wrapText="1"/>
    </xf>
    <xf borderId="3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shrinkToFit="0" wrapText="1"/>
    </xf>
    <xf borderId="5" fillId="0" fontId="1" numFmtId="175" xfId="0" applyBorder="1" applyFont="1" applyNumberFormat="1"/>
    <xf borderId="5" fillId="0" fontId="1" numFmtId="164" xfId="0" applyBorder="1" applyFont="1" applyNumberFormat="1"/>
    <xf borderId="2" fillId="12" fontId="6" numFmtId="0" xfId="0" applyAlignment="1" applyBorder="1" applyFont="1">
      <alignment shrinkToFit="0" wrapText="1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6" numFmtId="164" xfId="0" applyAlignment="1" applyFont="1" applyNumberFormat="1">
      <alignment horizontal="center" shrinkToFit="0" wrapText="1"/>
    </xf>
    <xf borderId="0" fillId="0" fontId="1" numFmtId="164" xfId="0" applyFont="1" applyNumberFormat="1"/>
    <xf borderId="0" fillId="0" fontId="6" numFmtId="171" xfId="0" applyAlignment="1" applyFont="1" applyNumberFormat="1">
      <alignment horizontal="center" shrinkToFit="0" wrapText="1"/>
    </xf>
    <xf borderId="0" fillId="0" fontId="1" numFmtId="169" xfId="0" applyFont="1" applyNumberFormat="1"/>
    <xf borderId="0" fillId="0" fontId="1" numFmtId="165" xfId="0" applyFont="1" applyNumberFormat="1"/>
    <xf borderId="0" fillId="0" fontId="1" numFmtId="0" xfId="0" applyFont="1"/>
    <xf borderId="0" fillId="0" fontId="6" numFmtId="9" xfId="0" applyAlignment="1" applyFont="1" applyNumberFormat="1">
      <alignment horizontal="center" shrinkToFit="0" wrapText="1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right" shrinkToFit="0" wrapText="1"/>
    </xf>
    <xf borderId="0" fillId="0" fontId="13" numFmtId="164" xfId="0" applyAlignment="1" applyFont="1" applyNumberFormat="1">
      <alignment horizontal="center" shrinkToFit="0" wrapText="1"/>
    </xf>
    <xf borderId="0" fillId="6" fontId="12" numFmtId="164" xfId="0" applyAlignment="1" applyFont="1" applyNumberFormat="1">
      <alignment horizontal="center" shrinkToFit="0" wrapText="1"/>
    </xf>
    <xf borderId="0" fillId="0" fontId="1" numFmtId="3" xfId="0" applyFont="1" applyNumberFormat="1"/>
    <xf borderId="0" fillId="13" fontId="6" numFmtId="164" xfId="0" applyAlignment="1" applyFill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" numFmtId="9" xfId="0" applyAlignment="1" applyFont="1" applyNumberFormat="1">
      <alignment horizontal="center" shrinkToFit="0" wrapText="1"/>
    </xf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171" xfId="0" applyAlignment="1" applyFont="1" applyNumberFormat="1">
      <alignment shrinkToFit="0" vertical="center" wrapText="1"/>
    </xf>
    <xf borderId="0" fillId="0" fontId="6" numFmtId="173" xfId="0" applyAlignment="1" applyFont="1" applyNumberFormat="1">
      <alignment shrinkToFit="0" vertical="center" wrapText="1"/>
    </xf>
    <xf borderId="0" fillId="0" fontId="14" numFmtId="164" xfId="0" applyAlignment="1" applyFont="1" applyNumberFormat="1">
      <alignment vertical="center"/>
    </xf>
    <xf borderId="0" fillId="0" fontId="14" numFmtId="164" xfId="0" applyAlignment="1" applyFont="1" applyNumberFormat="1">
      <alignment horizontal="center" vertical="center"/>
    </xf>
    <xf borderId="2" fillId="8" fontId="15" numFmtId="164" xfId="0" applyAlignment="1" applyBorder="1" applyFont="1" applyNumberFormat="1">
      <alignment horizontal="center" shrinkToFit="0" vertical="center" wrapText="1"/>
    </xf>
    <xf borderId="2" fillId="0" fontId="16" numFmtId="164" xfId="0" applyAlignment="1" applyBorder="1" applyFont="1" applyNumberFormat="1">
      <alignment horizontal="left" shrinkToFit="0" vertical="center" wrapText="1"/>
    </xf>
    <xf borderId="2" fillId="0" fontId="16" numFmtId="164" xfId="0" applyAlignment="1" applyBorder="1" applyFont="1" applyNumberFormat="1">
      <alignment horizontal="center" shrinkToFit="0" vertical="center" wrapText="1"/>
    </xf>
    <xf borderId="2" fillId="0" fontId="16" numFmtId="164" xfId="0" applyAlignment="1" applyBorder="1" applyFont="1" applyNumberFormat="1">
      <alignment horizontal="left" readingOrder="0" shrinkToFit="0" vertical="center" wrapText="1"/>
    </xf>
    <xf borderId="2" fillId="6" fontId="17" numFmtId="164" xfId="0" applyAlignment="1" applyBorder="1" applyFont="1" applyNumberFormat="1">
      <alignment horizontal="left" shrinkToFit="0" vertical="center" wrapText="1"/>
    </xf>
    <xf borderId="2" fillId="6" fontId="18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</xdr:row>
      <xdr:rowOff>114300</xdr:rowOff>
    </xdr:from>
    <xdr:ext cx="6638925" cy="502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63"/>
    <col customWidth="1" min="3" max="3" width="22.38"/>
    <col customWidth="1" min="4" max="4" width="21.75"/>
    <col customWidth="1" min="5" max="5" width="20.5"/>
    <col customWidth="1" min="6" max="6" width="17.25"/>
    <col customWidth="1" min="7" max="7" width="28.63"/>
    <col customWidth="1" min="9" max="9" width="17.0"/>
  </cols>
  <sheetData>
    <row r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" t="s">
        <v>1</v>
      </c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/>
      <c r="C8" s="4"/>
      <c r="D8" s="4"/>
      <c r="E8" s="1"/>
      <c r="F8" s="4"/>
      <c r="G8" s="1"/>
      <c r="H8" s="4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/>
      <c r="C11" s="4"/>
      <c r="D11" s="8"/>
      <c r="E11" s="9"/>
      <c r="F11" s="10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/>
      <c r="C12" s="4"/>
      <c r="D12" s="8"/>
      <c r="E12" s="9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6" t="s">
        <v>20</v>
      </c>
      <c r="C15" s="6" t="s">
        <v>21</v>
      </c>
      <c r="D15" s="6" t="s">
        <v>22</v>
      </c>
      <c r="E15" s="1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1"/>
      <c r="E17" s="1"/>
      <c r="F17" s="1"/>
      <c r="G17" s="1"/>
      <c r="H17" s="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6" t="s">
        <v>23</v>
      </c>
      <c r="B18" s="6" t="s">
        <v>24</v>
      </c>
      <c r="C18" s="6" t="s">
        <v>25</v>
      </c>
      <c r="D18" s="6" t="s">
        <v>26</v>
      </c>
      <c r="E18" s="6" t="s">
        <v>27</v>
      </c>
      <c r="F18" s="6" t="s">
        <v>28</v>
      </c>
      <c r="G18" s="6" t="s">
        <v>29</v>
      </c>
      <c r="H18" s="6" t="s">
        <v>30</v>
      </c>
      <c r="I18" s="1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3"/>
      <c r="B19" s="8"/>
      <c r="C19" s="8"/>
      <c r="D19" s="8"/>
      <c r="E19" s="8"/>
      <c r="F19" s="8"/>
      <c r="G19" s="8"/>
      <c r="H19" s="8"/>
      <c r="I19" s="8"/>
      <c r="J19" s="8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8"/>
      <c r="C20" s="8"/>
      <c r="D20" s="8"/>
      <c r="E20" s="8"/>
      <c r="F20" s="8"/>
      <c r="G20" s="8"/>
      <c r="H20" s="8"/>
      <c r="I20" s="8"/>
      <c r="J20" s="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8"/>
      <c r="C21" s="8"/>
      <c r="D21" s="8"/>
      <c r="E21" s="8"/>
      <c r="F21" s="8"/>
      <c r="G21" s="8"/>
      <c r="H21" s="8"/>
      <c r="I21" s="8"/>
      <c r="J21" s="8"/>
      <c r="K21" s="14"/>
      <c r="L21" s="14"/>
      <c r="M21" s="14"/>
      <c r="N21" s="15"/>
      <c r="O21" s="15"/>
      <c r="P21" s="15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8"/>
      <c r="C22" s="8"/>
      <c r="D22" s="8"/>
      <c r="E22" s="8"/>
      <c r="F22" s="8"/>
      <c r="G22" s="8"/>
      <c r="H22" s="8"/>
      <c r="I22" s="8"/>
      <c r="J22" s="8"/>
      <c r="K22" s="14"/>
      <c r="L22" s="14"/>
      <c r="M22" s="14"/>
      <c r="N22" s="15"/>
      <c r="O22" s="15"/>
      <c r="P22" s="1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8"/>
      <c r="C23" s="8"/>
      <c r="D23" s="8"/>
      <c r="E23" s="8"/>
      <c r="F23" s="8"/>
      <c r="G23" s="8"/>
      <c r="H23" s="8"/>
      <c r="I23" s="8"/>
      <c r="J23" s="8"/>
      <c r="K23" s="14"/>
      <c r="L23" s="14"/>
      <c r="M23" s="14"/>
      <c r="N23" s="15"/>
      <c r="O23" s="1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8"/>
      <c r="C24" s="8"/>
      <c r="D24" s="8"/>
      <c r="E24" s="8"/>
      <c r="F24" s="8"/>
      <c r="G24" s="8"/>
      <c r="H24" s="8"/>
      <c r="I24" s="8"/>
      <c r="J24" s="8"/>
      <c r="K24" s="14"/>
      <c r="L24" s="14"/>
      <c r="M24" s="14"/>
      <c r="N24" s="15"/>
      <c r="O24" s="1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8"/>
      <c r="C25" s="8"/>
      <c r="D25" s="8"/>
      <c r="E25" s="8"/>
      <c r="F25" s="8"/>
      <c r="G25" s="8"/>
      <c r="H25" s="8"/>
      <c r="I25" s="8"/>
      <c r="J25" s="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8"/>
      <c r="C26" s="8"/>
      <c r="D26" s="8"/>
      <c r="E26" s="8"/>
      <c r="F26" s="8"/>
      <c r="G26" s="8"/>
      <c r="H26" s="8"/>
      <c r="I26" s="8"/>
      <c r="J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8"/>
      <c r="C27" s="8"/>
      <c r="D27" s="8"/>
      <c r="E27" s="8"/>
      <c r="F27" s="8"/>
      <c r="G27" s="8"/>
      <c r="H27" s="8"/>
      <c r="I27" s="8"/>
      <c r="J27" s="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6"/>
      <c r="G28" s="1"/>
      <c r="H28" s="16"/>
      <c r="I28" s="1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6"/>
      <c r="G29" s="1"/>
      <c r="H29" s="16"/>
      <c r="I29" s="1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6"/>
      <c r="G30" s="1"/>
      <c r="H30" s="1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7"/>
      <c r="E31" s="18"/>
      <c r="F31" s="16"/>
      <c r="G31" s="19"/>
      <c r="H31" s="1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7"/>
      <c r="E32" s="18"/>
      <c r="F32" s="16"/>
      <c r="G32" s="19"/>
      <c r="H32" s="1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0"/>
      <c r="F33" s="16"/>
      <c r="G33" s="18"/>
      <c r="H33" s="1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21"/>
      <c r="E34" s="20"/>
      <c r="F34" s="16"/>
      <c r="G34" s="18"/>
      <c r="H34" s="1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22">
        <f>SUM(H19:H34)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9.38"/>
    <col customWidth="1" min="7" max="7" width="14.38"/>
    <col customWidth="1" min="9" max="9" width="6.63"/>
    <col customWidth="1" min="10" max="10" width="0.38"/>
    <col customWidth="1" min="11" max="11" width="14.38"/>
  </cols>
  <sheetData>
    <row r="1">
      <c r="A1" s="24"/>
      <c r="B1" s="24"/>
      <c r="C1" s="24"/>
      <c r="D1" s="24"/>
      <c r="E1" s="24"/>
      <c r="F1" s="24"/>
      <c r="G1" s="24"/>
      <c r="H1" s="24"/>
      <c r="I1" s="24"/>
      <c r="J1" s="25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>
      <c r="A2" s="24"/>
      <c r="B2" s="24"/>
      <c r="C2" s="24"/>
      <c r="D2" s="24"/>
      <c r="E2" s="24"/>
      <c r="F2" s="24"/>
      <c r="H2" s="24"/>
      <c r="I2" s="24"/>
      <c r="J2" s="25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>
      <c r="A3" s="24"/>
      <c r="B3" s="24"/>
      <c r="C3" s="24"/>
      <c r="D3" s="24"/>
      <c r="E3" s="24"/>
      <c r="F3" s="24"/>
      <c r="G3" s="24" t="s">
        <v>31</v>
      </c>
      <c r="H3" s="24"/>
      <c r="I3" s="24"/>
      <c r="J3" s="25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>
      <c r="A4" s="24"/>
      <c r="B4" s="24"/>
      <c r="C4" s="24"/>
      <c r="D4" s="24"/>
      <c r="E4" s="24"/>
      <c r="F4" s="24"/>
      <c r="G4" s="24" t="s">
        <v>32</v>
      </c>
      <c r="H4" s="24"/>
      <c r="I4" s="24"/>
      <c r="J4" s="25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>
      <c r="A5" s="24"/>
      <c r="B5" s="24"/>
      <c r="C5" s="24"/>
      <c r="D5" s="24"/>
      <c r="E5" s="24"/>
      <c r="F5" s="26"/>
      <c r="G5" s="27" t="s">
        <v>33</v>
      </c>
      <c r="H5" s="24"/>
      <c r="I5" s="24"/>
      <c r="J5" s="25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>
      <c r="A6" s="24"/>
      <c r="B6" s="24"/>
      <c r="C6" s="24"/>
      <c r="D6" s="24"/>
      <c r="E6" s="24"/>
      <c r="G6" s="24" t="s">
        <v>34</v>
      </c>
      <c r="H6" s="24"/>
      <c r="I6" s="24"/>
      <c r="J6" s="25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>
      <c r="A7" s="24"/>
      <c r="B7" s="24"/>
      <c r="C7" s="24"/>
      <c r="D7" s="24"/>
      <c r="E7" s="24"/>
      <c r="F7" s="24"/>
      <c r="G7" s="27" t="s">
        <v>35</v>
      </c>
      <c r="H7" s="24"/>
      <c r="I7" s="24"/>
      <c r="J7" s="25"/>
      <c r="K7" s="27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>
      <c r="A8" s="24"/>
      <c r="B8" s="24"/>
      <c r="C8" s="24"/>
      <c r="D8" s="24"/>
      <c r="E8" s="24"/>
      <c r="F8" s="24"/>
      <c r="G8" s="27" t="s">
        <v>36</v>
      </c>
      <c r="H8" s="24"/>
      <c r="I8" s="24"/>
      <c r="J8" s="25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>
      <c r="A9" s="24"/>
      <c r="B9" s="24"/>
      <c r="C9" s="24"/>
      <c r="D9" s="24"/>
      <c r="E9" s="24"/>
      <c r="F9" s="24"/>
      <c r="G9" s="24" t="s">
        <v>37</v>
      </c>
      <c r="H9" s="24"/>
      <c r="I9" s="24"/>
      <c r="J9" s="25"/>
      <c r="K9" s="28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24"/>
      <c r="B10" s="24"/>
      <c r="C10" s="24"/>
      <c r="D10" s="24"/>
      <c r="E10" s="24"/>
      <c r="F10" s="24"/>
      <c r="G10" s="29">
        <v>35252.0</v>
      </c>
      <c r="H10" s="24"/>
      <c r="I10" s="24"/>
      <c r="J10" s="25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>
      <c r="A11" s="24"/>
      <c r="B11" s="24"/>
      <c r="C11" s="24"/>
      <c r="D11" s="24"/>
      <c r="E11" s="24"/>
      <c r="F11" s="24"/>
      <c r="G11" s="28"/>
      <c r="H11" s="24"/>
      <c r="I11" s="24"/>
      <c r="J11" s="2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5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>
      <c r="A13" s="24"/>
      <c r="B13" s="24"/>
      <c r="C13" s="24"/>
      <c r="D13" s="24"/>
      <c r="E13" s="24"/>
      <c r="F13" s="24"/>
      <c r="G13" s="24"/>
      <c r="H13" s="24"/>
      <c r="I13" s="24"/>
      <c r="J13" s="2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>
      <c r="A15" s="24"/>
      <c r="B15" s="24"/>
      <c r="C15" s="24"/>
      <c r="D15" s="24"/>
      <c r="E15" s="24"/>
      <c r="F15" s="24"/>
      <c r="G15" s="28"/>
      <c r="H15" s="24"/>
      <c r="I15" s="24"/>
      <c r="J15" s="28"/>
      <c r="K15" s="28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5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5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5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5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5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5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5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5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5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5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5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5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5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5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5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5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5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5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5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5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5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5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5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5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5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5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5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5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5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5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5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5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5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5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5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5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5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5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5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5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5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5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5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5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5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5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5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5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5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5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5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5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5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5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5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5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5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5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5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5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5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5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5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5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5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5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5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5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5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5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5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5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5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5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5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5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5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5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5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5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5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5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5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5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5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5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5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5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5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5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5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5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5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5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5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5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5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5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5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5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5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5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5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5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5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5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5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5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5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5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5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5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5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5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5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5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5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5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5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5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5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5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5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5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5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5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5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5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5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5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5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5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5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5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5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5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5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5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5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5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5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5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5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5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5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5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5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5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5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5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5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5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5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5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5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5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5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5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5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5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5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5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5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5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5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5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5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5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5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5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5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5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5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5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5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5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5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5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5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5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5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5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5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5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5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5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5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5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5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5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5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5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5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5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5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5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5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5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5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5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5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5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5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5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5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5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5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5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5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5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5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5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5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5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5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5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5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5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5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5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5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5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5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5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5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5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5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5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5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5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5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5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5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5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5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5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5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5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5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5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5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5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5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5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5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5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5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5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5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5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5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5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5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5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5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5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5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5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5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5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5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5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5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5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5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5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5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5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5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5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5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5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5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5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5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5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5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5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5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5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5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5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5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5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5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5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5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5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5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5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5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5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5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5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5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5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5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5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5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5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5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5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5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5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5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5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5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5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5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5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5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5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5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5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5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5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5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5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5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5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5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5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5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5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5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5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5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5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5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5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5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5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5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5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5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5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5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5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5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5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5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5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5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5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5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5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5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5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5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5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5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5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5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5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5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5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5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5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5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5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5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5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5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5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5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5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5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5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5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5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5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5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5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5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5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5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5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5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5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5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5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5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5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5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5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5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5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5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5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5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5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5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5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5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5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5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5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5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5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5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5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5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5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5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5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5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5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5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5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5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5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5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5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5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5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5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5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5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5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5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5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5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5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5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5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5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5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5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5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5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5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5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5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5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5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5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5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5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5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5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5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5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5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5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5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5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5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5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5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5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5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5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5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5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5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5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5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5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5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5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5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5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5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5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5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5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5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5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5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5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5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5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5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5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5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5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5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5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5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5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5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5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5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5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5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5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5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5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5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5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5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5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5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5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5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5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5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5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5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5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5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5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5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5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5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5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5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5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5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5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5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5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5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5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5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5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5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5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5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5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5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5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5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5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5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5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5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5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5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5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5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5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5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5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5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5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5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5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5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5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5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5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5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5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5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5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5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5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5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5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5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5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5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5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5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5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5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5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5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5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5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5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5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5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5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5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5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5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5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5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5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5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5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5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5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5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5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5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5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5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5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5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5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5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5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5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5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5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5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5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5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5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5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5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5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5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5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5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5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5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5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5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5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5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5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5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5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5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5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5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5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5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5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5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5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5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5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5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5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5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5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5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5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5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5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5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5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5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5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5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5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5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5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5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5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5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5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5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5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5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5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5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5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5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5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5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5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5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5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5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5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5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5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5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5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5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5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5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5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5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5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5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5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5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5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5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5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5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5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5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5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5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5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5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5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5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5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5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5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5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5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5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5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5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5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5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5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5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5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5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5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5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5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5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5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5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5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5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5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5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5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5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5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5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5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5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5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5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5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5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5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5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5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5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5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5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5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5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5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5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5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5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5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5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5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5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5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5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5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5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5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5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5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5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5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5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5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5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5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5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5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5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5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5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5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5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5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5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5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5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5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5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5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5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5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5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5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5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5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5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5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5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5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5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5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5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5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5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5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5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5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5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5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5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5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5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5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5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5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5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5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5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5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5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5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5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5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5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5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5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5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5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5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5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5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5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5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5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5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5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5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5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5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5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5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5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5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5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5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5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5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5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5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5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5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5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5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5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5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5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5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5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5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5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5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5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5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5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5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5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5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5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5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5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5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5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5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5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5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5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5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5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5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5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5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5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5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5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5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5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5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5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5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5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5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5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5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5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5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5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5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5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5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5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5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5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5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5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5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5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5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5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5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5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5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5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5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5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5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5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5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5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5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5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5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5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5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5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5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5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5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5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5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5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5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5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5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5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5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5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5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5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5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5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5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5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5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5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5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5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5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5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5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5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5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5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5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5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5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5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5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5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5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5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5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5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5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5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5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5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5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5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5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5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5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5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5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5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5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5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5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5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5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5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5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5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5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5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5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5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5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5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5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5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5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5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5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5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5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5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5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5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5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5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5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5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5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5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5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5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5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5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5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5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5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5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5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5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5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5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5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5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5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</row>
  </sheetData>
  <mergeCells count="1">
    <mergeCell ref="F5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7.13"/>
    <col customWidth="1" min="2" max="2" width="13.75"/>
    <col customWidth="1" min="3" max="3" width="10.38"/>
    <col customWidth="1" min="4" max="4" width="12.25"/>
    <col customWidth="1" min="5" max="5" width="49.25"/>
    <col customWidth="1" min="6" max="6" width="17.63"/>
    <col customWidth="1" min="7" max="7" width="13.63"/>
    <col customWidth="1" min="8" max="8" width="16.75"/>
    <col customWidth="1" min="9" max="9" width="10.0"/>
    <col customWidth="1" min="10" max="10" width="3.13"/>
    <col customWidth="1" min="11" max="11" width="11.25"/>
    <col customWidth="1" min="12" max="12" width="13.63"/>
    <col customWidth="1" min="13" max="13" width="10.88"/>
    <col customWidth="1" min="14" max="14" width="5.75"/>
    <col customWidth="1" min="18" max="18" width="2.13"/>
    <col customWidth="1" min="21" max="21" width="3.13"/>
    <col customWidth="1" min="22" max="22" width="30.13"/>
    <col customWidth="1" min="24" max="24" width="11.38"/>
    <col customWidth="1" min="26" max="26" width="27.63"/>
    <col customWidth="1" min="27" max="28" width="19.63"/>
    <col customWidth="1" min="29" max="29" width="3.5"/>
    <col customWidth="1" min="31" max="31" width="29.0"/>
    <col customWidth="1" min="32" max="32" width="25.88"/>
    <col customWidth="1" min="33" max="33" width="23.25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30"/>
      <c r="N1" s="31"/>
      <c r="O1" s="27"/>
      <c r="P1" s="27"/>
      <c r="Q1" s="27"/>
      <c r="R1" s="27"/>
      <c r="S1" s="27"/>
      <c r="T1" s="32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</row>
    <row r="2" ht="15.75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30"/>
      <c r="N2" s="31"/>
      <c r="O2" s="27"/>
      <c r="P2" s="27"/>
      <c r="Q2" s="27"/>
      <c r="R2" s="27"/>
      <c r="S2" s="27"/>
      <c r="T2" s="32"/>
      <c r="U2" s="27"/>
      <c r="V2" s="33" t="s">
        <v>38</v>
      </c>
      <c r="W2" s="27"/>
      <c r="X2" s="27"/>
      <c r="Y2" s="27"/>
      <c r="Z2" s="27"/>
      <c r="AA2" s="27"/>
      <c r="AB2" s="27"/>
      <c r="AC2" s="27"/>
      <c r="AD2" s="33" t="s">
        <v>39</v>
      </c>
      <c r="AE2" s="34"/>
      <c r="AF2" s="34"/>
      <c r="AG2" s="34"/>
      <c r="AH2" s="27"/>
      <c r="AI2" s="27"/>
    </row>
    <row r="3">
      <c r="A3" s="27"/>
      <c r="B3" s="35"/>
      <c r="C3" s="36" t="s">
        <v>40</v>
      </c>
      <c r="D3" s="37"/>
      <c r="E3" s="37"/>
      <c r="F3" s="37"/>
      <c r="G3" s="37"/>
      <c r="H3" s="37"/>
      <c r="I3" s="35"/>
      <c r="J3" s="27"/>
      <c r="K3" s="38"/>
      <c r="L3" s="38"/>
      <c r="M3" s="39"/>
      <c r="N3" s="31"/>
      <c r="O3" s="40"/>
      <c r="P3" s="40"/>
      <c r="Q3" s="37"/>
      <c r="R3" s="27"/>
      <c r="S3" s="41" t="s">
        <v>41</v>
      </c>
      <c r="T3" s="42"/>
      <c r="U3" s="27"/>
      <c r="V3" s="43" t="s">
        <v>40</v>
      </c>
      <c r="W3" s="44"/>
      <c r="X3" s="44"/>
      <c r="Y3" s="44"/>
      <c r="Z3" s="38"/>
      <c r="AA3" s="38"/>
      <c r="AB3" s="38"/>
      <c r="AC3" s="27"/>
      <c r="AD3" s="43" t="s">
        <v>42</v>
      </c>
      <c r="AE3" s="44"/>
      <c r="AF3" s="45"/>
      <c r="AG3" s="46"/>
      <c r="AH3" s="27"/>
      <c r="AI3" s="27"/>
    </row>
    <row r="4">
      <c r="A4" s="27"/>
      <c r="B4" s="47" t="s">
        <v>43</v>
      </c>
      <c r="C4" s="47" t="s">
        <v>44</v>
      </c>
      <c r="D4" s="48" t="s">
        <v>45</v>
      </c>
      <c r="E4" s="49" t="s">
        <v>15</v>
      </c>
      <c r="F4" s="50" t="s">
        <v>46</v>
      </c>
      <c r="G4" s="50" t="s">
        <v>47</v>
      </c>
      <c r="H4" s="50" t="s">
        <v>48</v>
      </c>
      <c r="I4" s="51" t="s">
        <v>49</v>
      </c>
      <c r="J4" s="27"/>
      <c r="K4" s="51" t="s">
        <v>50</v>
      </c>
      <c r="L4" s="51" t="s">
        <v>51</v>
      </c>
      <c r="M4" s="51" t="s">
        <v>52</v>
      </c>
      <c r="N4" s="31"/>
      <c r="O4" s="52" t="s">
        <v>52</v>
      </c>
      <c r="P4" s="53" t="s">
        <v>53</v>
      </c>
      <c r="Q4" s="53" t="s">
        <v>54</v>
      </c>
      <c r="R4" s="27"/>
      <c r="S4" s="54" t="s">
        <v>55</v>
      </c>
      <c r="T4" s="55" t="s">
        <v>56</v>
      </c>
      <c r="U4" s="27"/>
      <c r="V4" s="56" t="s">
        <v>57</v>
      </c>
      <c r="W4" s="57" t="s">
        <v>8</v>
      </c>
      <c r="X4" s="57" t="s">
        <v>58</v>
      </c>
      <c r="Y4" s="57" t="s">
        <v>59</v>
      </c>
      <c r="Z4" s="56" t="s">
        <v>60</v>
      </c>
      <c r="AA4" s="56" t="s">
        <v>61</v>
      </c>
      <c r="AB4" s="57" t="s">
        <v>62</v>
      </c>
      <c r="AC4" s="27"/>
      <c r="AD4" s="58" t="s">
        <v>63</v>
      </c>
      <c r="AE4" s="56" t="s">
        <v>64</v>
      </c>
      <c r="AF4" s="56" t="s">
        <v>65</v>
      </c>
      <c r="AG4" s="56" t="s">
        <v>66</v>
      </c>
      <c r="AH4" s="27"/>
      <c r="AI4" s="27"/>
    </row>
    <row r="5">
      <c r="A5" s="27"/>
      <c r="B5" s="27"/>
      <c r="C5" s="59" t="s">
        <v>67</v>
      </c>
      <c r="D5" s="60" t="s">
        <v>68</v>
      </c>
      <c r="E5" s="59" t="s">
        <v>69</v>
      </c>
      <c r="F5" s="61" t="s">
        <v>70</v>
      </c>
      <c r="G5" s="62">
        <v>37440.0</v>
      </c>
      <c r="H5" s="63">
        <v>7.0</v>
      </c>
      <c r="I5" s="64">
        <f t="shared" ref="I5:I8" si="1">G5*H5</f>
        <v>262080</v>
      </c>
      <c r="J5" s="27"/>
      <c r="K5" s="65">
        <f t="shared" ref="K5:K6" si="2">I5/0.8</f>
        <v>327600</v>
      </c>
      <c r="L5" s="66">
        <f t="shared" ref="L5:L8" si="3">K5/$H$14</f>
        <v>86.21052632</v>
      </c>
      <c r="M5" s="67">
        <v>50.0</v>
      </c>
      <c r="N5" s="31"/>
      <c r="O5" s="68">
        <f>37440*4</f>
        <v>149760</v>
      </c>
      <c r="P5" s="69"/>
      <c r="Q5" s="69"/>
      <c r="R5" s="27"/>
      <c r="S5" s="70"/>
      <c r="T5" s="71"/>
      <c r="U5" s="27"/>
      <c r="V5" s="72" t="s">
        <v>71</v>
      </c>
      <c r="W5" s="73"/>
      <c r="X5" s="74">
        <v>45636.0</v>
      </c>
      <c r="Y5" s="75">
        <v>152260.0</v>
      </c>
      <c r="Z5" s="72" t="s">
        <v>72</v>
      </c>
      <c r="AA5" s="73"/>
      <c r="AB5" s="73"/>
      <c r="AC5" s="27"/>
      <c r="AD5" s="76"/>
      <c r="AE5" s="73"/>
      <c r="AF5" s="73"/>
      <c r="AG5" s="73"/>
      <c r="AH5" s="27"/>
      <c r="AI5" s="27"/>
    </row>
    <row r="6">
      <c r="A6" s="27"/>
      <c r="B6" s="27"/>
      <c r="C6" s="77" t="s">
        <v>73</v>
      </c>
      <c r="D6" s="60" t="s">
        <v>68</v>
      </c>
      <c r="E6" s="60" t="s">
        <v>74</v>
      </c>
      <c r="F6" s="78" t="s">
        <v>70</v>
      </c>
      <c r="G6" s="62">
        <v>35000.0</v>
      </c>
      <c r="H6" s="79">
        <v>1.0</v>
      </c>
      <c r="I6" s="64">
        <f t="shared" si="1"/>
        <v>35000</v>
      </c>
      <c r="J6" s="27"/>
      <c r="K6" s="65">
        <f t="shared" si="2"/>
        <v>43750</v>
      </c>
      <c r="L6" s="66">
        <f t="shared" si="3"/>
        <v>11.51315789</v>
      </c>
      <c r="M6" s="67">
        <v>10.0</v>
      </c>
      <c r="N6" s="31"/>
      <c r="O6" s="68">
        <f>152260-O5</f>
        <v>2500</v>
      </c>
      <c r="P6" s="69"/>
      <c r="Q6" s="69"/>
      <c r="R6" s="27"/>
      <c r="S6" s="70"/>
      <c r="T6" s="71"/>
      <c r="U6" s="27"/>
      <c r="V6" s="73"/>
      <c r="W6" s="73"/>
      <c r="X6" s="80"/>
      <c r="Y6" s="81"/>
      <c r="Z6" s="73"/>
      <c r="AA6" s="73"/>
      <c r="AB6" s="73"/>
      <c r="AC6" s="27"/>
      <c r="AD6" s="76"/>
      <c r="AE6" s="73"/>
      <c r="AF6" s="73"/>
      <c r="AG6" s="73"/>
      <c r="AH6" s="27"/>
      <c r="AI6" s="27"/>
    </row>
    <row r="7">
      <c r="A7" s="27"/>
      <c r="B7" s="27"/>
      <c r="C7" s="27"/>
      <c r="D7" s="27"/>
      <c r="E7" s="60" t="s">
        <v>75</v>
      </c>
      <c r="F7" s="78" t="s">
        <v>76</v>
      </c>
      <c r="G7" s="62">
        <v>20000.0</v>
      </c>
      <c r="H7" s="79">
        <v>1.0</v>
      </c>
      <c r="I7" s="64">
        <f t="shared" si="1"/>
        <v>20000</v>
      </c>
      <c r="J7" s="27"/>
      <c r="K7" s="65">
        <v>22000.0</v>
      </c>
      <c r="L7" s="66">
        <f t="shared" si="3"/>
        <v>5.789473684</v>
      </c>
      <c r="M7" s="67">
        <v>6.0</v>
      </c>
      <c r="N7" s="31"/>
      <c r="O7" s="69"/>
      <c r="P7" s="69"/>
      <c r="Q7" s="69"/>
      <c r="R7" s="27"/>
      <c r="S7" s="70"/>
      <c r="T7" s="71"/>
      <c r="U7" s="27"/>
      <c r="V7" s="73"/>
      <c r="W7" s="73"/>
      <c r="X7" s="73"/>
      <c r="Y7" s="73"/>
      <c r="Z7" s="73"/>
      <c r="AA7" s="73"/>
      <c r="AB7" s="73"/>
      <c r="AC7" s="27"/>
      <c r="AD7" s="76"/>
      <c r="AE7" s="73"/>
      <c r="AF7" s="73"/>
      <c r="AG7" s="73"/>
      <c r="AH7" s="27"/>
      <c r="AI7" s="27"/>
    </row>
    <row r="8">
      <c r="A8" s="27"/>
      <c r="B8" s="27"/>
      <c r="C8" s="27"/>
      <c r="D8" s="27"/>
      <c r="E8" s="82" t="s">
        <v>77</v>
      </c>
      <c r="F8" s="78" t="s">
        <v>76</v>
      </c>
      <c r="G8" s="62">
        <v>35000.0</v>
      </c>
      <c r="H8" s="79">
        <v>1.0</v>
      </c>
      <c r="I8" s="64">
        <f t="shared" si="1"/>
        <v>35000</v>
      </c>
      <c r="J8" s="27"/>
      <c r="K8" s="65">
        <f>I8/0.9</f>
        <v>38888.88889</v>
      </c>
      <c r="L8" s="66">
        <f t="shared" si="3"/>
        <v>10.23391813</v>
      </c>
      <c r="M8" s="67">
        <v>10.0</v>
      </c>
      <c r="N8" s="31"/>
      <c r="O8" s="68">
        <f>2750*8</f>
        <v>22000</v>
      </c>
      <c r="P8" s="68">
        <v>0.0</v>
      </c>
      <c r="Q8" s="68">
        <v>22000.0</v>
      </c>
      <c r="R8" s="27"/>
      <c r="S8" s="70"/>
      <c r="T8" s="71"/>
      <c r="U8" s="27"/>
      <c r="V8" s="76"/>
      <c r="W8" s="76"/>
      <c r="X8" s="76"/>
      <c r="Y8" s="76"/>
      <c r="Z8" s="76"/>
      <c r="AA8" s="76"/>
      <c r="AB8" s="76"/>
      <c r="AC8" s="27"/>
      <c r="AD8" s="76"/>
      <c r="AE8" s="73"/>
      <c r="AF8" s="73"/>
      <c r="AG8" s="73"/>
      <c r="AH8" s="27"/>
      <c r="AI8" s="27"/>
    </row>
    <row r="9">
      <c r="A9" s="27"/>
      <c r="B9" s="27"/>
      <c r="C9" s="27"/>
      <c r="D9" s="27"/>
      <c r="E9" s="27"/>
      <c r="F9" s="27"/>
      <c r="G9" s="83"/>
      <c r="H9" s="84"/>
      <c r="I9" s="85">
        <f>SUM(I5:I8)</f>
        <v>352080</v>
      </c>
      <c r="J9" s="27"/>
      <c r="K9" s="85">
        <f>SUM(K5:K8)</f>
        <v>432238.8889</v>
      </c>
      <c r="L9" s="86"/>
      <c r="M9" s="87">
        <f>SUM(M5:M8)</f>
        <v>76</v>
      </c>
      <c r="N9" s="31"/>
      <c r="O9" s="31"/>
      <c r="P9" s="31"/>
      <c r="Q9" s="31"/>
      <c r="R9" s="27"/>
      <c r="S9" s="31"/>
      <c r="T9" s="32"/>
      <c r="U9" s="27"/>
      <c r="V9" s="88"/>
      <c r="W9" s="27"/>
      <c r="X9" s="89"/>
      <c r="Y9" s="89"/>
      <c r="Z9" s="89"/>
      <c r="AA9" s="89"/>
      <c r="AB9" s="89"/>
      <c r="AC9" s="27"/>
      <c r="AD9" s="27"/>
      <c r="AE9" s="27"/>
      <c r="AF9" s="27"/>
      <c r="AG9" s="27"/>
      <c r="AH9" s="27"/>
      <c r="AI9" s="27"/>
    </row>
    <row r="10">
      <c r="A10" s="27"/>
      <c r="B10" s="27"/>
      <c r="C10" s="27"/>
      <c r="D10" s="27"/>
      <c r="E10" s="84"/>
      <c r="F10" s="27"/>
      <c r="G10" s="90"/>
      <c r="H10" s="91">
        <v>0.18</v>
      </c>
      <c r="I10" s="85">
        <f>I9/0.82</f>
        <v>429365.8537</v>
      </c>
      <c r="J10" s="27"/>
      <c r="K10" s="86"/>
      <c r="L10" s="86"/>
      <c r="M10" s="30"/>
      <c r="N10" s="31"/>
      <c r="O10" s="31"/>
      <c r="P10" s="31"/>
      <c r="Q10" s="31"/>
      <c r="R10" s="27"/>
      <c r="S10" s="31"/>
      <c r="T10" s="32"/>
      <c r="U10" s="27"/>
      <c r="V10" s="88"/>
      <c r="W10" s="27"/>
      <c r="X10" s="89"/>
      <c r="Y10" s="89"/>
      <c r="Z10" s="89"/>
      <c r="AA10" s="89"/>
      <c r="AB10" s="89"/>
      <c r="AC10" s="27"/>
      <c r="AD10" s="27"/>
      <c r="AE10" s="27"/>
      <c r="AF10" s="27"/>
      <c r="AG10" s="27"/>
      <c r="AH10" s="27"/>
      <c r="AI10" s="27"/>
    </row>
    <row r="11">
      <c r="A11" s="27"/>
      <c r="B11" s="27"/>
      <c r="C11" s="27"/>
      <c r="D11" s="27"/>
      <c r="E11" s="92"/>
      <c r="F11" s="27"/>
      <c r="G11" s="93" t="s">
        <v>78</v>
      </c>
      <c r="H11" s="85" t="s">
        <v>79</v>
      </c>
      <c r="I11" s="85">
        <f>I9*4/1000</f>
        <v>1408.32</v>
      </c>
      <c r="J11" s="27"/>
      <c r="K11" s="94"/>
      <c r="L11" s="86"/>
      <c r="M11" s="87">
        <f>I11/$H$14</f>
        <v>0.3706105263</v>
      </c>
      <c r="N11" s="31"/>
      <c r="O11" s="31"/>
      <c r="P11" s="31"/>
      <c r="Q11" s="31"/>
      <c r="R11" s="27"/>
      <c r="S11" s="31"/>
      <c r="T11" s="32"/>
      <c r="U11" s="27"/>
      <c r="V11" s="88"/>
      <c r="W11" s="27"/>
      <c r="X11" s="89"/>
      <c r="Y11" s="89"/>
      <c r="Z11" s="89"/>
      <c r="AA11" s="89"/>
      <c r="AB11" s="89"/>
      <c r="AC11" s="27"/>
      <c r="AD11" s="27"/>
      <c r="AE11" s="27"/>
      <c r="AF11" s="27"/>
      <c r="AG11" s="27"/>
      <c r="AH11" s="27"/>
      <c r="AI11" s="27"/>
    </row>
    <row r="12">
      <c r="A12" s="27"/>
      <c r="B12" s="27"/>
      <c r="C12" s="27"/>
      <c r="D12" s="27"/>
      <c r="E12" s="90"/>
      <c r="F12" s="27"/>
      <c r="G12" s="93" t="s">
        <v>78</v>
      </c>
      <c r="H12" s="95" t="s">
        <v>80</v>
      </c>
      <c r="I12" s="86"/>
      <c r="J12" s="27"/>
      <c r="K12" s="86"/>
      <c r="L12" s="86"/>
      <c r="M12" s="30"/>
      <c r="N12" s="31"/>
      <c r="O12" s="31"/>
      <c r="P12" s="31"/>
      <c r="Q12" s="31"/>
      <c r="R12" s="27"/>
      <c r="S12" s="31"/>
      <c r="T12" s="32"/>
      <c r="U12" s="27"/>
      <c r="V12" s="88"/>
      <c r="W12" s="27"/>
      <c r="X12" s="89"/>
      <c r="Y12" s="89"/>
      <c r="Z12" s="89"/>
      <c r="AA12" s="89"/>
      <c r="AB12" s="89"/>
      <c r="AC12" s="27"/>
      <c r="AD12" s="27"/>
      <c r="AE12" s="27"/>
      <c r="AF12" s="27"/>
      <c r="AG12" s="27"/>
      <c r="AH12" s="27"/>
      <c r="AI12" s="27"/>
    </row>
    <row r="13">
      <c r="A13" s="27"/>
      <c r="B13" s="27"/>
      <c r="C13" s="27"/>
      <c r="D13" s="27"/>
      <c r="E13" s="27"/>
      <c r="F13" s="27"/>
      <c r="G13" s="93" t="s">
        <v>78</v>
      </c>
      <c r="H13" s="95" t="s">
        <v>81</v>
      </c>
      <c r="I13" s="83"/>
      <c r="J13" s="27"/>
      <c r="K13" s="86"/>
      <c r="L13" s="86"/>
      <c r="M13" s="30"/>
      <c r="N13" s="31"/>
      <c r="O13" s="31"/>
      <c r="P13" s="31"/>
      <c r="Q13" s="31"/>
      <c r="R13" s="27"/>
      <c r="S13" s="31"/>
      <c r="T13" s="32"/>
      <c r="U13" s="27"/>
      <c r="V13" s="88"/>
      <c r="W13" s="27"/>
      <c r="X13" s="89"/>
      <c r="Y13" s="89"/>
      <c r="Z13" s="89"/>
      <c r="AA13" s="89"/>
      <c r="AB13" s="89"/>
      <c r="AC13" s="27"/>
      <c r="AD13" s="27"/>
      <c r="AE13" s="27"/>
      <c r="AF13" s="27"/>
      <c r="AG13" s="27"/>
      <c r="AH13" s="27"/>
      <c r="AI13" s="27"/>
    </row>
    <row r="14">
      <c r="A14" s="27"/>
      <c r="B14" s="27"/>
      <c r="C14" s="27"/>
      <c r="D14" s="27"/>
      <c r="E14" s="27"/>
      <c r="F14" s="27"/>
      <c r="G14" s="93" t="s">
        <v>82</v>
      </c>
      <c r="H14" s="85">
        <v>3800.0</v>
      </c>
      <c r="I14" s="96">
        <f>SUM(I10:I13)</f>
        <v>430774.1737</v>
      </c>
      <c r="J14" s="27"/>
      <c r="K14" s="86"/>
      <c r="L14" s="86"/>
      <c r="M14" s="84"/>
      <c r="N14" s="31"/>
      <c r="O14" s="31"/>
      <c r="P14" s="31"/>
      <c r="Q14" s="31"/>
      <c r="R14" s="27"/>
      <c r="S14" s="31"/>
      <c r="T14" s="32"/>
      <c r="U14" s="27"/>
      <c r="V14" s="88"/>
      <c r="W14" s="27"/>
      <c r="X14" s="89"/>
      <c r="Y14" s="89"/>
      <c r="Z14" s="89"/>
      <c r="AA14" s="89"/>
      <c r="AB14" s="89"/>
      <c r="AC14" s="27"/>
      <c r="AD14" s="27"/>
      <c r="AE14" s="27"/>
      <c r="AF14" s="27"/>
      <c r="AG14" s="27"/>
      <c r="AH14" s="27"/>
      <c r="AI14" s="97"/>
    </row>
    <row r="15">
      <c r="A15" s="27"/>
      <c r="B15" s="27"/>
      <c r="C15" s="27"/>
      <c r="D15" s="27"/>
      <c r="E15" s="27"/>
      <c r="F15" s="27"/>
      <c r="G15" s="27"/>
      <c r="H15" s="86"/>
      <c r="I15" s="98">
        <f>I14/H14</f>
        <v>113.3616246</v>
      </c>
      <c r="J15" s="27"/>
      <c r="K15" s="86"/>
      <c r="L15" s="86"/>
      <c r="M15" s="98">
        <f>SUM(M9:M13)</f>
        <v>76.37061053</v>
      </c>
      <c r="N15" s="31"/>
      <c r="O15" s="31"/>
      <c r="P15" s="31"/>
      <c r="Q15" s="31"/>
      <c r="R15" s="27"/>
      <c r="S15" s="31"/>
      <c r="T15" s="32"/>
      <c r="U15" s="27"/>
      <c r="V15" s="88"/>
      <c r="W15" s="27"/>
      <c r="X15" s="89"/>
      <c r="Y15" s="89"/>
      <c r="Z15" s="89"/>
      <c r="AA15" s="89"/>
      <c r="AB15" s="89"/>
      <c r="AC15" s="27"/>
      <c r="AD15" s="27"/>
      <c r="AE15" s="27"/>
      <c r="AF15" s="27"/>
      <c r="AG15" s="27"/>
      <c r="AH15" s="27"/>
      <c r="AI15" s="97"/>
    </row>
    <row r="16">
      <c r="A16" s="27"/>
      <c r="B16" s="27"/>
      <c r="C16" s="27"/>
      <c r="D16" s="27"/>
      <c r="E16" s="86"/>
      <c r="F16" s="27"/>
      <c r="G16" s="27"/>
      <c r="H16" s="27"/>
      <c r="I16" s="86"/>
      <c r="J16" s="27"/>
      <c r="K16" s="86"/>
      <c r="L16" s="86"/>
      <c r="M16" s="86"/>
      <c r="N16" s="31"/>
      <c r="O16" s="31"/>
      <c r="P16" s="31"/>
      <c r="Q16" s="31"/>
      <c r="R16" s="27"/>
      <c r="S16" s="31"/>
      <c r="T16" s="32"/>
      <c r="U16" s="27"/>
      <c r="V16" s="88"/>
      <c r="W16" s="27"/>
      <c r="X16" s="89"/>
      <c r="Y16" s="89"/>
      <c r="Z16" s="89"/>
      <c r="AA16" s="89"/>
      <c r="AB16" s="89"/>
      <c r="AC16" s="27"/>
      <c r="AD16" s="89"/>
      <c r="AE16" s="89"/>
      <c r="AF16" s="27"/>
      <c r="AG16" s="27"/>
      <c r="AH16" s="27"/>
      <c r="AI16" s="27"/>
    </row>
    <row r="17">
      <c r="A17" s="27"/>
      <c r="B17" s="27"/>
      <c r="C17" s="27"/>
      <c r="D17" s="27"/>
      <c r="E17" s="86"/>
      <c r="F17" s="27"/>
      <c r="G17" s="27"/>
      <c r="H17" s="99"/>
      <c r="I17" s="85"/>
      <c r="J17" s="27"/>
      <c r="K17" s="97"/>
      <c r="L17" s="27"/>
      <c r="M17" s="86"/>
      <c r="N17" s="31"/>
      <c r="O17" s="31"/>
      <c r="P17" s="31"/>
      <c r="Q17" s="31"/>
      <c r="R17" s="27"/>
      <c r="S17" s="31"/>
      <c r="T17" s="32"/>
      <c r="U17" s="27"/>
      <c r="V17" s="27"/>
      <c r="W17" s="27"/>
      <c r="X17" s="89"/>
      <c r="Y17" s="89"/>
      <c r="Z17" s="89"/>
      <c r="AA17" s="89"/>
      <c r="AB17" s="89"/>
      <c r="AC17" s="27"/>
      <c r="AD17" s="89"/>
      <c r="AE17" s="89"/>
      <c r="AF17" s="27"/>
      <c r="AG17" s="27"/>
      <c r="AH17" s="27"/>
      <c r="AI17" s="27"/>
    </row>
    <row r="18">
      <c r="A18" s="27"/>
      <c r="B18" s="27"/>
      <c r="C18" s="27"/>
      <c r="D18" s="27"/>
      <c r="E18" s="86"/>
      <c r="F18" s="27"/>
      <c r="G18" s="27"/>
      <c r="H18" s="100"/>
      <c r="I18" s="85"/>
      <c r="J18" s="27"/>
      <c r="K18" s="97"/>
      <c r="L18" s="86"/>
      <c r="M18" s="86"/>
      <c r="N18" s="27"/>
      <c r="O18" s="27"/>
      <c r="P18" s="27"/>
      <c r="Q18" s="27"/>
      <c r="R18" s="27"/>
      <c r="S18" s="31"/>
      <c r="T18" s="32"/>
      <c r="U18" s="27"/>
      <c r="V18" s="27"/>
      <c r="W18" s="27"/>
      <c r="X18" s="89"/>
      <c r="Y18" s="89"/>
      <c r="Z18" s="89"/>
      <c r="AA18" s="89"/>
      <c r="AB18" s="89"/>
      <c r="AC18" s="27"/>
      <c r="AD18" s="27"/>
      <c r="AE18" s="27"/>
      <c r="AF18" s="27"/>
      <c r="AG18" s="27"/>
      <c r="AH18" s="27"/>
      <c r="AI18" s="27"/>
    </row>
    <row r="19">
      <c r="A19" s="27"/>
      <c r="B19" s="27"/>
      <c r="C19" s="27"/>
      <c r="D19" s="27"/>
      <c r="E19" s="27"/>
      <c r="F19" s="27"/>
      <c r="G19" s="27"/>
      <c r="H19" s="100"/>
      <c r="I19" s="85"/>
      <c r="J19" s="27"/>
      <c r="K19" s="86"/>
      <c r="L19" s="86"/>
      <c r="M19" s="30"/>
      <c r="N19" s="31"/>
      <c r="O19" s="31"/>
      <c r="P19" s="31"/>
      <c r="Q19" s="31"/>
      <c r="R19" s="27"/>
      <c r="S19" s="31"/>
      <c r="T19" s="32"/>
      <c r="U19" s="27"/>
      <c r="V19" s="88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</row>
    <row r="20">
      <c r="A20" s="27"/>
      <c r="B20" s="27"/>
      <c r="C20" s="27"/>
      <c r="D20" s="27"/>
      <c r="E20" s="27"/>
      <c r="F20" s="27"/>
      <c r="G20" s="27"/>
      <c r="H20" s="27"/>
      <c r="I20" s="86"/>
      <c r="J20" s="27"/>
      <c r="K20" s="86"/>
      <c r="L20" s="27"/>
      <c r="M20" s="30"/>
      <c r="N20" s="31"/>
      <c r="O20" s="31"/>
      <c r="P20" s="31"/>
      <c r="Q20" s="31"/>
      <c r="R20" s="27"/>
      <c r="S20" s="31"/>
      <c r="T20" s="32"/>
      <c r="U20" s="27"/>
      <c r="V20" s="88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</row>
    <row r="21">
      <c r="A21" s="27"/>
      <c r="B21" s="27"/>
      <c r="C21" s="27"/>
      <c r="D21" s="27"/>
      <c r="E21" s="27"/>
      <c r="F21" s="27"/>
      <c r="G21" s="27"/>
      <c r="H21" s="27"/>
      <c r="I21" s="86"/>
      <c r="J21" s="27"/>
      <c r="K21" s="86"/>
      <c r="L21" s="86"/>
      <c r="M21" s="30"/>
      <c r="N21" s="30"/>
      <c r="O21" s="30"/>
      <c r="P21" s="30"/>
      <c r="Q21" s="30"/>
      <c r="R21" s="27"/>
      <c r="S21" s="30"/>
      <c r="T21" s="32"/>
      <c r="U21" s="30"/>
      <c r="V21" s="30"/>
      <c r="W21" s="30"/>
      <c r="X21" s="30"/>
      <c r="Y21" s="30"/>
      <c r="Z21" s="30"/>
      <c r="AA21" s="30"/>
      <c r="AB21" s="30"/>
      <c r="AC21" s="27"/>
      <c r="AD21" s="30"/>
      <c r="AE21" s="30"/>
      <c r="AF21" s="30"/>
      <c r="AG21" s="30"/>
      <c r="AH21" s="30"/>
      <c r="AI21" s="30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86"/>
      <c r="L22" s="86"/>
      <c r="M22" s="30"/>
      <c r="N22" s="30"/>
      <c r="O22" s="30"/>
      <c r="P22" s="30"/>
      <c r="Q22" s="30"/>
      <c r="R22" s="27"/>
      <c r="S22" s="30"/>
      <c r="T22" s="32"/>
      <c r="U22" s="30"/>
      <c r="V22" s="30"/>
      <c r="W22" s="30"/>
      <c r="X22" s="30"/>
      <c r="Y22" s="30"/>
      <c r="Z22" s="30"/>
      <c r="AA22" s="30"/>
      <c r="AB22" s="30"/>
      <c r="AC22" s="27"/>
      <c r="AD22" s="30"/>
      <c r="AE22" s="30"/>
      <c r="AF22" s="30"/>
      <c r="AG22" s="30"/>
      <c r="AH22" s="30"/>
      <c r="AI22" s="30"/>
    </row>
    <row r="23" ht="15.75" customHeight="1">
      <c r="A23" s="101"/>
      <c r="B23" s="101"/>
      <c r="C23" s="101"/>
      <c r="D23" s="101"/>
      <c r="E23" s="102"/>
      <c r="F23" s="102"/>
      <c r="G23" s="103"/>
      <c r="H23" s="103"/>
      <c r="I23" s="103"/>
      <c r="J23" s="103"/>
      <c r="K23" s="101"/>
      <c r="L23" s="104"/>
      <c r="M23" s="105"/>
      <c r="N23" s="101"/>
      <c r="O23" s="101"/>
      <c r="P23" s="101"/>
      <c r="Q23" s="101"/>
      <c r="R23" s="101"/>
      <c r="S23" s="101"/>
      <c r="T23" s="106"/>
      <c r="U23" s="101"/>
      <c r="V23" s="101"/>
      <c r="W23" s="101"/>
      <c r="X23" s="104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</row>
  </sheetData>
  <mergeCells count="2">
    <mergeCell ref="V3:Y3"/>
    <mergeCell ref="AD3:A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1.0"/>
    <col customWidth="1" min="3" max="3" width="11.75"/>
    <col customWidth="1" min="4" max="4" width="51.5"/>
  </cols>
  <sheetData>
    <row r="1" ht="20.25" customHeight="1">
      <c r="A1" s="107"/>
      <c r="B1" s="107"/>
      <c r="C1" s="108"/>
      <c r="D1" s="108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ht="20.25" customHeight="1">
      <c r="A2" s="107"/>
      <c r="B2" s="107"/>
      <c r="C2" s="108"/>
      <c r="D2" s="108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</row>
    <row r="3" ht="20.25" customHeight="1">
      <c r="A3" s="107"/>
      <c r="B3" s="107"/>
      <c r="C3" s="108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</row>
    <row r="4" ht="20.25" customHeight="1">
      <c r="A4" s="107"/>
      <c r="B4" s="109" t="s">
        <v>83</v>
      </c>
      <c r="C4" s="109" t="s">
        <v>52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</row>
    <row r="5" ht="20.25" customHeight="1">
      <c r="A5" s="107"/>
      <c r="B5" s="110" t="str">
        <f>COSTEO!E5</f>
        <v>DROSPERINONA (SLINDA) 4 mg caja x 28 tabletas  x 7 cajas</v>
      </c>
      <c r="C5" s="111">
        <f>COSTEO!K5</f>
        <v>327600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</row>
    <row r="6" ht="20.25" customHeight="1">
      <c r="A6" s="107"/>
      <c r="B6" s="110" t="str">
        <f>COSTEO!E6</f>
        <v>Domicilio casa en Medellin</v>
      </c>
      <c r="C6" s="111">
        <f>COSTEO!K6</f>
        <v>43750</v>
      </c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</row>
    <row r="7" ht="20.25" customHeight="1">
      <c r="A7" s="107"/>
      <c r="B7" s="110" t="str">
        <f>COSTEO!E7</f>
        <v>Domicilio casa Medellin hotel del pasajero que lo lleve a Curazao</v>
      </c>
      <c r="C7" s="111">
        <f>COSTEO!K7</f>
        <v>22000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ht="20.25" customHeight="1">
      <c r="A8" s="107"/>
      <c r="B8" s="110" t="str">
        <f>COSTEO!E8</f>
        <v>Servicio de Medical Trip Colombia</v>
      </c>
      <c r="C8" s="111">
        <f>COSTEO!K8</f>
        <v>38888.88889</v>
      </c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</row>
    <row r="9" ht="20.25" customHeight="1">
      <c r="A9" s="107"/>
      <c r="B9" s="112" t="s">
        <v>84</v>
      </c>
      <c r="C9" s="111">
        <f>432238*6%</f>
        <v>25934.28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</row>
    <row r="10" ht="20.25" customHeight="1">
      <c r="A10" s="107"/>
      <c r="B10" s="113" t="s">
        <v>85</v>
      </c>
      <c r="C10" s="114">
        <f>SUM(C5:C9)</f>
        <v>458173.1689</v>
      </c>
      <c r="D10" s="108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</row>
    <row r="11" ht="20.25" customHeight="1">
      <c r="A11" s="107"/>
      <c r="B11" s="107"/>
      <c r="C11" s="108"/>
      <c r="D11" s="108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</row>
    <row r="12" ht="20.25" customHeight="1">
      <c r="A12" s="107"/>
      <c r="B12" s="107"/>
      <c r="C12" s="108"/>
      <c r="D12" s="108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</row>
    <row r="13" ht="20.25" customHeight="1">
      <c r="A13" s="107"/>
      <c r="B13" s="107"/>
      <c r="C13" s="108"/>
      <c r="D13" s="108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</row>
    <row r="14" ht="20.25" customHeight="1">
      <c r="A14" s="107"/>
      <c r="B14" s="107"/>
      <c r="C14" s="108"/>
      <c r="D14" s="108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</row>
    <row r="15" ht="20.25" customHeight="1">
      <c r="A15" s="107"/>
      <c r="B15" s="107"/>
      <c r="C15" s="108"/>
      <c r="D15" s="108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</row>
    <row r="16" ht="20.25" customHeight="1">
      <c r="A16" s="107"/>
      <c r="B16" s="107"/>
      <c r="C16" s="108"/>
      <c r="D16" s="108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</row>
    <row r="17" ht="20.25" customHeight="1">
      <c r="A17" s="107"/>
      <c r="B17" s="107"/>
      <c r="C17" s="108"/>
      <c r="D17" s="108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</row>
    <row r="18" ht="20.25" customHeight="1">
      <c r="A18" s="107"/>
      <c r="B18" s="107"/>
      <c r="C18" s="108"/>
      <c r="D18" s="108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</row>
    <row r="19" ht="20.25" customHeight="1">
      <c r="A19" s="107"/>
      <c r="B19" s="107"/>
      <c r="C19" s="108"/>
      <c r="D19" s="108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</row>
    <row r="20" ht="20.25" customHeight="1">
      <c r="A20" s="107"/>
      <c r="B20" s="107"/>
      <c r="C20" s="108"/>
      <c r="D20" s="108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</row>
    <row r="21" ht="20.25" customHeight="1">
      <c r="A21" s="107"/>
      <c r="B21" s="107"/>
      <c r="C21" s="108"/>
      <c r="D21" s="108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</row>
    <row r="22" ht="20.25" customHeight="1">
      <c r="A22" s="107"/>
      <c r="B22" s="107"/>
      <c r="C22" s="108"/>
      <c r="D22" s="108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</row>
    <row r="23" ht="20.25" customHeight="1">
      <c r="A23" s="107"/>
      <c r="B23" s="107"/>
      <c r="C23" s="108"/>
      <c r="D23" s="108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</row>
    <row r="24" ht="20.25" customHeight="1">
      <c r="A24" s="107"/>
      <c r="B24" s="107"/>
      <c r="C24" s="108"/>
      <c r="D24" s="108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</row>
    <row r="25" ht="20.25" customHeight="1">
      <c r="A25" s="107"/>
      <c r="B25" s="107"/>
      <c r="C25" s="108"/>
      <c r="D25" s="108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</row>
    <row r="26" ht="20.25" customHeight="1">
      <c r="A26" s="107"/>
      <c r="B26" s="107"/>
      <c r="C26" s="108"/>
      <c r="D26" s="108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</row>
    <row r="27" ht="20.25" customHeight="1">
      <c r="A27" s="107"/>
      <c r="B27" s="107"/>
      <c r="C27" s="108"/>
      <c r="D27" s="108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</row>
    <row r="28" ht="20.25" customHeight="1">
      <c r="A28" s="107"/>
      <c r="B28" s="107"/>
      <c r="C28" s="108"/>
      <c r="D28" s="108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</row>
    <row r="29" ht="20.25" customHeight="1">
      <c r="A29" s="107"/>
      <c r="B29" s="107"/>
      <c r="C29" s="108"/>
      <c r="D29" s="108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</row>
    <row r="30" ht="20.25" customHeight="1">
      <c r="A30" s="107"/>
      <c r="B30" s="107"/>
      <c r="C30" s="108"/>
      <c r="D30" s="108"/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</row>
    <row r="31" ht="20.25" customHeight="1">
      <c r="A31" s="107"/>
      <c r="B31" s="107"/>
      <c r="C31" s="108"/>
      <c r="D31" s="108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</row>
    <row r="32" ht="20.25" customHeight="1">
      <c r="A32" s="107"/>
      <c r="B32" s="107"/>
      <c r="C32" s="108"/>
      <c r="D32" s="108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</row>
    <row r="33" ht="20.25" customHeight="1">
      <c r="A33" s="107"/>
      <c r="B33" s="107"/>
      <c r="C33" s="108"/>
      <c r="D33" s="108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</row>
    <row r="34" ht="20.25" customHeight="1">
      <c r="A34" s="107"/>
      <c r="B34" s="107"/>
      <c r="C34" s="108"/>
      <c r="D34" s="108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</row>
    <row r="35" ht="20.25" customHeight="1">
      <c r="A35" s="107"/>
      <c r="B35" s="107"/>
      <c r="C35" s="108"/>
      <c r="D35" s="108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</row>
    <row r="36" ht="20.25" customHeight="1">
      <c r="A36" s="107"/>
      <c r="B36" s="107"/>
      <c r="C36" s="108"/>
      <c r="D36" s="108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</row>
    <row r="37" ht="20.25" customHeight="1">
      <c r="A37" s="107"/>
      <c r="B37" s="107"/>
      <c r="C37" s="108"/>
      <c r="D37" s="108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</row>
    <row r="38" ht="20.25" customHeight="1">
      <c r="A38" s="107"/>
      <c r="B38" s="107"/>
      <c r="C38" s="108"/>
      <c r="D38" s="108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</row>
    <row r="39" ht="20.25" customHeight="1">
      <c r="A39" s="107"/>
      <c r="B39" s="107"/>
      <c r="C39" s="108"/>
      <c r="D39" s="108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</row>
    <row r="40" ht="20.25" customHeight="1">
      <c r="A40" s="107"/>
      <c r="B40" s="107"/>
      <c r="C40" s="108"/>
      <c r="D40" s="108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</row>
    <row r="41" ht="20.25" customHeight="1">
      <c r="A41" s="107"/>
      <c r="B41" s="107"/>
      <c r="C41" s="108"/>
      <c r="D41" s="108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</row>
    <row r="42" ht="20.25" customHeight="1">
      <c r="A42" s="107"/>
      <c r="B42" s="107"/>
      <c r="C42" s="108"/>
      <c r="D42" s="108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</row>
    <row r="43" ht="20.25" customHeight="1">
      <c r="A43" s="107"/>
      <c r="B43" s="107"/>
      <c r="C43" s="108"/>
      <c r="D43" s="108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</row>
    <row r="44" ht="20.25" customHeight="1">
      <c r="A44" s="107"/>
      <c r="B44" s="107"/>
      <c r="C44" s="108"/>
      <c r="D44" s="108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</row>
    <row r="45" ht="20.25" customHeight="1">
      <c r="A45" s="107"/>
      <c r="B45" s="107"/>
      <c r="C45" s="108"/>
      <c r="D45" s="108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</row>
    <row r="46" ht="20.25" customHeight="1">
      <c r="A46" s="107"/>
      <c r="B46" s="107"/>
      <c r="C46" s="108"/>
      <c r="D46" s="108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</row>
    <row r="47" ht="20.25" customHeight="1">
      <c r="A47" s="107"/>
      <c r="B47" s="107"/>
      <c r="C47" s="108"/>
      <c r="D47" s="108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</row>
    <row r="48" ht="20.25" customHeight="1">
      <c r="A48" s="107"/>
      <c r="B48" s="107"/>
      <c r="C48" s="108"/>
      <c r="D48" s="108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</row>
    <row r="49" ht="20.25" customHeight="1">
      <c r="A49" s="107"/>
      <c r="B49" s="107"/>
      <c r="C49" s="108"/>
      <c r="D49" s="108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</row>
    <row r="50" ht="20.25" customHeight="1">
      <c r="A50" s="107"/>
      <c r="B50" s="107"/>
      <c r="C50" s="108"/>
      <c r="D50" s="108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</row>
    <row r="51" ht="20.25" customHeight="1">
      <c r="A51" s="107"/>
      <c r="B51" s="107"/>
      <c r="C51" s="108"/>
      <c r="D51" s="108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</row>
    <row r="52" ht="20.25" customHeight="1">
      <c r="A52" s="107"/>
      <c r="B52" s="107"/>
      <c r="C52" s="108"/>
      <c r="D52" s="108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</row>
    <row r="53" ht="20.25" customHeight="1">
      <c r="A53" s="107"/>
      <c r="B53" s="107"/>
      <c r="C53" s="108"/>
      <c r="D53" s="108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</row>
    <row r="54" ht="20.25" customHeight="1">
      <c r="A54" s="107"/>
      <c r="B54" s="107"/>
      <c r="C54" s="108"/>
      <c r="D54" s="108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</row>
    <row r="55" ht="20.25" customHeight="1">
      <c r="A55" s="107"/>
      <c r="B55" s="107"/>
      <c r="C55" s="108"/>
      <c r="D55" s="108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</row>
    <row r="56" ht="20.25" customHeight="1">
      <c r="A56" s="107"/>
      <c r="B56" s="107"/>
      <c r="C56" s="108"/>
      <c r="D56" s="108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</row>
    <row r="57" ht="20.25" customHeight="1">
      <c r="A57" s="107"/>
      <c r="B57" s="107"/>
      <c r="C57" s="108"/>
      <c r="D57" s="108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</row>
    <row r="58" ht="20.25" customHeight="1">
      <c r="A58" s="107"/>
      <c r="B58" s="107"/>
      <c r="C58" s="108"/>
      <c r="D58" s="108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</row>
    <row r="59" ht="20.25" customHeight="1">
      <c r="A59" s="107"/>
      <c r="B59" s="107"/>
      <c r="C59" s="108"/>
      <c r="D59" s="108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</row>
    <row r="60" ht="20.25" customHeight="1">
      <c r="A60" s="107"/>
      <c r="B60" s="107"/>
      <c r="C60" s="108"/>
      <c r="D60" s="108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</row>
    <row r="61" ht="20.25" customHeight="1">
      <c r="A61" s="107"/>
      <c r="B61" s="107"/>
      <c r="C61" s="108"/>
      <c r="D61" s="108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</row>
    <row r="62" ht="20.25" customHeight="1">
      <c r="A62" s="107"/>
      <c r="B62" s="107"/>
      <c r="C62" s="108"/>
      <c r="D62" s="108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</row>
    <row r="63" ht="20.25" customHeight="1">
      <c r="A63" s="107"/>
      <c r="B63" s="107"/>
      <c r="C63" s="108"/>
      <c r="D63" s="108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</row>
    <row r="64" ht="20.25" customHeight="1">
      <c r="A64" s="107"/>
      <c r="B64" s="107"/>
      <c r="C64" s="108"/>
      <c r="D64" s="108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</row>
    <row r="65" ht="20.25" customHeight="1">
      <c r="A65" s="107"/>
      <c r="B65" s="107"/>
      <c r="C65" s="108"/>
      <c r="D65" s="108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</row>
    <row r="66" ht="20.25" customHeight="1">
      <c r="A66" s="107"/>
      <c r="B66" s="107"/>
      <c r="C66" s="108"/>
      <c r="D66" s="108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ht="20.25" customHeight="1">
      <c r="A67" s="107"/>
      <c r="B67" s="107"/>
      <c r="C67" s="108"/>
      <c r="D67" s="108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</row>
    <row r="68" ht="20.25" customHeight="1">
      <c r="A68" s="107"/>
      <c r="B68" s="107"/>
      <c r="C68" s="108"/>
      <c r="D68" s="108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</row>
    <row r="69" ht="20.25" customHeight="1">
      <c r="A69" s="107"/>
      <c r="B69" s="107"/>
      <c r="C69" s="108"/>
      <c r="D69" s="108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</row>
    <row r="70" ht="20.25" customHeight="1">
      <c r="A70" s="107"/>
      <c r="B70" s="107"/>
      <c r="C70" s="108"/>
      <c r="D70" s="108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</row>
    <row r="71" ht="20.25" customHeight="1">
      <c r="A71" s="107"/>
      <c r="B71" s="107"/>
      <c r="C71" s="108"/>
      <c r="D71" s="108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</row>
    <row r="72" ht="20.25" customHeight="1">
      <c r="A72" s="107"/>
      <c r="B72" s="107"/>
      <c r="C72" s="108"/>
      <c r="D72" s="108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</row>
    <row r="73" ht="20.25" customHeight="1">
      <c r="A73" s="107"/>
      <c r="B73" s="107"/>
      <c r="C73" s="108"/>
      <c r="D73" s="108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</row>
    <row r="74" ht="20.25" customHeight="1">
      <c r="A74" s="107"/>
      <c r="B74" s="107"/>
      <c r="C74" s="108"/>
      <c r="D74" s="108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</row>
    <row r="75" ht="20.25" customHeight="1">
      <c r="A75" s="107"/>
      <c r="B75" s="107"/>
      <c r="C75" s="108"/>
      <c r="D75" s="108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</row>
    <row r="76" ht="20.25" customHeight="1">
      <c r="A76" s="107"/>
      <c r="B76" s="107"/>
      <c r="C76" s="108"/>
      <c r="D76" s="108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</row>
    <row r="77" ht="20.25" customHeight="1">
      <c r="A77" s="107"/>
      <c r="B77" s="107"/>
      <c r="C77" s="108"/>
      <c r="D77" s="108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</row>
    <row r="78" ht="20.25" customHeight="1">
      <c r="A78" s="107"/>
      <c r="B78" s="107"/>
      <c r="C78" s="108"/>
      <c r="D78" s="108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</row>
    <row r="79" ht="20.25" customHeight="1">
      <c r="A79" s="107"/>
      <c r="B79" s="107"/>
      <c r="C79" s="108"/>
      <c r="D79" s="108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</row>
    <row r="80" ht="20.25" customHeight="1">
      <c r="A80" s="107"/>
      <c r="B80" s="107"/>
      <c r="C80" s="108"/>
      <c r="D80" s="108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</row>
    <row r="81" ht="20.25" customHeight="1">
      <c r="A81" s="107"/>
      <c r="B81" s="107"/>
      <c r="C81" s="108"/>
      <c r="D81" s="108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</row>
    <row r="82" ht="20.25" customHeight="1">
      <c r="A82" s="107"/>
      <c r="B82" s="107"/>
      <c r="C82" s="108"/>
      <c r="D82" s="108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</row>
    <row r="83" ht="20.25" customHeight="1">
      <c r="A83" s="107"/>
      <c r="B83" s="107"/>
      <c r="C83" s="108"/>
      <c r="D83" s="108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</row>
    <row r="84" ht="20.25" customHeight="1">
      <c r="A84" s="107"/>
      <c r="B84" s="107"/>
      <c r="C84" s="108"/>
      <c r="D84" s="108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</row>
    <row r="85" ht="20.25" customHeight="1">
      <c r="A85" s="107"/>
      <c r="B85" s="107"/>
      <c r="C85" s="108"/>
      <c r="D85" s="108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</row>
    <row r="86" ht="20.25" customHeight="1">
      <c r="A86" s="107"/>
      <c r="B86" s="107"/>
      <c r="C86" s="108"/>
      <c r="D86" s="108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</row>
    <row r="87" ht="20.25" customHeight="1">
      <c r="A87" s="107"/>
      <c r="B87" s="107"/>
      <c r="C87" s="108"/>
      <c r="D87" s="108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</row>
    <row r="88" ht="20.25" customHeight="1">
      <c r="A88" s="107"/>
      <c r="B88" s="107"/>
      <c r="C88" s="108"/>
      <c r="D88" s="108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</row>
    <row r="89" ht="20.25" customHeight="1">
      <c r="A89" s="107"/>
      <c r="B89" s="107"/>
      <c r="C89" s="108"/>
      <c r="D89" s="108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</row>
    <row r="90" ht="20.25" customHeight="1">
      <c r="A90" s="107"/>
      <c r="B90" s="107"/>
      <c r="C90" s="108"/>
      <c r="D90" s="108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</row>
    <row r="91" ht="20.25" customHeight="1">
      <c r="A91" s="107"/>
      <c r="B91" s="107"/>
      <c r="C91" s="108"/>
      <c r="D91" s="108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</row>
    <row r="92" ht="20.25" customHeight="1">
      <c r="A92" s="107"/>
      <c r="B92" s="107"/>
      <c r="C92" s="108"/>
      <c r="D92" s="108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</row>
    <row r="93" ht="20.25" customHeight="1">
      <c r="A93" s="107"/>
      <c r="B93" s="107"/>
      <c r="C93" s="108"/>
      <c r="D93" s="108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</row>
    <row r="94" ht="20.25" customHeight="1">
      <c r="A94" s="107"/>
      <c r="B94" s="107"/>
      <c r="C94" s="108"/>
      <c r="D94" s="108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</row>
    <row r="95" ht="20.25" customHeight="1">
      <c r="A95" s="107"/>
      <c r="B95" s="107"/>
      <c r="C95" s="108"/>
      <c r="D95" s="108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</row>
    <row r="96" ht="20.25" customHeight="1">
      <c r="A96" s="107"/>
      <c r="B96" s="107"/>
      <c r="C96" s="108"/>
      <c r="D96" s="108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</row>
    <row r="97" ht="20.25" customHeight="1">
      <c r="A97" s="107"/>
      <c r="B97" s="107"/>
      <c r="C97" s="108"/>
      <c r="D97" s="108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</row>
    <row r="98" ht="20.25" customHeight="1">
      <c r="A98" s="107"/>
      <c r="B98" s="107"/>
      <c r="C98" s="108"/>
      <c r="D98" s="108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</row>
    <row r="99" ht="20.25" customHeight="1">
      <c r="A99" s="107"/>
      <c r="B99" s="107"/>
      <c r="C99" s="108"/>
      <c r="D99" s="108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</row>
    <row r="100" ht="20.25" customHeight="1">
      <c r="A100" s="107"/>
      <c r="B100" s="107"/>
      <c r="C100" s="108"/>
      <c r="D100" s="108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</row>
    <row r="101" ht="20.25" customHeight="1">
      <c r="A101" s="107"/>
      <c r="B101" s="107"/>
      <c r="C101" s="108"/>
      <c r="D101" s="108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</row>
    <row r="102" ht="20.25" customHeight="1">
      <c r="A102" s="107"/>
      <c r="B102" s="107"/>
      <c r="C102" s="108"/>
      <c r="D102" s="108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</row>
    <row r="103" ht="20.25" customHeight="1">
      <c r="A103" s="107"/>
      <c r="B103" s="107"/>
      <c r="C103" s="108"/>
      <c r="D103" s="108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</row>
    <row r="104" ht="20.25" customHeight="1">
      <c r="A104" s="107"/>
      <c r="B104" s="107"/>
      <c r="C104" s="108"/>
      <c r="D104" s="108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</row>
    <row r="105" ht="20.25" customHeight="1">
      <c r="A105" s="107"/>
      <c r="B105" s="107"/>
      <c r="C105" s="108"/>
      <c r="D105" s="108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</row>
    <row r="106" ht="20.25" customHeight="1">
      <c r="A106" s="107"/>
      <c r="B106" s="107"/>
      <c r="C106" s="108"/>
      <c r="D106" s="108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</row>
    <row r="107" ht="20.25" customHeight="1">
      <c r="A107" s="107"/>
      <c r="B107" s="107"/>
      <c r="C107" s="108"/>
      <c r="D107" s="108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</row>
    <row r="108" ht="20.25" customHeight="1">
      <c r="A108" s="107"/>
      <c r="B108" s="107"/>
      <c r="C108" s="108"/>
      <c r="D108" s="108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</row>
    <row r="109" ht="20.25" customHeight="1">
      <c r="A109" s="107"/>
      <c r="B109" s="107"/>
      <c r="C109" s="108"/>
      <c r="D109" s="108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</row>
    <row r="110" ht="20.25" customHeight="1">
      <c r="A110" s="107"/>
      <c r="B110" s="107"/>
      <c r="C110" s="108"/>
      <c r="D110" s="108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</row>
    <row r="111" ht="20.25" customHeight="1">
      <c r="A111" s="107"/>
      <c r="B111" s="107"/>
      <c r="C111" s="108"/>
      <c r="D111" s="108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</row>
    <row r="112" ht="20.25" customHeight="1">
      <c r="A112" s="107"/>
      <c r="B112" s="107"/>
      <c r="C112" s="108"/>
      <c r="D112" s="108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</row>
    <row r="113" ht="20.25" customHeight="1">
      <c r="A113" s="107"/>
      <c r="B113" s="107"/>
      <c r="C113" s="108"/>
      <c r="D113" s="108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</row>
    <row r="114" ht="20.25" customHeight="1">
      <c r="A114" s="107"/>
      <c r="B114" s="107"/>
      <c r="C114" s="108"/>
      <c r="D114" s="108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</row>
    <row r="115" ht="20.25" customHeight="1">
      <c r="A115" s="107"/>
      <c r="B115" s="107"/>
      <c r="C115" s="108"/>
      <c r="D115" s="108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</row>
    <row r="116" ht="20.25" customHeight="1">
      <c r="A116" s="107"/>
      <c r="B116" s="107"/>
      <c r="C116" s="108"/>
      <c r="D116" s="108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</row>
    <row r="117" ht="20.25" customHeight="1">
      <c r="A117" s="107"/>
      <c r="B117" s="107"/>
      <c r="C117" s="108"/>
      <c r="D117" s="108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</row>
    <row r="118" ht="20.25" customHeight="1">
      <c r="A118" s="107"/>
      <c r="B118" s="107"/>
      <c r="C118" s="108"/>
      <c r="D118" s="108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</row>
    <row r="119" ht="20.25" customHeight="1">
      <c r="A119" s="107"/>
      <c r="B119" s="107"/>
      <c r="C119" s="108"/>
      <c r="D119" s="108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</row>
    <row r="120" ht="20.25" customHeight="1">
      <c r="A120" s="107"/>
      <c r="B120" s="107"/>
      <c r="C120" s="108"/>
      <c r="D120" s="108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</row>
    <row r="121" ht="20.25" customHeight="1">
      <c r="A121" s="107"/>
      <c r="B121" s="107"/>
      <c r="C121" s="108"/>
      <c r="D121" s="108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</row>
    <row r="122" ht="20.25" customHeight="1">
      <c r="A122" s="107"/>
      <c r="B122" s="107"/>
      <c r="C122" s="108"/>
      <c r="D122" s="108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</row>
    <row r="123" ht="20.25" customHeight="1">
      <c r="A123" s="107"/>
      <c r="B123" s="107"/>
      <c r="C123" s="108"/>
      <c r="D123" s="108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</row>
    <row r="124" ht="20.25" customHeight="1">
      <c r="A124" s="107"/>
      <c r="B124" s="107"/>
      <c r="C124" s="108"/>
      <c r="D124" s="108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ht="20.25" customHeight="1">
      <c r="A125" s="107"/>
      <c r="B125" s="107"/>
      <c r="C125" s="108"/>
      <c r="D125" s="108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</row>
    <row r="126" ht="20.25" customHeight="1">
      <c r="A126" s="107"/>
      <c r="B126" s="107"/>
      <c r="C126" s="108"/>
      <c r="D126" s="108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</row>
    <row r="127" ht="20.25" customHeight="1">
      <c r="A127" s="107"/>
      <c r="B127" s="107"/>
      <c r="C127" s="108"/>
      <c r="D127" s="108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</row>
    <row r="128" ht="20.25" customHeight="1">
      <c r="A128" s="107"/>
      <c r="B128" s="107"/>
      <c r="C128" s="108"/>
      <c r="D128" s="108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</row>
    <row r="129" ht="20.25" customHeight="1">
      <c r="A129" s="107"/>
      <c r="B129" s="107"/>
      <c r="C129" s="108"/>
      <c r="D129" s="108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</row>
    <row r="130" ht="20.25" customHeight="1">
      <c r="A130" s="107"/>
      <c r="B130" s="107"/>
      <c r="C130" s="108"/>
      <c r="D130" s="108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</row>
    <row r="131" ht="20.25" customHeight="1">
      <c r="A131" s="107"/>
      <c r="B131" s="107"/>
      <c r="C131" s="108"/>
      <c r="D131" s="108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</row>
    <row r="132" ht="20.25" customHeight="1">
      <c r="A132" s="107"/>
      <c r="B132" s="107"/>
      <c r="C132" s="108"/>
      <c r="D132" s="108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</row>
    <row r="133" ht="20.25" customHeight="1">
      <c r="A133" s="107"/>
      <c r="B133" s="107"/>
      <c r="C133" s="108"/>
      <c r="D133" s="108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</row>
    <row r="134" ht="20.25" customHeight="1">
      <c r="A134" s="107"/>
      <c r="B134" s="107"/>
      <c r="C134" s="108"/>
      <c r="D134" s="108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</row>
    <row r="135" ht="20.25" customHeight="1">
      <c r="A135" s="107"/>
      <c r="B135" s="107"/>
      <c r="C135" s="108"/>
      <c r="D135" s="108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</row>
    <row r="136" ht="20.25" customHeight="1">
      <c r="A136" s="107"/>
      <c r="B136" s="107"/>
      <c r="C136" s="108"/>
      <c r="D136" s="108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</row>
    <row r="137" ht="20.25" customHeight="1">
      <c r="A137" s="107"/>
      <c r="B137" s="107"/>
      <c r="C137" s="108"/>
      <c r="D137" s="108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</row>
    <row r="138" ht="20.25" customHeight="1">
      <c r="A138" s="107"/>
      <c r="B138" s="107"/>
      <c r="C138" s="108"/>
      <c r="D138" s="108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</row>
    <row r="139" ht="20.25" customHeight="1">
      <c r="A139" s="107"/>
      <c r="B139" s="107"/>
      <c r="C139" s="108"/>
      <c r="D139" s="108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</row>
    <row r="140" ht="20.25" customHeight="1">
      <c r="A140" s="107"/>
      <c r="B140" s="107"/>
      <c r="C140" s="108"/>
      <c r="D140" s="108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</row>
    <row r="141" ht="20.25" customHeight="1">
      <c r="A141" s="107"/>
      <c r="B141" s="107"/>
      <c r="C141" s="108"/>
      <c r="D141" s="108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</row>
    <row r="142" ht="20.25" customHeight="1">
      <c r="A142" s="107"/>
      <c r="B142" s="107"/>
      <c r="C142" s="108"/>
      <c r="D142" s="108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</row>
    <row r="143" ht="20.25" customHeight="1">
      <c r="A143" s="107"/>
      <c r="B143" s="107"/>
      <c r="C143" s="108"/>
      <c r="D143" s="108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</row>
    <row r="144" ht="20.25" customHeight="1">
      <c r="A144" s="107"/>
      <c r="B144" s="107"/>
      <c r="C144" s="108"/>
      <c r="D144" s="108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</row>
    <row r="145" ht="20.25" customHeight="1">
      <c r="A145" s="107"/>
      <c r="B145" s="107"/>
      <c r="C145" s="108"/>
      <c r="D145" s="108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</row>
    <row r="146" ht="20.25" customHeight="1">
      <c r="A146" s="107"/>
      <c r="B146" s="107"/>
      <c r="C146" s="108"/>
      <c r="D146" s="108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</row>
    <row r="147" ht="20.25" customHeight="1">
      <c r="A147" s="107"/>
      <c r="B147" s="107"/>
      <c r="C147" s="108"/>
      <c r="D147" s="108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</row>
    <row r="148" ht="20.25" customHeight="1">
      <c r="A148" s="107"/>
      <c r="B148" s="107"/>
      <c r="C148" s="108"/>
      <c r="D148" s="108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</row>
    <row r="149" ht="20.25" customHeight="1">
      <c r="A149" s="107"/>
      <c r="B149" s="107"/>
      <c r="C149" s="108"/>
      <c r="D149" s="108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</row>
    <row r="150" ht="20.25" customHeight="1">
      <c r="A150" s="107"/>
      <c r="B150" s="107"/>
      <c r="C150" s="108"/>
      <c r="D150" s="108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</row>
    <row r="151" ht="20.25" customHeight="1">
      <c r="A151" s="107"/>
      <c r="B151" s="107"/>
      <c r="C151" s="108"/>
      <c r="D151" s="108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</row>
    <row r="152" ht="20.25" customHeight="1">
      <c r="A152" s="107"/>
      <c r="B152" s="107"/>
      <c r="C152" s="108"/>
      <c r="D152" s="108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</row>
    <row r="153" ht="20.25" customHeight="1">
      <c r="A153" s="107"/>
      <c r="B153" s="107"/>
      <c r="C153" s="108"/>
      <c r="D153" s="108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</row>
    <row r="154" ht="20.25" customHeight="1">
      <c r="A154" s="107"/>
      <c r="B154" s="107"/>
      <c r="C154" s="108"/>
      <c r="D154" s="108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</row>
    <row r="155" ht="20.25" customHeight="1">
      <c r="A155" s="107"/>
      <c r="B155" s="107"/>
      <c r="C155" s="108"/>
      <c r="D155" s="108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</row>
    <row r="156" ht="20.25" customHeight="1">
      <c r="A156" s="107"/>
      <c r="B156" s="107"/>
      <c r="C156" s="108"/>
      <c r="D156" s="108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</row>
    <row r="157" ht="20.25" customHeight="1">
      <c r="A157" s="107"/>
      <c r="B157" s="107"/>
      <c r="C157" s="108"/>
      <c r="D157" s="108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</row>
    <row r="158" ht="20.25" customHeight="1">
      <c r="A158" s="107"/>
      <c r="B158" s="107"/>
      <c r="C158" s="108"/>
      <c r="D158" s="108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</row>
    <row r="159" ht="20.25" customHeight="1">
      <c r="A159" s="107"/>
      <c r="B159" s="107"/>
      <c r="C159" s="108"/>
      <c r="D159" s="108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</row>
    <row r="160" ht="20.25" customHeight="1">
      <c r="A160" s="107"/>
      <c r="B160" s="107"/>
      <c r="C160" s="108"/>
      <c r="D160" s="108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</row>
    <row r="161" ht="20.25" customHeight="1">
      <c r="A161" s="107"/>
      <c r="B161" s="107"/>
      <c r="C161" s="108"/>
      <c r="D161" s="108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</row>
    <row r="162" ht="20.25" customHeight="1">
      <c r="A162" s="107"/>
      <c r="B162" s="107"/>
      <c r="C162" s="108"/>
      <c r="D162" s="108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</row>
    <row r="163" ht="20.25" customHeight="1">
      <c r="A163" s="107"/>
      <c r="B163" s="107"/>
      <c r="C163" s="108"/>
      <c r="D163" s="108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</row>
    <row r="164" ht="20.25" customHeight="1">
      <c r="A164" s="107"/>
      <c r="B164" s="107"/>
      <c r="C164" s="108"/>
      <c r="D164" s="108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</row>
    <row r="165" ht="20.25" customHeight="1">
      <c r="A165" s="107"/>
      <c r="B165" s="107"/>
      <c r="C165" s="108"/>
      <c r="D165" s="108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</row>
    <row r="166" ht="20.25" customHeight="1">
      <c r="A166" s="107"/>
      <c r="B166" s="107"/>
      <c r="C166" s="108"/>
      <c r="D166" s="108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</row>
    <row r="167" ht="20.25" customHeight="1">
      <c r="A167" s="107"/>
      <c r="B167" s="107"/>
      <c r="C167" s="108"/>
      <c r="D167" s="108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</row>
    <row r="168" ht="20.25" customHeight="1">
      <c r="A168" s="107"/>
      <c r="B168" s="107"/>
      <c r="C168" s="108"/>
      <c r="D168" s="108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</row>
    <row r="169" ht="20.25" customHeight="1">
      <c r="A169" s="107"/>
      <c r="B169" s="107"/>
      <c r="C169" s="108"/>
      <c r="D169" s="108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</row>
    <row r="170" ht="20.25" customHeight="1">
      <c r="A170" s="107"/>
      <c r="B170" s="107"/>
      <c r="C170" s="108"/>
      <c r="D170" s="108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</row>
    <row r="171" ht="20.25" customHeight="1">
      <c r="A171" s="107"/>
      <c r="B171" s="107"/>
      <c r="C171" s="108"/>
      <c r="D171" s="108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</row>
    <row r="172" ht="20.25" customHeight="1">
      <c r="A172" s="107"/>
      <c r="B172" s="107"/>
      <c r="C172" s="108"/>
      <c r="D172" s="108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</row>
    <row r="173" ht="20.25" customHeight="1">
      <c r="A173" s="107"/>
      <c r="B173" s="107"/>
      <c r="C173" s="108"/>
      <c r="D173" s="108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</row>
    <row r="174" ht="20.25" customHeight="1">
      <c r="A174" s="107"/>
      <c r="B174" s="107"/>
      <c r="C174" s="108"/>
      <c r="D174" s="108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</row>
    <row r="175" ht="20.25" customHeight="1">
      <c r="A175" s="107"/>
      <c r="B175" s="107"/>
      <c r="C175" s="108"/>
      <c r="D175" s="108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</row>
    <row r="176" ht="20.25" customHeight="1">
      <c r="A176" s="107"/>
      <c r="B176" s="107"/>
      <c r="C176" s="108"/>
      <c r="D176" s="108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</row>
    <row r="177" ht="20.25" customHeight="1">
      <c r="A177" s="107"/>
      <c r="B177" s="107"/>
      <c r="C177" s="108"/>
      <c r="D177" s="108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</row>
    <row r="178" ht="20.25" customHeight="1">
      <c r="A178" s="107"/>
      <c r="B178" s="107"/>
      <c r="C178" s="108"/>
      <c r="D178" s="108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</row>
    <row r="179" ht="20.25" customHeight="1">
      <c r="A179" s="107"/>
      <c r="B179" s="107"/>
      <c r="C179" s="108"/>
      <c r="D179" s="108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</row>
    <row r="180" ht="20.25" customHeight="1">
      <c r="A180" s="107"/>
      <c r="B180" s="107"/>
      <c r="C180" s="108"/>
      <c r="D180" s="108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</row>
    <row r="181" ht="20.25" customHeight="1">
      <c r="A181" s="107"/>
      <c r="B181" s="107"/>
      <c r="C181" s="108"/>
      <c r="D181" s="108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</row>
    <row r="182" ht="20.25" customHeight="1">
      <c r="A182" s="107"/>
      <c r="B182" s="107"/>
      <c r="C182" s="108"/>
      <c r="D182" s="108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</row>
    <row r="183" ht="20.25" customHeight="1">
      <c r="A183" s="107"/>
      <c r="B183" s="107"/>
      <c r="C183" s="108"/>
      <c r="D183" s="108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</row>
    <row r="184" ht="20.25" customHeight="1">
      <c r="A184" s="107"/>
      <c r="B184" s="107"/>
      <c r="C184" s="108"/>
      <c r="D184" s="108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</row>
    <row r="185" ht="20.25" customHeight="1">
      <c r="A185" s="107"/>
      <c r="B185" s="107"/>
      <c r="C185" s="108"/>
      <c r="D185" s="108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</row>
    <row r="186" ht="20.25" customHeight="1">
      <c r="A186" s="107"/>
      <c r="B186" s="107"/>
      <c r="C186" s="108"/>
      <c r="D186" s="108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</row>
    <row r="187" ht="20.25" customHeight="1">
      <c r="A187" s="107"/>
      <c r="B187" s="107"/>
      <c r="C187" s="108"/>
      <c r="D187" s="108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</row>
    <row r="188" ht="20.25" customHeight="1">
      <c r="A188" s="107"/>
      <c r="B188" s="107"/>
      <c r="C188" s="108"/>
      <c r="D188" s="108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</row>
    <row r="189" ht="20.25" customHeight="1">
      <c r="A189" s="107"/>
      <c r="B189" s="107"/>
      <c r="C189" s="108"/>
      <c r="D189" s="108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</row>
    <row r="190" ht="20.25" customHeight="1">
      <c r="A190" s="107"/>
      <c r="B190" s="107"/>
      <c r="C190" s="108"/>
      <c r="D190" s="108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</row>
    <row r="191" ht="20.25" customHeight="1">
      <c r="A191" s="107"/>
      <c r="B191" s="107"/>
      <c r="C191" s="108"/>
      <c r="D191" s="108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</row>
    <row r="192" ht="20.25" customHeight="1">
      <c r="A192" s="107"/>
      <c r="B192" s="107"/>
      <c r="C192" s="108"/>
      <c r="D192" s="108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</row>
    <row r="193" ht="20.25" customHeight="1">
      <c r="A193" s="107"/>
      <c r="B193" s="107"/>
      <c r="C193" s="108"/>
      <c r="D193" s="108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</row>
    <row r="194" ht="20.25" customHeight="1">
      <c r="A194" s="107"/>
      <c r="B194" s="107"/>
      <c r="C194" s="108"/>
      <c r="D194" s="108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</row>
    <row r="195" ht="20.25" customHeight="1">
      <c r="A195" s="107"/>
      <c r="B195" s="107"/>
      <c r="C195" s="108"/>
      <c r="D195" s="108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</row>
    <row r="196" ht="20.25" customHeight="1">
      <c r="A196" s="107"/>
      <c r="B196" s="107"/>
      <c r="C196" s="108"/>
      <c r="D196" s="108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</row>
    <row r="197" ht="20.25" customHeight="1">
      <c r="A197" s="107"/>
      <c r="B197" s="107"/>
      <c r="C197" s="108"/>
      <c r="D197" s="108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</row>
    <row r="198" ht="20.25" customHeight="1">
      <c r="A198" s="107"/>
      <c r="B198" s="107"/>
      <c r="C198" s="108"/>
      <c r="D198" s="108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</row>
    <row r="199" ht="20.25" customHeight="1">
      <c r="A199" s="107"/>
      <c r="B199" s="107"/>
      <c r="C199" s="108"/>
      <c r="D199" s="108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</row>
    <row r="200" ht="20.25" customHeight="1">
      <c r="A200" s="107"/>
      <c r="B200" s="107"/>
      <c r="C200" s="108"/>
      <c r="D200" s="108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</row>
    <row r="201" ht="20.25" customHeight="1">
      <c r="A201" s="107"/>
      <c r="B201" s="107"/>
      <c r="C201" s="108"/>
      <c r="D201" s="108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</row>
    <row r="202" ht="20.25" customHeight="1">
      <c r="A202" s="107"/>
      <c r="B202" s="107"/>
      <c r="C202" s="108"/>
      <c r="D202" s="108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</row>
    <row r="203" ht="20.25" customHeight="1">
      <c r="A203" s="107"/>
      <c r="B203" s="107"/>
      <c r="C203" s="108"/>
      <c r="D203" s="108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</row>
    <row r="204" ht="20.25" customHeight="1">
      <c r="A204" s="107"/>
      <c r="B204" s="107"/>
      <c r="C204" s="108"/>
      <c r="D204" s="108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</row>
    <row r="205" ht="20.25" customHeight="1">
      <c r="A205" s="107"/>
      <c r="B205" s="107"/>
      <c r="C205" s="108"/>
      <c r="D205" s="108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</row>
    <row r="206" ht="20.25" customHeight="1">
      <c r="A206" s="107"/>
      <c r="B206" s="107"/>
      <c r="C206" s="108"/>
      <c r="D206" s="108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</row>
    <row r="207" ht="20.25" customHeight="1">
      <c r="A207" s="107"/>
      <c r="B207" s="107"/>
      <c r="C207" s="108"/>
      <c r="D207" s="108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</row>
    <row r="208" ht="20.25" customHeight="1">
      <c r="A208" s="107"/>
      <c r="B208" s="107"/>
      <c r="C208" s="108"/>
      <c r="D208" s="108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</row>
    <row r="209" ht="20.25" customHeight="1">
      <c r="A209" s="107"/>
      <c r="B209" s="107"/>
      <c r="C209" s="108"/>
      <c r="D209" s="108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</row>
    <row r="210" ht="20.25" customHeight="1">
      <c r="A210" s="107"/>
      <c r="B210" s="107"/>
      <c r="C210" s="108"/>
      <c r="D210" s="108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</row>
    <row r="211" ht="20.25" customHeight="1">
      <c r="A211" s="107"/>
      <c r="B211" s="107"/>
      <c r="C211" s="108"/>
      <c r="D211" s="108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</row>
    <row r="212" ht="20.25" customHeight="1">
      <c r="A212" s="107"/>
      <c r="B212" s="107"/>
      <c r="C212" s="108"/>
      <c r="D212" s="108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</row>
    <row r="213" ht="20.25" customHeight="1">
      <c r="A213" s="107"/>
      <c r="B213" s="107"/>
      <c r="C213" s="108"/>
      <c r="D213" s="108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</row>
    <row r="214" ht="20.25" customHeight="1">
      <c r="A214" s="107"/>
      <c r="B214" s="107"/>
      <c r="C214" s="108"/>
      <c r="D214" s="108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</row>
    <row r="215" ht="20.25" customHeight="1">
      <c r="A215" s="107"/>
      <c r="B215" s="107"/>
      <c r="C215" s="108"/>
      <c r="D215" s="108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</row>
    <row r="216" ht="20.25" customHeight="1">
      <c r="A216" s="107"/>
      <c r="B216" s="107"/>
      <c r="C216" s="108"/>
      <c r="D216" s="108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</row>
    <row r="217" ht="20.25" customHeight="1">
      <c r="A217" s="107"/>
      <c r="B217" s="107"/>
      <c r="C217" s="108"/>
      <c r="D217" s="108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</row>
    <row r="218" ht="20.25" customHeight="1">
      <c r="A218" s="107"/>
      <c r="B218" s="107"/>
      <c r="C218" s="108"/>
      <c r="D218" s="108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</row>
    <row r="219" ht="20.25" customHeight="1">
      <c r="A219" s="107"/>
      <c r="B219" s="107"/>
      <c r="C219" s="108"/>
      <c r="D219" s="108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</row>
    <row r="220" ht="20.25" customHeight="1">
      <c r="A220" s="107"/>
      <c r="B220" s="107"/>
      <c r="C220" s="108"/>
      <c r="D220" s="108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</row>
    <row r="221" ht="20.25" customHeight="1">
      <c r="A221" s="107"/>
      <c r="B221" s="107"/>
      <c r="C221" s="108"/>
      <c r="D221" s="108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</row>
    <row r="222" ht="20.25" customHeight="1">
      <c r="A222" s="107"/>
      <c r="B222" s="107"/>
      <c r="C222" s="108"/>
      <c r="D222" s="108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</row>
    <row r="223" ht="20.25" customHeight="1">
      <c r="A223" s="107"/>
      <c r="B223" s="107"/>
      <c r="C223" s="108"/>
      <c r="D223" s="108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</row>
    <row r="224" ht="20.25" customHeight="1">
      <c r="A224" s="107"/>
      <c r="B224" s="107"/>
      <c r="C224" s="108"/>
      <c r="D224" s="108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</row>
    <row r="225" ht="20.25" customHeight="1">
      <c r="A225" s="107"/>
      <c r="B225" s="107"/>
      <c r="C225" s="108"/>
      <c r="D225" s="108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</row>
    <row r="226" ht="20.25" customHeight="1">
      <c r="A226" s="107"/>
      <c r="B226" s="107"/>
      <c r="C226" s="108"/>
      <c r="D226" s="108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</row>
    <row r="227" ht="20.25" customHeight="1">
      <c r="A227" s="107"/>
      <c r="B227" s="107"/>
      <c r="C227" s="108"/>
      <c r="D227" s="108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</row>
    <row r="228" ht="20.25" customHeight="1">
      <c r="A228" s="107"/>
      <c r="B228" s="107"/>
      <c r="C228" s="108"/>
      <c r="D228" s="108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</row>
    <row r="229" ht="20.25" customHeight="1">
      <c r="A229" s="107"/>
      <c r="B229" s="107"/>
      <c r="C229" s="108"/>
      <c r="D229" s="108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</row>
    <row r="230" ht="20.25" customHeight="1">
      <c r="A230" s="107"/>
      <c r="B230" s="107"/>
      <c r="C230" s="108"/>
      <c r="D230" s="108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</row>
    <row r="231" ht="20.25" customHeight="1">
      <c r="A231" s="107"/>
      <c r="B231" s="107"/>
      <c r="C231" s="108"/>
      <c r="D231" s="108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</row>
    <row r="232" ht="20.25" customHeight="1">
      <c r="A232" s="107"/>
      <c r="B232" s="107"/>
      <c r="C232" s="108"/>
      <c r="D232" s="108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</row>
    <row r="233" ht="20.25" customHeight="1">
      <c r="A233" s="107"/>
      <c r="B233" s="107"/>
      <c r="C233" s="108"/>
      <c r="D233" s="108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</row>
    <row r="234" ht="20.25" customHeight="1">
      <c r="A234" s="107"/>
      <c r="B234" s="107"/>
      <c r="C234" s="108"/>
      <c r="D234" s="108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</row>
    <row r="235" ht="20.25" customHeight="1">
      <c r="A235" s="107"/>
      <c r="B235" s="107"/>
      <c r="C235" s="108"/>
      <c r="D235" s="108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</row>
    <row r="236" ht="20.25" customHeight="1">
      <c r="A236" s="107"/>
      <c r="B236" s="107"/>
      <c r="C236" s="108"/>
      <c r="D236" s="108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</row>
    <row r="237" ht="20.25" customHeight="1">
      <c r="A237" s="107"/>
      <c r="B237" s="107"/>
      <c r="C237" s="108"/>
      <c r="D237" s="108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</row>
    <row r="238" ht="20.25" customHeight="1">
      <c r="A238" s="107"/>
      <c r="B238" s="107"/>
      <c r="C238" s="108"/>
      <c r="D238" s="108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</row>
    <row r="239" ht="20.25" customHeight="1">
      <c r="A239" s="107"/>
      <c r="B239" s="107"/>
      <c r="C239" s="108"/>
      <c r="D239" s="108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</row>
    <row r="240" ht="20.25" customHeight="1">
      <c r="A240" s="107"/>
      <c r="B240" s="107"/>
      <c r="C240" s="108"/>
      <c r="D240" s="108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</row>
    <row r="241" ht="20.25" customHeight="1">
      <c r="A241" s="107"/>
      <c r="B241" s="107"/>
      <c r="C241" s="108"/>
      <c r="D241" s="108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</row>
    <row r="242" ht="20.25" customHeight="1">
      <c r="A242" s="107"/>
      <c r="B242" s="107"/>
      <c r="C242" s="108"/>
      <c r="D242" s="108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</row>
    <row r="243" ht="20.25" customHeight="1">
      <c r="A243" s="107"/>
      <c r="B243" s="107"/>
      <c r="C243" s="108"/>
      <c r="D243" s="108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</row>
    <row r="244" ht="20.25" customHeight="1">
      <c r="A244" s="107"/>
      <c r="B244" s="107"/>
      <c r="C244" s="108"/>
      <c r="D244" s="108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</row>
    <row r="245" ht="20.25" customHeight="1">
      <c r="A245" s="107"/>
      <c r="B245" s="107"/>
      <c r="C245" s="108"/>
      <c r="D245" s="108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</row>
    <row r="246" ht="20.25" customHeight="1">
      <c r="A246" s="107"/>
      <c r="B246" s="107"/>
      <c r="C246" s="108"/>
      <c r="D246" s="108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</row>
    <row r="247" ht="20.25" customHeight="1">
      <c r="A247" s="107"/>
      <c r="B247" s="107"/>
      <c r="C247" s="108"/>
      <c r="D247" s="108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</row>
    <row r="248" ht="20.25" customHeight="1">
      <c r="A248" s="107"/>
      <c r="B248" s="107"/>
      <c r="C248" s="108"/>
      <c r="D248" s="108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</row>
    <row r="249" ht="20.25" customHeight="1">
      <c r="A249" s="107"/>
      <c r="B249" s="107"/>
      <c r="C249" s="108"/>
      <c r="D249" s="108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</row>
    <row r="250" ht="20.25" customHeight="1">
      <c r="A250" s="107"/>
      <c r="B250" s="107"/>
      <c r="C250" s="108"/>
      <c r="D250" s="108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</row>
    <row r="251" ht="20.25" customHeight="1">
      <c r="A251" s="107"/>
      <c r="B251" s="107"/>
      <c r="C251" s="108"/>
      <c r="D251" s="108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</row>
    <row r="252" ht="20.25" customHeight="1">
      <c r="A252" s="107"/>
      <c r="B252" s="107"/>
      <c r="C252" s="108"/>
      <c r="D252" s="108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</row>
    <row r="253" ht="20.25" customHeight="1">
      <c r="A253" s="107"/>
      <c r="B253" s="107"/>
      <c r="C253" s="108"/>
      <c r="D253" s="108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</row>
    <row r="254" ht="20.25" customHeight="1">
      <c r="A254" s="107"/>
      <c r="B254" s="107"/>
      <c r="C254" s="108"/>
      <c r="D254" s="108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</row>
    <row r="255" ht="20.25" customHeight="1">
      <c r="A255" s="107"/>
      <c r="B255" s="107"/>
      <c r="C255" s="108"/>
      <c r="D255" s="108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</row>
    <row r="256" ht="20.25" customHeight="1">
      <c r="A256" s="107"/>
      <c r="B256" s="107"/>
      <c r="C256" s="108"/>
      <c r="D256" s="108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</row>
    <row r="257" ht="20.25" customHeight="1">
      <c r="A257" s="107"/>
      <c r="B257" s="107"/>
      <c r="C257" s="108"/>
      <c r="D257" s="108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</row>
    <row r="258" ht="20.25" customHeight="1">
      <c r="A258" s="107"/>
      <c r="B258" s="107"/>
      <c r="C258" s="108"/>
      <c r="D258" s="108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</row>
    <row r="259" ht="20.25" customHeight="1">
      <c r="A259" s="107"/>
      <c r="B259" s="107"/>
      <c r="C259" s="108"/>
      <c r="D259" s="108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</row>
    <row r="260" ht="20.25" customHeight="1">
      <c r="A260" s="107"/>
      <c r="B260" s="107"/>
      <c r="C260" s="108"/>
      <c r="D260" s="108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</row>
    <row r="261" ht="20.25" customHeight="1">
      <c r="A261" s="107"/>
      <c r="B261" s="107"/>
      <c r="C261" s="108"/>
      <c r="D261" s="108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</row>
    <row r="262" ht="20.25" customHeight="1">
      <c r="A262" s="107"/>
      <c r="B262" s="107"/>
      <c r="C262" s="108"/>
      <c r="D262" s="108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</row>
    <row r="263" ht="20.25" customHeight="1">
      <c r="A263" s="107"/>
      <c r="B263" s="107"/>
      <c r="C263" s="108"/>
      <c r="D263" s="108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</row>
    <row r="264" ht="20.25" customHeight="1">
      <c r="A264" s="107"/>
      <c r="B264" s="107"/>
      <c r="C264" s="108"/>
      <c r="D264" s="108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</row>
    <row r="265" ht="20.25" customHeight="1">
      <c r="A265" s="107"/>
      <c r="B265" s="107"/>
      <c r="C265" s="108"/>
      <c r="D265" s="108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</row>
    <row r="266" ht="20.25" customHeight="1">
      <c r="A266" s="107"/>
      <c r="B266" s="107"/>
      <c r="C266" s="108"/>
      <c r="D266" s="108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</row>
    <row r="267" ht="20.25" customHeight="1">
      <c r="A267" s="107"/>
      <c r="B267" s="107"/>
      <c r="C267" s="108"/>
      <c r="D267" s="108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</row>
    <row r="268" ht="20.25" customHeight="1">
      <c r="A268" s="107"/>
      <c r="B268" s="107"/>
      <c r="C268" s="108"/>
      <c r="D268" s="108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</row>
    <row r="269" ht="20.25" customHeight="1">
      <c r="A269" s="107"/>
      <c r="B269" s="107"/>
      <c r="C269" s="108"/>
      <c r="D269" s="108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</row>
    <row r="270" ht="20.25" customHeight="1">
      <c r="A270" s="107"/>
      <c r="B270" s="107"/>
      <c r="C270" s="108"/>
      <c r="D270" s="108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</row>
    <row r="271" ht="20.25" customHeight="1">
      <c r="A271" s="107"/>
      <c r="B271" s="107"/>
      <c r="C271" s="108"/>
      <c r="D271" s="108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</row>
    <row r="272" ht="20.25" customHeight="1">
      <c r="A272" s="107"/>
      <c r="B272" s="107"/>
      <c r="C272" s="108"/>
      <c r="D272" s="108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</row>
    <row r="273" ht="20.25" customHeight="1">
      <c r="A273" s="107"/>
      <c r="B273" s="107"/>
      <c r="C273" s="108"/>
      <c r="D273" s="108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</row>
    <row r="274" ht="20.25" customHeight="1">
      <c r="A274" s="107"/>
      <c r="B274" s="107"/>
      <c r="C274" s="108"/>
      <c r="D274" s="108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</row>
    <row r="275" ht="20.25" customHeight="1">
      <c r="A275" s="107"/>
      <c r="B275" s="107"/>
      <c r="C275" s="108"/>
      <c r="D275" s="108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</row>
    <row r="276" ht="20.25" customHeight="1">
      <c r="A276" s="107"/>
      <c r="B276" s="107"/>
      <c r="C276" s="108"/>
      <c r="D276" s="108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</row>
    <row r="277" ht="20.25" customHeight="1">
      <c r="A277" s="107"/>
      <c r="B277" s="107"/>
      <c r="C277" s="108"/>
      <c r="D277" s="108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</row>
    <row r="278" ht="20.25" customHeight="1">
      <c r="A278" s="107"/>
      <c r="B278" s="107"/>
      <c r="C278" s="108"/>
      <c r="D278" s="108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</row>
    <row r="279" ht="20.25" customHeight="1">
      <c r="A279" s="107"/>
      <c r="B279" s="107"/>
      <c r="C279" s="108"/>
      <c r="D279" s="108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</row>
    <row r="280" ht="20.25" customHeight="1">
      <c r="A280" s="107"/>
      <c r="B280" s="107"/>
      <c r="C280" s="108"/>
      <c r="D280" s="108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</row>
    <row r="281" ht="20.25" customHeight="1">
      <c r="A281" s="107"/>
      <c r="B281" s="107"/>
      <c r="C281" s="108"/>
      <c r="D281" s="108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</row>
    <row r="282" ht="20.25" customHeight="1">
      <c r="A282" s="107"/>
      <c r="B282" s="107"/>
      <c r="C282" s="108"/>
      <c r="D282" s="108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</row>
    <row r="283" ht="20.25" customHeight="1">
      <c r="A283" s="107"/>
      <c r="B283" s="107"/>
      <c r="C283" s="108"/>
      <c r="D283" s="108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</row>
    <row r="284" ht="20.25" customHeight="1">
      <c r="A284" s="107"/>
      <c r="B284" s="107"/>
      <c r="C284" s="108"/>
      <c r="D284" s="108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</row>
    <row r="285" ht="20.25" customHeight="1">
      <c r="A285" s="107"/>
      <c r="B285" s="107"/>
      <c r="C285" s="108"/>
      <c r="D285" s="108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</row>
    <row r="286" ht="20.25" customHeight="1">
      <c r="A286" s="107"/>
      <c r="B286" s="107"/>
      <c r="C286" s="108"/>
      <c r="D286" s="108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</row>
    <row r="287" ht="20.25" customHeight="1">
      <c r="A287" s="107"/>
      <c r="B287" s="107"/>
      <c r="C287" s="108"/>
      <c r="D287" s="108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</row>
    <row r="288" ht="20.25" customHeight="1">
      <c r="A288" s="107"/>
      <c r="B288" s="107"/>
      <c r="C288" s="108"/>
      <c r="D288" s="108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</row>
    <row r="289" ht="20.25" customHeight="1">
      <c r="A289" s="107"/>
      <c r="B289" s="107"/>
      <c r="C289" s="108"/>
      <c r="D289" s="108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</row>
    <row r="290" ht="20.25" customHeight="1">
      <c r="A290" s="107"/>
      <c r="B290" s="107"/>
      <c r="C290" s="108"/>
      <c r="D290" s="108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</row>
    <row r="291" ht="20.25" customHeight="1">
      <c r="A291" s="107"/>
      <c r="B291" s="107"/>
      <c r="C291" s="108"/>
      <c r="D291" s="108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</row>
    <row r="292" ht="20.25" customHeight="1">
      <c r="A292" s="107"/>
      <c r="B292" s="107"/>
      <c r="C292" s="108"/>
      <c r="D292" s="108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</row>
    <row r="293" ht="20.25" customHeight="1">
      <c r="A293" s="107"/>
      <c r="B293" s="107"/>
      <c r="C293" s="108"/>
      <c r="D293" s="108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</row>
    <row r="294" ht="20.25" customHeight="1">
      <c r="A294" s="107"/>
      <c r="B294" s="107"/>
      <c r="C294" s="108"/>
      <c r="D294" s="108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</row>
    <row r="295" ht="20.25" customHeight="1">
      <c r="A295" s="107"/>
      <c r="B295" s="107"/>
      <c r="C295" s="108"/>
      <c r="D295" s="108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</row>
    <row r="296" ht="20.25" customHeight="1">
      <c r="A296" s="107"/>
      <c r="B296" s="107"/>
      <c r="C296" s="108"/>
      <c r="D296" s="108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</row>
    <row r="297" ht="20.25" customHeight="1">
      <c r="A297" s="107"/>
      <c r="B297" s="107"/>
      <c r="C297" s="108"/>
      <c r="D297" s="108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</row>
    <row r="298" ht="20.25" customHeight="1">
      <c r="A298" s="107"/>
      <c r="B298" s="107"/>
      <c r="C298" s="108"/>
      <c r="D298" s="108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</row>
    <row r="299" ht="20.25" customHeight="1">
      <c r="A299" s="107"/>
      <c r="B299" s="107"/>
      <c r="C299" s="108"/>
      <c r="D299" s="108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</row>
    <row r="300" ht="20.25" customHeight="1">
      <c r="A300" s="107"/>
      <c r="B300" s="107"/>
      <c r="C300" s="108"/>
      <c r="D300" s="108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</row>
    <row r="301" ht="20.25" customHeight="1">
      <c r="A301" s="107"/>
      <c r="B301" s="107"/>
      <c r="C301" s="108"/>
      <c r="D301" s="108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</row>
    <row r="302" ht="20.25" customHeight="1">
      <c r="A302" s="107"/>
      <c r="B302" s="107"/>
      <c r="C302" s="108"/>
      <c r="D302" s="108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</row>
    <row r="303" ht="20.25" customHeight="1">
      <c r="A303" s="107"/>
      <c r="B303" s="107"/>
      <c r="C303" s="108"/>
      <c r="D303" s="108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</row>
    <row r="304" ht="20.25" customHeight="1">
      <c r="A304" s="107"/>
      <c r="B304" s="107"/>
      <c r="C304" s="108"/>
      <c r="D304" s="108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</row>
    <row r="305" ht="20.25" customHeight="1">
      <c r="A305" s="107"/>
      <c r="B305" s="107"/>
      <c r="C305" s="108"/>
      <c r="D305" s="108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</row>
    <row r="306" ht="20.25" customHeight="1">
      <c r="A306" s="107"/>
      <c r="B306" s="107"/>
      <c r="C306" s="108"/>
      <c r="D306" s="108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</row>
    <row r="307" ht="20.25" customHeight="1">
      <c r="A307" s="107"/>
      <c r="B307" s="107"/>
      <c r="C307" s="108"/>
      <c r="D307" s="108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</row>
    <row r="308" ht="20.25" customHeight="1">
      <c r="A308" s="107"/>
      <c r="B308" s="107"/>
      <c r="C308" s="108"/>
      <c r="D308" s="108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</row>
    <row r="309" ht="20.25" customHeight="1">
      <c r="A309" s="107"/>
      <c r="B309" s="107"/>
      <c r="C309" s="108"/>
      <c r="D309" s="108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</row>
    <row r="310" ht="20.25" customHeight="1">
      <c r="A310" s="107"/>
      <c r="B310" s="107"/>
      <c r="C310" s="108"/>
      <c r="D310" s="108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</row>
    <row r="311" ht="20.25" customHeight="1">
      <c r="A311" s="107"/>
      <c r="B311" s="107"/>
      <c r="C311" s="108"/>
      <c r="D311" s="108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</row>
    <row r="312" ht="20.25" customHeight="1">
      <c r="A312" s="107"/>
      <c r="B312" s="107"/>
      <c r="C312" s="108"/>
      <c r="D312" s="108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</row>
    <row r="313" ht="20.25" customHeight="1">
      <c r="A313" s="107"/>
      <c r="B313" s="107"/>
      <c r="C313" s="108"/>
      <c r="D313" s="108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</row>
    <row r="314" ht="20.25" customHeight="1">
      <c r="A314" s="107"/>
      <c r="B314" s="107"/>
      <c r="C314" s="108"/>
      <c r="D314" s="108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</row>
    <row r="315" ht="20.25" customHeight="1">
      <c r="A315" s="107"/>
      <c r="B315" s="107"/>
      <c r="C315" s="108"/>
      <c r="D315" s="108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</row>
    <row r="316" ht="20.25" customHeight="1">
      <c r="A316" s="107"/>
      <c r="B316" s="107"/>
      <c r="C316" s="108"/>
      <c r="D316" s="108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</row>
    <row r="317" ht="20.25" customHeight="1">
      <c r="A317" s="107"/>
      <c r="B317" s="107"/>
      <c r="C317" s="108"/>
      <c r="D317" s="108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</row>
    <row r="318" ht="20.25" customHeight="1">
      <c r="A318" s="107"/>
      <c r="B318" s="107"/>
      <c r="C318" s="108"/>
      <c r="D318" s="108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</row>
    <row r="319" ht="20.25" customHeight="1">
      <c r="A319" s="107"/>
      <c r="B319" s="107"/>
      <c r="C319" s="108"/>
      <c r="D319" s="108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</row>
    <row r="320" ht="20.25" customHeight="1">
      <c r="A320" s="107"/>
      <c r="B320" s="107"/>
      <c r="C320" s="108"/>
      <c r="D320" s="108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</row>
    <row r="321" ht="20.25" customHeight="1">
      <c r="A321" s="107"/>
      <c r="B321" s="107"/>
      <c r="C321" s="108"/>
      <c r="D321" s="108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</row>
    <row r="322" ht="20.25" customHeight="1">
      <c r="A322" s="107"/>
      <c r="B322" s="107"/>
      <c r="C322" s="108"/>
      <c r="D322" s="108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</row>
    <row r="323" ht="20.25" customHeight="1">
      <c r="A323" s="107"/>
      <c r="B323" s="107"/>
      <c r="C323" s="108"/>
      <c r="D323" s="108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</row>
    <row r="324" ht="20.25" customHeight="1">
      <c r="A324" s="107"/>
      <c r="B324" s="107"/>
      <c r="C324" s="108"/>
      <c r="D324" s="108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</row>
    <row r="325" ht="20.25" customHeight="1">
      <c r="A325" s="107"/>
      <c r="B325" s="107"/>
      <c r="C325" s="108"/>
      <c r="D325" s="108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</row>
    <row r="326" ht="20.25" customHeight="1">
      <c r="A326" s="107"/>
      <c r="B326" s="107"/>
      <c r="C326" s="108"/>
      <c r="D326" s="108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</row>
    <row r="327" ht="20.25" customHeight="1">
      <c r="A327" s="107"/>
      <c r="B327" s="107"/>
      <c r="C327" s="108"/>
      <c r="D327" s="108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</row>
    <row r="328" ht="20.25" customHeight="1">
      <c r="A328" s="107"/>
      <c r="B328" s="107"/>
      <c r="C328" s="108"/>
      <c r="D328" s="108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</row>
    <row r="329" ht="20.25" customHeight="1">
      <c r="A329" s="107"/>
      <c r="B329" s="107"/>
      <c r="C329" s="108"/>
      <c r="D329" s="108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</row>
    <row r="330" ht="20.25" customHeight="1">
      <c r="A330" s="107"/>
      <c r="B330" s="107"/>
      <c r="C330" s="108"/>
      <c r="D330" s="108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</row>
    <row r="331" ht="20.25" customHeight="1">
      <c r="A331" s="107"/>
      <c r="B331" s="107"/>
      <c r="C331" s="108"/>
      <c r="D331" s="108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</row>
    <row r="332" ht="20.25" customHeight="1">
      <c r="A332" s="107"/>
      <c r="B332" s="107"/>
      <c r="C332" s="108"/>
      <c r="D332" s="108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</row>
    <row r="333" ht="20.25" customHeight="1">
      <c r="A333" s="107"/>
      <c r="B333" s="107"/>
      <c r="C333" s="108"/>
      <c r="D333" s="108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</row>
    <row r="334" ht="20.25" customHeight="1">
      <c r="A334" s="107"/>
      <c r="B334" s="107"/>
      <c r="C334" s="108"/>
      <c r="D334" s="108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</row>
    <row r="335" ht="20.25" customHeight="1">
      <c r="A335" s="107"/>
      <c r="B335" s="107"/>
      <c r="C335" s="108"/>
      <c r="D335" s="108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</row>
    <row r="336" ht="20.25" customHeight="1">
      <c r="A336" s="107"/>
      <c r="B336" s="107"/>
      <c r="C336" s="108"/>
      <c r="D336" s="108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</row>
    <row r="337" ht="20.25" customHeight="1">
      <c r="A337" s="107"/>
      <c r="B337" s="107"/>
      <c r="C337" s="108"/>
      <c r="D337" s="108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</row>
    <row r="338" ht="20.25" customHeight="1">
      <c r="A338" s="107"/>
      <c r="B338" s="107"/>
      <c r="C338" s="108"/>
      <c r="D338" s="108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</row>
    <row r="339" ht="20.25" customHeight="1">
      <c r="A339" s="107"/>
      <c r="B339" s="107"/>
      <c r="C339" s="108"/>
      <c r="D339" s="108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</row>
    <row r="340" ht="20.25" customHeight="1">
      <c r="A340" s="107"/>
      <c r="B340" s="107"/>
      <c r="C340" s="108"/>
      <c r="D340" s="108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</row>
    <row r="341" ht="20.25" customHeight="1">
      <c r="A341" s="107"/>
      <c r="B341" s="107"/>
      <c r="C341" s="108"/>
      <c r="D341" s="108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</row>
    <row r="342" ht="20.25" customHeight="1">
      <c r="A342" s="107"/>
      <c r="B342" s="107"/>
      <c r="C342" s="108"/>
      <c r="D342" s="108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</row>
    <row r="343" ht="20.25" customHeight="1">
      <c r="A343" s="107"/>
      <c r="B343" s="107"/>
      <c r="C343" s="108"/>
      <c r="D343" s="108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</row>
    <row r="344" ht="20.25" customHeight="1">
      <c r="A344" s="107"/>
      <c r="B344" s="107"/>
      <c r="C344" s="108"/>
      <c r="D344" s="108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</row>
    <row r="345" ht="20.25" customHeight="1">
      <c r="A345" s="107"/>
      <c r="B345" s="107"/>
      <c r="C345" s="108"/>
      <c r="D345" s="108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</row>
    <row r="346" ht="20.25" customHeight="1">
      <c r="A346" s="107"/>
      <c r="B346" s="107"/>
      <c r="C346" s="108"/>
      <c r="D346" s="108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</row>
    <row r="347" ht="20.25" customHeight="1">
      <c r="A347" s="107"/>
      <c r="B347" s="107"/>
      <c r="C347" s="108"/>
      <c r="D347" s="108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</row>
    <row r="348" ht="20.25" customHeight="1">
      <c r="A348" s="107"/>
      <c r="B348" s="107"/>
      <c r="C348" s="108"/>
      <c r="D348" s="108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</row>
    <row r="349" ht="20.25" customHeight="1">
      <c r="A349" s="107"/>
      <c r="B349" s="107"/>
      <c r="C349" s="108"/>
      <c r="D349" s="108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</row>
    <row r="350" ht="20.25" customHeight="1">
      <c r="A350" s="107"/>
      <c r="B350" s="107"/>
      <c r="C350" s="108"/>
      <c r="D350" s="108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</row>
    <row r="351" ht="20.25" customHeight="1">
      <c r="A351" s="107"/>
      <c r="B351" s="107"/>
      <c r="C351" s="108"/>
      <c r="D351" s="108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</row>
    <row r="352" ht="20.25" customHeight="1">
      <c r="A352" s="107"/>
      <c r="B352" s="107"/>
      <c r="C352" s="108"/>
      <c r="D352" s="108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</row>
    <row r="353" ht="20.25" customHeight="1">
      <c r="A353" s="107"/>
      <c r="B353" s="107"/>
      <c r="C353" s="108"/>
      <c r="D353" s="108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</row>
    <row r="354" ht="20.25" customHeight="1">
      <c r="A354" s="107"/>
      <c r="B354" s="107"/>
      <c r="C354" s="108"/>
      <c r="D354" s="108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</row>
    <row r="355" ht="20.25" customHeight="1">
      <c r="A355" s="107"/>
      <c r="B355" s="107"/>
      <c r="C355" s="108"/>
      <c r="D355" s="108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</row>
    <row r="356" ht="20.25" customHeight="1">
      <c r="A356" s="107"/>
      <c r="B356" s="107"/>
      <c r="C356" s="108"/>
      <c r="D356" s="108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</row>
    <row r="357" ht="20.25" customHeight="1">
      <c r="A357" s="107"/>
      <c r="B357" s="107"/>
      <c r="C357" s="108"/>
      <c r="D357" s="108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</row>
    <row r="358" ht="20.25" customHeight="1">
      <c r="A358" s="107"/>
      <c r="B358" s="107"/>
      <c r="C358" s="108"/>
      <c r="D358" s="108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</row>
    <row r="359" ht="20.25" customHeight="1">
      <c r="A359" s="107"/>
      <c r="B359" s="107"/>
      <c r="C359" s="108"/>
      <c r="D359" s="108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</row>
    <row r="360" ht="20.25" customHeight="1">
      <c r="A360" s="107"/>
      <c r="B360" s="107"/>
      <c r="C360" s="108"/>
      <c r="D360" s="108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</row>
    <row r="361" ht="20.25" customHeight="1">
      <c r="A361" s="107"/>
      <c r="B361" s="107"/>
      <c r="C361" s="108"/>
      <c r="D361" s="108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</row>
    <row r="362" ht="20.25" customHeight="1">
      <c r="A362" s="107"/>
      <c r="B362" s="107"/>
      <c r="C362" s="108"/>
      <c r="D362" s="108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</row>
    <row r="363" ht="20.25" customHeight="1">
      <c r="A363" s="107"/>
      <c r="B363" s="107"/>
      <c r="C363" s="108"/>
      <c r="D363" s="108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</row>
    <row r="364" ht="20.25" customHeight="1">
      <c r="A364" s="107"/>
      <c r="B364" s="107"/>
      <c r="C364" s="108"/>
      <c r="D364" s="108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</row>
    <row r="365" ht="20.25" customHeight="1">
      <c r="A365" s="107"/>
      <c r="B365" s="107"/>
      <c r="C365" s="108"/>
      <c r="D365" s="108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</row>
    <row r="366" ht="20.25" customHeight="1">
      <c r="A366" s="107"/>
      <c r="B366" s="107"/>
      <c r="C366" s="108"/>
      <c r="D366" s="108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</row>
    <row r="367" ht="20.25" customHeight="1">
      <c r="A367" s="107"/>
      <c r="B367" s="107"/>
      <c r="C367" s="108"/>
      <c r="D367" s="108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</row>
    <row r="368" ht="20.25" customHeight="1">
      <c r="A368" s="107"/>
      <c r="B368" s="107"/>
      <c r="C368" s="108"/>
      <c r="D368" s="108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</row>
    <row r="369" ht="20.25" customHeight="1">
      <c r="A369" s="107"/>
      <c r="B369" s="107"/>
      <c r="C369" s="108"/>
      <c r="D369" s="108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</row>
    <row r="370" ht="20.25" customHeight="1">
      <c r="A370" s="107"/>
      <c r="B370" s="107"/>
      <c r="C370" s="108"/>
      <c r="D370" s="108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</row>
    <row r="371" ht="20.25" customHeight="1">
      <c r="A371" s="107"/>
      <c r="B371" s="107"/>
      <c r="C371" s="108"/>
      <c r="D371" s="108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</row>
    <row r="372" ht="20.25" customHeight="1">
      <c r="A372" s="107"/>
      <c r="B372" s="107"/>
      <c r="C372" s="108"/>
      <c r="D372" s="108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</row>
    <row r="373" ht="20.25" customHeight="1">
      <c r="A373" s="107"/>
      <c r="B373" s="107"/>
      <c r="C373" s="108"/>
      <c r="D373" s="108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</row>
    <row r="374" ht="20.25" customHeight="1">
      <c r="A374" s="107"/>
      <c r="B374" s="107"/>
      <c r="C374" s="108"/>
      <c r="D374" s="108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</row>
    <row r="375" ht="20.25" customHeight="1">
      <c r="A375" s="107"/>
      <c r="B375" s="107"/>
      <c r="C375" s="108"/>
      <c r="D375" s="108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</row>
    <row r="376" ht="20.25" customHeight="1">
      <c r="A376" s="107"/>
      <c r="B376" s="107"/>
      <c r="C376" s="108"/>
      <c r="D376" s="108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</row>
    <row r="377" ht="20.25" customHeight="1">
      <c r="A377" s="107"/>
      <c r="B377" s="107"/>
      <c r="C377" s="108"/>
      <c r="D377" s="108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</row>
    <row r="378" ht="20.25" customHeight="1">
      <c r="A378" s="107"/>
      <c r="B378" s="107"/>
      <c r="C378" s="108"/>
      <c r="D378" s="108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</row>
    <row r="379" ht="20.25" customHeight="1">
      <c r="A379" s="107"/>
      <c r="B379" s="107"/>
      <c r="C379" s="108"/>
      <c r="D379" s="108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</row>
    <row r="380" ht="20.25" customHeight="1">
      <c r="A380" s="107"/>
      <c r="B380" s="107"/>
      <c r="C380" s="108"/>
      <c r="D380" s="108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</row>
    <row r="381" ht="20.25" customHeight="1">
      <c r="A381" s="107"/>
      <c r="B381" s="107"/>
      <c r="C381" s="108"/>
      <c r="D381" s="108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</row>
    <row r="382" ht="20.25" customHeight="1">
      <c r="A382" s="107"/>
      <c r="B382" s="107"/>
      <c r="C382" s="108"/>
      <c r="D382" s="108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</row>
    <row r="383" ht="20.25" customHeight="1">
      <c r="A383" s="107"/>
      <c r="B383" s="107"/>
      <c r="C383" s="108"/>
      <c r="D383" s="108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</row>
    <row r="384" ht="20.25" customHeight="1">
      <c r="A384" s="107"/>
      <c r="B384" s="107"/>
      <c r="C384" s="108"/>
      <c r="D384" s="108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</row>
    <row r="385" ht="20.25" customHeight="1">
      <c r="A385" s="107"/>
      <c r="B385" s="107"/>
      <c r="C385" s="108"/>
      <c r="D385" s="108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</row>
    <row r="386" ht="20.25" customHeight="1">
      <c r="A386" s="107"/>
      <c r="B386" s="107"/>
      <c r="C386" s="108"/>
      <c r="D386" s="108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</row>
    <row r="387" ht="20.25" customHeight="1">
      <c r="A387" s="107"/>
      <c r="B387" s="107"/>
      <c r="C387" s="108"/>
      <c r="D387" s="108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</row>
    <row r="388" ht="20.25" customHeight="1">
      <c r="A388" s="107"/>
      <c r="B388" s="107"/>
      <c r="C388" s="108"/>
      <c r="D388" s="108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</row>
    <row r="389" ht="20.25" customHeight="1">
      <c r="A389" s="107"/>
      <c r="B389" s="107"/>
      <c r="C389" s="108"/>
      <c r="D389" s="108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</row>
    <row r="390" ht="20.25" customHeight="1">
      <c r="A390" s="107"/>
      <c r="B390" s="107"/>
      <c r="C390" s="108"/>
      <c r="D390" s="108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</row>
    <row r="391" ht="20.25" customHeight="1">
      <c r="A391" s="107"/>
      <c r="B391" s="107"/>
      <c r="C391" s="108"/>
      <c r="D391" s="108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</row>
    <row r="392" ht="20.25" customHeight="1">
      <c r="A392" s="107"/>
      <c r="B392" s="107"/>
      <c r="C392" s="108"/>
      <c r="D392" s="108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</row>
    <row r="393" ht="20.25" customHeight="1">
      <c r="A393" s="107"/>
      <c r="B393" s="107"/>
      <c r="C393" s="108"/>
      <c r="D393" s="108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</row>
    <row r="394" ht="20.25" customHeight="1">
      <c r="A394" s="107"/>
      <c r="B394" s="107"/>
      <c r="C394" s="108"/>
      <c r="D394" s="108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</row>
    <row r="395" ht="20.25" customHeight="1">
      <c r="A395" s="107"/>
      <c r="B395" s="107"/>
      <c r="C395" s="108"/>
      <c r="D395" s="108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</row>
    <row r="396" ht="20.25" customHeight="1">
      <c r="A396" s="107"/>
      <c r="B396" s="107"/>
      <c r="C396" s="108"/>
      <c r="D396" s="108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</row>
    <row r="397" ht="20.25" customHeight="1">
      <c r="A397" s="107"/>
      <c r="B397" s="107"/>
      <c r="C397" s="108"/>
      <c r="D397" s="108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</row>
    <row r="398" ht="20.25" customHeight="1">
      <c r="A398" s="107"/>
      <c r="B398" s="107"/>
      <c r="C398" s="108"/>
      <c r="D398" s="108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</row>
    <row r="399" ht="20.25" customHeight="1">
      <c r="A399" s="107"/>
      <c r="B399" s="107"/>
      <c r="C399" s="108"/>
      <c r="D399" s="108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</row>
    <row r="400" ht="20.25" customHeight="1">
      <c r="A400" s="107"/>
      <c r="B400" s="107"/>
      <c r="C400" s="108"/>
      <c r="D400" s="108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</row>
    <row r="401" ht="20.25" customHeight="1">
      <c r="A401" s="107"/>
      <c r="B401" s="107"/>
      <c r="C401" s="108"/>
      <c r="D401" s="108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</row>
    <row r="402" ht="20.25" customHeight="1">
      <c r="A402" s="107"/>
      <c r="B402" s="107"/>
      <c r="C402" s="108"/>
      <c r="D402" s="108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</row>
    <row r="403" ht="20.25" customHeight="1">
      <c r="A403" s="107"/>
      <c r="B403" s="107"/>
      <c r="C403" s="108"/>
      <c r="D403" s="108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</row>
    <row r="404" ht="20.25" customHeight="1">
      <c r="A404" s="107"/>
      <c r="B404" s="107"/>
      <c r="C404" s="108"/>
      <c r="D404" s="108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</row>
    <row r="405" ht="20.25" customHeight="1">
      <c r="A405" s="107"/>
      <c r="B405" s="107"/>
      <c r="C405" s="108"/>
      <c r="D405" s="108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</row>
    <row r="406" ht="20.25" customHeight="1">
      <c r="A406" s="107"/>
      <c r="B406" s="107"/>
      <c r="C406" s="108"/>
      <c r="D406" s="108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</row>
    <row r="407" ht="20.25" customHeight="1">
      <c r="A407" s="107"/>
      <c r="B407" s="107"/>
      <c r="C407" s="108"/>
      <c r="D407" s="108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</row>
    <row r="408" ht="20.25" customHeight="1">
      <c r="A408" s="107"/>
      <c r="B408" s="107"/>
      <c r="C408" s="108"/>
      <c r="D408" s="108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</row>
    <row r="409" ht="20.25" customHeight="1">
      <c r="A409" s="107"/>
      <c r="B409" s="107"/>
      <c r="C409" s="108"/>
      <c r="D409" s="108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</row>
    <row r="410" ht="20.25" customHeight="1">
      <c r="A410" s="107"/>
      <c r="B410" s="107"/>
      <c r="C410" s="108"/>
      <c r="D410" s="108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</row>
    <row r="411" ht="20.25" customHeight="1">
      <c r="A411" s="107"/>
      <c r="B411" s="107"/>
      <c r="C411" s="108"/>
      <c r="D411" s="108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</row>
    <row r="412" ht="20.25" customHeight="1">
      <c r="A412" s="107"/>
      <c r="B412" s="107"/>
      <c r="C412" s="108"/>
      <c r="D412" s="108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</row>
    <row r="413" ht="20.25" customHeight="1">
      <c r="A413" s="107"/>
      <c r="B413" s="107"/>
      <c r="C413" s="108"/>
      <c r="D413" s="108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</row>
    <row r="414" ht="20.25" customHeight="1">
      <c r="A414" s="107"/>
      <c r="B414" s="107"/>
      <c r="C414" s="108"/>
      <c r="D414" s="108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</row>
    <row r="415" ht="20.25" customHeight="1">
      <c r="A415" s="107"/>
      <c r="B415" s="107"/>
      <c r="C415" s="108"/>
      <c r="D415" s="108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</row>
    <row r="416" ht="20.25" customHeight="1">
      <c r="A416" s="107"/>
      <c r="B416" s="107"/>
      <c r="C416" s="108"/>
      <c r="D416" s="108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</row>
    <row r="417" ht="20.25" customHeight="1">
      <c r="A417" s="107"/>
      <c r="B417" s="107"/>
      <c r="C417" s="108"/>
      <c r="D417" s="108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</row>
    <row r="418" ht="20.25" customHeight="1">
      <c r="A418" s="107"/>
      <c r="B418" s="107"/>
      <c r="C418" s="108"/>
      <c r="D418" s="108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</row>
    <row r="419" ht="20.25" customHeight="1">
      <c r="A419" s="107"/>
      <c r="B419" s="107"/>
      <c r="C419" s="108"/>
      <c r="D419" s="108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</row>
    <row r="420" ht="20.25" customHeight="1">
      <c r="A420" s="107"/>
      <c r="B420" s="107"/>
      <c r="C420" s="108"/>
      <c r="D420" s="108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</row>
    <row r="421" ht="20.25" customHeight="1">
      <c r="A421" s="107"/>
      <c r="B421" s="107"/>
      <c r="C421" s="108"/>
      <c r="D421" s="108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</row>
    <row r="422" ht="20.25" customHeight="1">
      <c r="A422" s="107"/>
      <c r="B422" s="107"/>
      <c r="C422" s="108"/>
      <c r="D422" s="108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</row>
    <row r="423" ht="20.25" customHeight="1">
      <c r="A423" s="107"/>
      <c r="B423" s="107"/>
      <c r="C423" s="108"/>
      <c r="D423" s="108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</row>
    <row r="424" ht="20.25" customHeight="1">
      <c r="A424" s="107"/>
      <c r="B424" s="107"/>
      <c r="C424" s="108"/>
      <c r="D424" s="108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</row>
    <row r="425" ht="20.25" customHeight="1">
      <c r="A425" s="107"/>
      <c r="B425" s="107"/>
      <c r="C425" s="108"/>
      <c r="D425" s="108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</row>
    <row r="426" ht="20.25" customHeight="1">
      <c r="A426" s="107"/>
      <c r="B426" s="107"/>
      <c r="C426" s="108"/>
      <c r="D426" s="108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</row>
    <row r="427" ht="20.25" customHeight="1">
      <c r="A427" s="107"/>
      <c r="B427" s="107"/>
      <c r="C427" s="108"/>
      <c r="D427" s="108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</row>
    <row r="428" ht="20.25" customHeight="1">
      <c r="A428" s="107"/>
      <c r="B428" s="107"/>
      <c r="C428" s="108"/>
      <c r="D428" s="108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</row>
    <row r="429" ht="20.25" customHeight="1">
      <c r="A429" s="107"/>
      <c r="B429" s="107"/>
      <c r="C429" s="108"/>
      <c r="D429" s="108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</row>
    <row r="430" ht="20.25" customHeight="1">
      <c r="A430" s="107"/>
      <c r="B430" s="107"/>
      <c r="C430" s="108"/>
      <c r="D430" s="108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</row>
    <row r="431" ht="20.25" customHeight="1">
      <c r="A431" s="107"/>
      <c r="B431" s="107"/>
      <c r="C431" s="108"/>
      <c r="D431" s="108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</row>
    <row r="432" ht="20.25" customHeight="1">
      <c r="A432" s="107"/>
      <c r="B432" s="107"/>
      <c r="C432" s="108"/>
      <c r="D432" s="108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</row>
    <row r="433" ht="20.25" customHeight="1">
      <c r="A433" s="107"/>
      <c r="B433" s="107"/>
      <c r="C433" s="108"/>
      <c r="D433" s="108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</row>
    <row r="434" ht="20.25" customHeight="1">
      <c r="A434" s="107"/>
      <c r="B434" s="107"/>
      <c r="C434" s="108"/>
      <c r="D434" s="108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</row>
    <row r="435" ht="20.25" customHeight="1">
      <c r="A435" s="107"/>
      <c r="B435" s="107"/>
      <c r="C435" s="108"/>
      <c r="D435" s="108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</row>
    <row r="436" ht="20.25" customHeight="1">
      <c r="A436" s="107"/>
      <c r="B436" s="107"/>
      <c r="C436" s="108"/>
      <c r="D436" s="108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</row>
    <row r="437" ht="20.25" customHeight="1">
      <c r="A437" s="107"/>
      <c r="B437" s="107"/>
      <c r="C437" s="108"/>
      <c r="D437" s="108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</row>
    <row r="438" ht="20.25" customHeight="1">
      <c r="A438" s="107"/>
      <c r="B438" s="107"/>
      <c r="C438" s="108"/>
      <c r="D438" s="108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</row>
    <row r="439" ht="20.25" customHeight="1">
      <c r="A439" s="107"/>
      <c r="B439" s="107"/>
      <c r="C439" s="108"/>
      <c r="D439" s="108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</row>
    <row r="440" ht="20.25" customHeight="1">
      <c r="A440" s="107"/>
      <c r="B440" s="107"/>
      <c r="C440" s="108"/>
      <c r="D440" s="108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</row>
    <row r="441" ht="20.25" customHeight="1">
      <c r="A441" s="107"/>
      <c r="B441" s="107"/>
      <c r="C441" s="108"/>
      <c r="D441" s="108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</row>
    <row r="442" ht="20.25" customHeight="1">
      <c r="A442" s="107"/>
      <c r="B442" s="107"/>
      <c r="C442" s="108"/>
      <c r="D442" s="108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</row>
    <row r="443" ht="20.25" customHeight="1">
      <c r="A443" s="107"/>
      <c r="B443" s="107"/>
      <c r="C443" s="108"/>
      <c r="D443" s="108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</row>
    <row r="444" ht="20.25" customHeight="1">
      <c r="A444" s="107"/>
      <c r="B444" s="107"/>
      <c r="C444" s="108"/>
      <c r="D444" s="108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</row>
    <row r="445" ht="20.25" customHeight="1">
      <c r="A445" s="107"/>
      <c r="B445" s="107"/>
      <c r="C445" s="108"/>
      <c r="D445" s="108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</row>
    <row r="446" ht="20.25" customHeight="1">
      <c r="A446" s="107"/>
      <c r="B446" s="107"/>
      <c r="C446" s="108"/>
      <c r="D446" s="108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</row>
    <row r="447" ht="20.25" customHeight="1">
      <c r="A447" s="107"/>
      <c r="B447" s="107"/>
      <c r="C447" s="108"/>
      <c r="D447" s="108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</row>
    <row r="448" ht="20.25" customHeight="1">
      <c r="A448" s="107"/>
      <c r="B448" s="107"/>
      <c r="C448" s="108"/>
      <c r="D448" s="108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</row>
    <row r="449" ht="20.25" customHeight="1">
      <c r="A449" s="107"/>
      <c r="B449" s="107"/>
      <c r="C449" s="108"/>
      <c r="D449" s="108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</row>
    <row r="450" ht="20.25" customHeight="1">
      <c r="A450" s="107"/>
      <c r="B450" s="107"/>
      <c r="C450" s="108"/>
      <c r="D450" s="108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</row>
    <row r="451" ht="20.25" customHeight="1">
      <c r="A451" s="107"/>
      <c r="B451" s="107"/>
      <c r="C451" s="108"/>
      <c r="D451" s="108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</row>
    <row r="452" ht="20.25" customHeight="1">
      <c r="A452" s="107"/>
      <c r="B452" s="107"/>
      <c r="C452" s="108"/>
      <c r="D452" s="108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</row>
    <row r="453" ht="20.25" customHeight="1">
      <c r="A453" s="107"/>
      <c r="B453" s="107"/>
      <c r="C453" s="108"/>
      <c r="D453" s="108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</row>
    <row r="454" ht="20.25" customHeight="1">
      <c r="A454" s="107"/>
      <c r="B454" s="107"/>
      <c r="C454" s="108"/>
      <c r="D454" s="108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</row>
    <row r="455" ht="20.25" customHeight="1">
      <c r="A455" s="107"/>
      <c r="B455" s="107"/>
      <c r="C455" s="108"/>
      <c r="D455" s="108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</row>
    <row r="456" ht="20.25" customHeight="1">
      <c r="A456" s="107"/>
      <c r="B456" s="107"/>
      <c r="C456" s="108"/>
      <c r="D456" s="108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</row>
    <row r="457" ht="20.25" customHeight="1">
      <c r="A457" s="107"/>
      <c r="B457" s="107"/>
      <c r="C457" s="108"/>
      <c r="D457" s="108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</row>
    <row r="458" ht="20.25" customHeight="1">
      <c r="A458" s="107"/>
      <c r="B458" s="107"/>
      <c r="C458" s="108"/>
      <c r="D458" s="108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</row>
    <row r="459" ht="20.25" customHeight="1">
      <c r="A459" s="107"/>
      <c r="B459" s="107"/>
      <c r="C459" s="108"/>
      <c r="D459" s="108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</row>
    <row r="460" ht="20.25" customHeight="1">
      <c r="A460" s="107"/>
      <c r="B460" s="107"/>
      <c r="C460" s="108"/>
      <c r="D460" s="108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</row>
    <row r="461" ht="20.25" customHeight="1">
      <c r="A461" s="107"/>
      <c r="B461" s="107"/>
      <c r="C461" s="108"/>
      <c r="D461" s="108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</row>
    <row r="462" ht="20.25" customHeight="1">
      <c r="A462" s="107"/>
      <c r="B462" s="107"/>
      <c r="C462" s="108"/>
      <c r="D462" s="108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</row>
    <row r="463" ht="20.25" customHeight="1">
      <c r="A463" s="107"/>
      <c r="B463" s="107"/>
      <c r="C463" s="108"/>
      <c r="D463" s="108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</row>
    <row r="464" ht="20.25" customHeight="1">
      <c r="A464" s="107"/>
      <c r="B464" s="107"/>
      <c r="C464" s="108"/>
      <c r="D464" s="108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</row>
    <row r="465" ht="20.25" customHeight="1">
      <c r="A465" s="107"/>
      <c r="B465" s="107"/>
      <c r="C465" s="108"/>
      <c r="D465" s="108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</row>
    <row r="466" ht="20.25" customHeight="1">
      <c r="A466" s="107"/>
      <c r="B466" s="107"/>
      <c r="C466" s="108"/>
      <c r="D466" s="108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</row>
    <row r="467" ht="20.25" customHeight="1">
      <c r="A467" s="107"/>
      <c r="B467" s="107"/>
      <c r="C467" s="108"/>
      <c r="D467" s="108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</row>
    <row r="468" ht="20.25" customHeight="1">
      <c r="A468" s="107"/>
      <c r="B468" s="107"/>
      <c r="C468" s="108"/>
      <c r="D468" s="108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</row>
    <row r="469" ht="20.25" customHeight="1">
      <c r="A469" s="107"/>
      <c r="B469" s="107"/>
      <c r="C469" s="108"/>
      <c r="D469" s="108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</row>
    <row r="470" ht="20.25" customHeight="1">
      <c r="A470" s="107"/>
      <c r="B470" s="107"/>
      <c r="C470" s="108"/>
      <c r="D470" s="108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</row>
    <row r="471" ht="20.25" customHeight="1">
      <c r="A471" s="107"/>
      <c r="B471" s="107"/>
      <c r="C471" s="108"/>
      <c r="D471" s="108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</row>
    <row r="472" ht="20.25" customHeight="1">
      <c r="A472" s="107"/>
      <c r="B472" s="107"/>
      <c r="C472" s="108"/>
      <c r="D472" s="108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</row>
    <row r="473" ht="20.25" customHeight="1">
      <c r="A473" s="107"/>
      <c r="B473" s="107"/>
      <c r="C473" s="108"/>
      <c r="D473" s="108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</row>
    <row r="474" ht="20.25" customHeight="1">
      <c r="A474" s="107"/>
      <c r="B474" s="107"/>
      <c r="C474" s="108"/>
      <c r="D474" s="108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</row>
    <row r="475" ht="20.25" customHeight="1">
      <c r="A475" s="107"/>
      <c r="B475" s="107"/>
      <c r="C475" s="108"/>
      <c r="D475" s="108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</row>
    <row r="476" ht="20.25" customHeight="1">
      <c r="A476" s="107"/>
      <c r="B476" s="107"/>
      <c r="C476" s="108"/>
      <c r="D476" s="108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</row>
    <row r="477" ht="20.25" customHeight="1">
      <c r="A477" s="107"/>
      <c r="B477" s="107"/>
      <c r="C477" s="108"/>
      <c r="D477" s="108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</row>
    <row r="478" ht="20.25" customHeight="1">
      <c r="A478" s="107"/>
      <c r="B478" s="107"/>
      <c r="C478" s="108"/>
      <c r="D478" s="108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</row>
    <row r="479" ht="20.25" customHeight="1">
      <c r="A479" s="107"/>
      <c r="B479" s="107"/>
      <c r="C479" s="108"/>
      <c r="D479" s="108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</row>
    <row r="480" ht="20.25" customHeight="1">
      <c r="A480" s="107"/>
      <c r="B480" s="107"/>
      <c r="C480" s="108"/>
      <c r="D480" s="108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</row>
    <row r="481" ht="20.25" customHeight="1">
      <c r="A481" s="107"/>
      <c r="B481" s="107"/>
      <c r="C481" s="108"/>
      <c r="D481" s="108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</row>
    <row r="482" ht="20.25" customHeight="1">
      <c r="A482" s="107"/>
      <c r="B482" s="107"/>
      <c r="C482" s="108"/>
      <c r="D482" s="108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</row>
    <row r="483" ht="20.25" customHeight="1">
      <c r="A483" s="107"/>
      <c r="B483" s="107"/>
      <c r="C483" s="108"/>
      <c r="D483" s="108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</row>
    <row r="484" ht="20.25" customHeight="1">
      <c r="A484" s="107"/>
      <c r="B484" s="107"/>
      <c r="C484" s="108"/>
      <c r="D484" s="108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</row>
    <row r="485" ht="20.25" customHeight="1">
      <c r="A485" s="107"/>
      <c r="B485" s="107"/>
      <c r="C485" s="108"/>
      <c r="D485" s="108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</row>
    <row r="486" ht="20.25" customHeight="1">
      <c r="A486" s="107"/>
      <c r="B486" s="107"/>
      <c r="C486" s="108"/>
      <c r="D486" s="108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</row>
    <row r="487" ht="20.25" customHeight="1">
      <c r="A487" s="107"/>
      <c r="B487" s="107"/>
      <c r="C487" s="108"/>
      <c r="D487" s="108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</row>
    <row r="488" ht="20.25" customHeight="1">
      <c r="A488" s="107"/>
      <c r="B488" s="107"/>
      <c r="C488" s="108"/>
      <c r="D488" s="108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</row>
    <row r="489" ht="20.25" customHeight="1">
      <c r="A489" s="107"/>
      <c r="B489" s="107"/>
      <c r="C489" s="108"/>
      <c r="D489" s="108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</row>
    <row r="490" ht="20.25" customHeight="1">
      <c r="A490" s="107"/>
      <c r="B490" s="107"/>
      <c r="C490" s="108"/>
      <c r="D490" s="108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</row>
    <row r="491" ht="20.25" customHeight="1">
      <c r="A491" s="107"/>
      <c r="B491" s="107"/>
      <c r="C491" s="108"/>
      <c r="D491" s="108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</row>
    <row r="492" ht="20.25" customHeight="1">
      <c r="A492" s="107"/>
      <c r="B492" s="107"/>
      <c r="C492" s="108"/>
      <c r="D492" s="108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</row>
    <row r="493" ht="20.25" customHeight="1">
      <c r="A493" s="107"/>
      <c r="B493" s="107"/>
      <c r="C493" s="108"/>
      <c r="D493" s="108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</row>
    <row r="494" ht="20.25" customHeight="1">
      <c r="A494" s="107"/>
      <c r="B494" s="107"/>
      <c r="C494" s="108"/>
      <c r="D494" s="108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</row>
    <row r="495" ht="20.25" customHeight="1">
      <c r="A495" s="107"/>
      <c r="B495" s="107"/>
      <c r="C495" s="108"/>
      <c r="D495" s="108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</row>
    <row r="496" ht="20.25" customHeight="1">
      <c r="A496" s="107"/>
      <c r="B496" s="107"/>
      <c r="C496" s="108"/>
      <c r="D496" s="108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</row>
    <row r="497" ht="20.25" customHeight="1">
      <c r="A497" s="107"/>
      <c r="B497" s="107"/>
      <c r="C497" s="108"/>
      <c r="D497" s="108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</row>
    <row r="498" ht="20.25" customHeight="1">
      <c r="A498" s="107"/>
      <c r="B498" s="107"/>
      <c r="C498" s="108"/>
      <c r="D498" s="108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</row>
    <row r="499" ht="20.25" customHeight="1">
      <c r="A499" s="107"/>
      <c r="B499" s="107"/>
      <c r="C499" s="108"/>
      <c r="D499" s="108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</row>
    <row r="500" ht="20.25" customHeight="1">
      <c r="A500" s="107"/>
      <c r="B500" s="107"/>
      <c r="C500" s="108"/>
      <c r="D500" s="108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</row>
    <row r="501" ht="20.25" customHeight="1">
      <c r="A501" s="107"/>
      <c r="B501" s="107"/>
      <c r="C501" s="108"/>
      <c r="D501" s="108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</row>
    <row r="502" ht="20.25" customHeight="1">
      <c r="A502" s="107"/>
      <c r="B502" s="107"/>
      <c r="C502" s="108"/>
      <c r="D502" s="108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</row>
    <row r="503" ht="20.25" customHeight="1">
      <c r="A503" s="107"/>
      <c r="B503" s="107"/>
      <c r="C503" s="108"/>
      <c r="D503" s="108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</row>
    <row r="504" ht="20.25" customHeight="1">
      <c r="A504" s="107"/>
      <c r="B504" s="107"/>
      <c r="C504" s="108"/>
      <c r="D504" s="108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</row>
    <row r="505" ht="20.25" customHeight="1">
      <c r="A505" s="107"/>
      <c r="B505" s="107"/>
      <c r="C505" s="108"/>
      <c r="D505" s="108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</row>
    <row r="506" ht="20.25" customHeight="1">
      <c r="A506" s="107"/>
      <c r="B506" s="107"/>
      <c r="C506" s="108"/>
      <c r="D506" s="108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</row>
    <row r="507" ht="20.25" customHeight="1">
      <c r="A507" s="107"/>
      <c r="B507" s="107"/>
      <c r="C507" s="108"/>
      <c r="D507" s="108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</row>
    <row r="508" ht="20.25" customHeight="1">
      <c r="A508" s="107"/>
      <c r="B508" s="107"/>
      <c r="C508" s="108"/>
      <c r="D508" s="108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</row>
    <row r="509" ht="20.25" customHeight="1">
      <c r="A509" s="107"/>
      <c r="B509" s="107"/>
      <c r="C509" s="108"/>
      <c r="D509" s="108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</row>
    <row r="510" ht="20.25" customHeight="1">
      <c r="A510" s="107"/>
      <c r="B510" s="107"/>
      <c r="C510" s="108"/>
      <c r="D510" s="108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</row>
    <row r="511" ht="20.25" customHeight="1">
      <c r="A511" s="107"/>
      <c r="B511" s="107"/>
      <c r="C511" s="108"/>
      <c r="D511" s="108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</row>
    <row r="512" ht="20.25" customHeight="1">
      <c r="A512" s="107"/>
      <c r="B512" s="107"/>
      <c r="C512" s="108"/>
      <c r="D512" s="108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</row>
    <row r="513" ht="20.25" customHeight="1">
      <c r="A513" s="107"/>
      <c r="B513" s="107"/>
      <c r="C513" s="108"/>
      <c r="D513" s="108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</row>
    <row r="514" ht="20.25" customHeight="1">
      <c r="A514" s="107"/>
      <c r="B514" s="107"/>
      <c r="C514" s="108"/>
      <c r="D514" s="108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</row>
    <row r="515" ht="20.25" customHeight="1">
      <c r="A515" s="107"/>
      <c r="B515" s="107"/>
      <c r="C515" s="108"/>
      <c r="D515" s="108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</row>
    <row r="516" ht="20.25" customHeight="1">
      <c r="A516" s="107"/>
      <c r="B516" s="107"/>
      <c r="C516" s="108"/>
      <c r="D516" s="108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</row>
    <row r="517" ht="20.25" customHeight="1">
      <c r="A517" s="107"/>
      <c r="B517" s="107"/>
      <c r="C517" s="108"/>
      <c r="D517" s="108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</row>
    <row r="518" ht="20.25" customHeight="1">
      <c r="A518" s="107"/>
      <c r="B518" s="107"/>
      <c r="C518" s="108"/>
      <c r="D518" s="108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</row>
    <row r="519" ht="20.25" customHeight="1">
      <c r="A519" s="107"/>
      <c r="B519" s="107"/>
      <c r="C519" s="108"/>
      <c r="D519" s="108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</row>
    <row r="520" ht="20.25" customHeight="1">
      <c r="A520" s="107"/>
      <c r="B520" s="107"/>
      <c r="C520" s="108"/>
      <c r="D520" s="108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</row>
    <row r="521" ht="20.25" customHeight="1">
      <c r="A521" s="107"/>
      <c r="B521" s="107"/>
      <c r="C521" s="108"/>
      <c r="D521" s="108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</row>
    <row r="522" ht="20.25" customHeight="1">
      <c r="A522" s="107"/>
      <c r="B522" s="107"/>
      <c r="C522" s="108"/>
      <c r="D522" s="108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</row>
    <row r="523" ht="20.25" customHeight="1">
      <c r="A523" s="107"/>
      <c r="B523" s="107"/>
      <c r="C523" s="108"/>
      <c r="D523" s="108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</row>
    <row r="524" ht="20.25" customHeight="1">
      <c r="A524" s="107"/>
      <c r="B524" s="107"/>
      <c r="C524" s="108"/>
      <c r="D524" s="108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</row>
    <row r="525" ht="20.25" customHeight="1">
      <c r="A525" s="107"/>
      <c r="B525" s="107"/>
      <c r="C525" s="108"/>
      <c r="D525" s="108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</row>
    <row r="526" ht="20.25" customHeight="1">
      <c r="A526" s="107"/>
      <c r="B526" s="107"/>
      <c r="C526" s="108"/>
      <c r="D526" s="108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</row>
    <row r="527" ht="20.25" customHeight="1">
      <c r="A527" s="107"/>
      <c r="B527" s="107"/>
      <c r="C527" s="108"/>
      <c r="D527" s="108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</row>
    <row r="528" ht="20.25" customHeight="1">
      <c r="A528" s="107"/>
      <c r="B528" s="107"/>
      <c r="C528" s="108"/>
      <c r="D528" s="108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</row>
    <row r="529" ht="20.25" customHeight="1">
      <c r="A529" s="107"/>
      <c r="B529" s="107"/>
      <c r="C529" s="108"/>
      <c r="D529" s="108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</row>
    <row r="530" ht="20.25" customHeight="1">
      <c r="A530" s="107"/>
      <c r="B530" s="107"/>
      <c r="C530" s="108"/>
      <c r="D530" s="108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</row>
    <row r="531" ht="20.25" customHeight="1">
      <c r="A531" s="107"/>
      <c r="B531" s="107"/>
      <c r="C531" s="108"/>
      <c r="D531" s="108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</row>
    <row r="532" ht="20.25" customHeight="1">
      <c r="A532" s="107"/>
      <c r="B532" s="107"/>
      <c r="C532" s="108"/>
      <c r="D532" s="108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</row>
    <row r="533" ht="20.25" customHeight="1">
      <c r="A533" s="107"/>
      <c r="B533" s="107"/>
      <c r="C533" s="108"/>
      <c r="D533" s="108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</row>
    <row r="534" ht="20.25" customHeight="1">
      <c r="A534" s="107"/>
      <c r="B534" s="107"/>
      <c r="C534" s="108"/>
      <c r="D534" s="108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</row>
    <row r="535" ht="20.25" customHeight="1">
      <c r="A535" s="107"/>
      <c r="B535" s="107"/>
      <c r="C535" s="108"/>
      <c r="D535" s="108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</row>
    <row r="536" ht="20.25" customHeight="1">
      <c r="A536" s="107"/>
      <c r="B536" s="107"/>
      <c r="C536" s="108"/>
      <c r="D536" s="108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</row>
    <row r="537" ht="20.25" customHeight="1">
      <c r="A537" s="107"/>
      <c r="B537" s="107"/>
      <c r="C537" s="108"/>
      <c r="D537" s="108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</row>
    <row r="538" ht="20.25" customHeight="1">
      <c r="A538" s="107"/>
      <c r="B538" s="107"/>
      <c r="C538" s="108"/>
      <c r="D538" s="108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</row>
    <row r="539" ht="20.25" customHeight="1">
      <c r="A539" s="107"/>
      <c r="B539" s="107"/>
      <c r="C539" s="108"/>
      <c r="D539" s="108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</row>
    <row r="540" ht="20.25" customHeight="1">
      <c r="A540" s="107"/>
      <c r="B540" s="107"/>
      <c r="C540" s="108"/>
      <c r="D540" s="108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</row>
    <row r="541" ht="20.25" customHeight="1">
      <c r="A541" s="107"/>
      <c r="B541" s="107"/>
      <c r="C541" s="108"/>
      <c r="D541" s="108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</row>
    <row r="542" ht="20.25" customHeight="1">
      <c r="A542" s="107"/>
      <c r="B542" s="107"/>
      <c r="C542" s="108"/>
      <c r="D542" s="108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</row>
    <row r="543" ht="20.25" customHeight="1">
      <c r="A543" s="107"/>
      <c r="B543" s="107"/>
      <c r="C543" s="108"/>
      <c r="D543" s="108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</row>
    <row r="544" ht="20.25" customHeight="1">
      <c r="A544" s="107"/>
      <c r="B544" s="107"/>
      <c r="C544" s="108"/>
      <c r="D544" s="108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</row>
    <row r="545" ht="20.25" customHeight="1">
      <c r="A545" s="107"/>
      <c r="B545" s="107"/>
      <c r="C545" s="108"/>
      <c r="D545" s="108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</row>
    <row r="546" ht="20.25" customHeight="1">
      <c r="A546" s="107"/>
      <c r="B546" s="107"/>
      <c r="C546" s="108"/>
      <c r="D546" s="108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</row>
    <row r="547" ht="20.25" customHeight="1">
      <c r="A547" s="107"/>
      <c r="B547" s="107"/>
      <c r="C547" s="108"/>
      <c r="D547" s="108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</row>
    <row r="548" ht="20.25" customHeight="1">
      <c r="A548" s="107"/>
      <c r="B548" s="107"/>
      <c r="C548" s="108"/>
      <c r="D548" s="108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</row>
    <row r="549" ht="20.25" customHeight="1">
      <c r="A549" s="107"/>
      <c r="B549" s="107"/>
      <c r="C549" s="108"/>
      <c r="D549" s="108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</row>
    <row r="550" ht="20.25" customHeight="1">
      <c r="A550" s="107"/>
      <c r="B550" s="107"/>
      <c r="C550" s="108"/>
      <c r="D550" s="108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</row>
    <row r="551" ht="20.25" customHeight="1">
      <c r="A551" s="107"/>
      <c r="B551" s="107"/>
      <c r="C551" s="108"/>
      <c r="D551" s="108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</row>
    <row r="552" ht="20.25" customHeight="1">
      <c r="A552" s="107"/>
      <c r="B552" s="107"/>
      <c r="C552" s="108"/>
      <c r="D552" s="108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</row>
    <row r="553" ht="20.25" customHeight="1">
      <c r="A553" s="107"/>
      <c r="B553" s="107"/>
      <c r="C553" s="108"/>
      <c r="D553" s="108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</row>
    <row r="554" ht="20.25" customHeight="1">
      <c r="A554" s="107"/>
      <c r="B554" s="107"/>
      <c r="C554" s="108"/>
      <c r="D554" s="108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</row>
    <row r="555" ht="20.25" customHeight="1">
      <c r="A555" s="107"/>
      <c r="B555" s="107"/>
      <c r="C555" s="108"/>
      <c r="D555" s="108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</row>
    <row r="556" ht="20.25" customHeight="1">
      <c r="A556" s="107"/>
      <c r="B556" s="107"/>
      <c r="C556" s="108"/>
      <c r="D556" s="108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</row>
    <row r="557" ht="20.25" customHeight="1">
      <c r="A557" s="107"/>
      <c r="B557" s="107"/>
      <c r="C557" s="108"/>
      <c r="D557" s="108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</row>
    <row r="558" ht="20.25" customHeight="1">
      <c r="A558" s="107"/>
      <c r="B558" s="107"/>
      <c r="C558" s="108"/>
      <c r="D558" s="108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</row>
    <row r="559" ht="20.25" customHeight="1">
      <c r="A559" s="107"/>
      <c r="B559" s="107"/>
      <c r="C559" s="108"/>
      <c r="D559" s="108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</row>
    <row r="560" ht="20.25" customHeight="1">
      <c r="A560" s="107"/>
      <c r="B560" s="107"/>
      <c r="C560" s="108"/>
      <c r="D560" s="108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</row>
    <row r="561" ht="20.25" customHeight="1">
      <c r="A561" s="107"/>
      <c r="B561" s="107"/>
      <c r="C561" s="108"/>
      <c r="D561" s="108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</row>
    <row r="562" ht="20.25" customHeight="1">
      <c r="A562" s="107"/>
      <c r="B562" s="107"/>
      <c r="C562" s="108"/>
      <c r="D562" s="108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</row>
    <row r="563" ht="20.25" customHeight="1">
      <c r="A563" s="107"/>
      <c r="B563" s="107"/>
      <c r="C563" s="108"/>
      <c r="D563" s="108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</row>
    <row r="564" ht="20.25" customHeight="1">
      <c r="A564" s="107"/>
      <c r="B564" s="107"/>
      <c r="C564" s="108"/>
      <c r="D564" s="108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</row>
    <row r="565" ht="20.25" customHeight="1">
      <c r="A565" s="107"/>
      <c r="B565" s="107"/>
      <c r="C565" s="108"/>
      <c r="D565" s="108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</row>
    <row r="566" ht="20.25" customHeight="1">
      <c r="A566" s="107"/>
      <c r="B566" s="107"/>
      <c r="C566" s="108"/>
      <c r="D566" s="108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</row>
    <row r="567" ht="20.25" customHeight="1">
      <c r="A567" s="107"/>
      <c r="B567" s="107"/>
      <c r="C567" s="108"/>
      <c r="D567" s="108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</row>
    <row r="568" ht="20.25" customHeight="1">
      <c r="A568" s="107"/>
      <c r="B568" s="107"/>
      <c r="C568" s="108"/>
      <c r="D568" s="108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</row>
    <row r="569" ht="20.25" customHeight="1">
      <c r="A569" s="107"/>
      <c r="B569" s="107"/>
      <c r="C569" s="108"/>
      <c r="D569" s="108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</row>
    <row r="570" ht="20.25" customHeight="1">
      <c r="A570" s="107"/>
      <c r="B570" s="107"/>
      <c r="C570" s="108"/>
      <c r="D570" s="108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</row>
    <row r="571" ht="20.25" customHeight="1">
      <c r="A571" s="107"/>
      <c r="B571" s="107"/>
      <c r="C571" s="108"/>
      <c r="D571" s="108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</row>
    <row r="572" ht="20.25" customHeight="1">
      <c r="A572" s="107"/>
      <c r="B572" s="107"/>
      <c r="C572" s="108"/>
      <c r="D572" s="108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</row>
    <row r="573" ht="20.25" customHeight="1">
      <c r="A573" s="107"/>
      <c r="B573" s="107"/>
      <c r="C573" s="108"/>
      <c r="D573" s="108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</row>
    <row r="574" ht="20.25" customHeight="1">
      <c r="A574" s="107"/>
      <c r="B574" s="107"/>
      <c r="C574" s="108"/>
      <c r="D574" s="108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</row>
    <row r="575" ht="20.25" customHeight="1">
      <c r="A575" s="107"/>
      <c r="B575" s="107"/>
      <c r="C575" s="108"/>
      <c r="D575" s="108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</row>
    <row r="576" ht="20.25" customHeight="1">
      <c r="A576" s="107"/>
      <c r="B576" s="107"/>
      <c r="C576" s="108"/>
      <c r="D576" s="108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</row>
    <row r="577" ht="20.25" customHeight="1">
      <c r="A577" s="107"/>
      <c r="B577" s="107"/>
      <c r="C577" s="108"/>
      <c r="D577" s="108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</row>
    <row r="578" ht="20.25" customHeight="1">
      <c r="A578" s="107"/>
      <c r="B578" s="107"/>
      <c r="C578" s="108"/>
      <c r="D578" s="108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</row>
    <row r="579" ht="20.25" customHeight="1">
      <c r="A579" s="107"/>
      <c r="B579" s="107"/>
      <c r="C579" s="108"/>
      <c r="D579" s="108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</row>
    <row r="580" ht="20.25" customHeight="1">
      <c r="A580" s="107"/>
      <c r="B580" s="107"/>
      <c r="C580" s="108"/>
      <c r="D580" s="108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</row>
    <row r="581" ht="20.25" customHeight="1">
      <c r="A581" s="107"/>
      <c r="B581" s="107"/>
      <c r="C581" s="108"/>
      <c r="D581" s="108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</row>
    <row r="582" ht="20.25" customHeight="1">
      <c r="A582" s="107"/>
      <c r="B582" s="107"/>
      <c r="C582" s="108"/>
      <c r="D582" s="108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</row>
    <row r="583" ht="20.25" customHeight="1">
      <c r="A583" s="107"/>
      <c r="B583" s="107"/>
      <c r="C583" s="108"/>
      <c r="D583" s="108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</row>
    <row r="584" ht="20.25" customHeight="1">
      <c r="A584" s="107"/>
      <c r="B584" s="107"/>
      <c r="C584" s="108"/>
      <c r="D584" s="108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</row>
    <row r="585" ht="20.25" customHeight="1">
      <c r="A585" s="107"/>
      <c r="B585" s="107"/>
      <c r="C585" s="108"/>
      <c r="D585" s="108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</row>
    <row r="586" ht="20.25" customHeight="1">
      <c r="A586" s="107"/>
      <c r="B586" s="107"/>
      <c r="C586" s="108"/>
      <c r="D586" s="108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</row>
    <row r="587" ht="20.25" customHeight="1">
      <c r="A587" s="107"/>
      <c r="B587" s="107"/>
      <c r="C587" s="108"/>
      <c r="D587" s="108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</row>
    <row r="588" ht="20.25" customHeight="1">
      <c r="A588" s="107"/>
      <c r="B588" s="107"/>
      <c r="C588" s="108"/>
      <c r="D588" s="108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</row>
    <row r="589" ht="20.25" customHeight="1">
      <c r="A589" s="107"/>
      <c r="B589" s="107"/>
      <c r="C589" s="108"/>
      <c r="D589" s="108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</row>
    <row r="590" ht="20.25" customHeight="1">
      <c r="A590" s="107"/>
      <c r="B590" s="107"/>
      <c r="C590" s="108"/>
      <c r="D590" s="108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</row>
    <row r="591" ht="20.25" customHeight="1">
      <c r="A591" s="107"/>
      <c r="B591" s="107"/>
      <c r="C591" s="108"/>
      <c r="D591" s="108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</row>
    <row r="592" ht="20.25" customHeight="1">
      <c r="A592" s="107"/>
      <c r="B592" s="107"/>
      <c r="C592" s="108"/>
      <c r="D592" s="108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</row>
    <row r="593" ht="20.25" customHeight="1">
      <c r="A593" s="107"/>
      <c r="B593" s="107"/>
      <c r="C593" s="108"/>
      <c r="D593" s="108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</row>
    <row r="594" ht="20.25" customHeight="1">
      <c r="A594" s="107"/>
      <c r="B594" s="107"/>
      <c r="C594" s="108"/>
      <c r="D594" s="108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</row>
    <row r="595" ht="20.25" customHeight="1">
      <c r="A595" s="107"/>
      <c r="B595" s="107"/>
      <c r="C595" s="108"/>
      <c r="D595" s="108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</row>
    <row r="596" ht="20.25" customHeight="1">
      <c r="A596" s="107"/>
      <c r="B596" s="107"/>
      <c r="C596" s="108"/>
      <c r="D596" s="108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</row>
    <row r="597" ht="20.25" customHeight="1">
      <c r="A597" s="107"/>
      <c r="B597" s="107"/>
      <c r="C597" s="108"/>
      <c r="D597" s="108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</row>
    <row r="598" ht="20.25" customHeight="1">
      <c r="A598" s="107"/>
      <c r="B598" s="107"/>
      <c r="C598" s="108"/>
      <c r="D598" s="108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</row>
    <row r="599" ht="20.25" customHeight="1">
      <c r="A599" s="107"/>
      <c r="B599" s="107"/>
      <c r="C599" s="108"/>
      <c r="D599" s="108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</row>
    <row r="600" ht="20.25" customHeight="1">
      <c r="A600" s="107"/>
      <c r="B600" s="107"/>
      <c r="C600" s="108"/>
      <c r="D600" s="108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</row>
    <row r="601" ht="20.25" customHeight="1">
      <c r="A601" s="107"/>
      <c r="B601" s="107"/>
      <c r="C601" s="108"/>
      <c r="D601" s="108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</row>
    <row r="602" ht="20.25" customHeight="1">
      <c r="A602" s="107"/>
      <c r="B602" s="107"/>
      <c r="C602" s="108"/>
      <c r="D602" s="108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</row>
    <row r="603" ht="20.25" customHeight="1">
      <c r="A603" s="107"/>
      <c r="B603" s="107"/>
      <c r="C603" s="108"/>
      <c r="D603" s="108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</row>
    <row r="604" ht="20.25" customHeight="1">
      <c r="A604" s="107"/>
      <c r="B604" s="107"/>
      <c r="C604" s="108"/>
      <c r="D604" s="108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</row>
    <row r="605" ht="20.25" customHeight="1">
      <c r="A605" s="107"/>
      <c r="B605" s="107"/>
      <c r="C605" s="108"/>
      <c r="D605" s="108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</row>
    <row r="606" ht="20.25" customHeight="1">
      <c r="A606" s="107"/>
      <c r="B606" s="107"/>
      <c r="C606" s="108"/>
      <c r="D606" s="108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</row>
    <row r="607" ht="20.25" customHeight="1">
      <c r="A607" s="107"/>
      <c r="B607" s="107"/>
      <c r="C607" s="108"/>
      <c r="D607" s="108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</row>
    <row r="608" ht="20.25" customHeight="1">
      <c r="A608" s="107"/>
      <c r="B608" s="107"/>
      <c r="C608" s="108"/>
      <c r="D608" s="108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</row>
    <row r="609" ht="20.25" customHeight="1">
      <c r="A609" s="107"/>
      <c r="B609" s="107"/>
      <c r="C609" s="108"/>
      <c r="D609" s="108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</row>
    <row r="610" ht="20.25" customHeight="1">
      <c r="A610" s="107"/>
      <c r="B610" s="107"/>
      <c r="C610" s="108"/>
      <c r="D610" s="108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</row>
    <row r="611" ht="20.25" customHeight="1">
      <c r="A611" s="107"/>
      <c r="B611" s="107"/>
      <c r="C611" s="108"/>
      <c r="D611" s="108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</row>
    <row r="612" ht="20.25" customHeight="1">
      <c r="A612" s="107"/>
      <c r="B612" s="107"/>
      <c r="C612" s="108"/>
      <c r="D612" s="108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</row>
    <row r="613" ht="20.25" customHeight="1">
      <c r="A613" s="107"/>
      <c r="B613" s="107"/>
      <c r="C613" s="108"/>
      <c r="D613" s="108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</row>
    <row r="614" ht="20.25" customHeight="1">
      <c r="A614" s="107"/>
      <c r="B614" s="107"/>
      <c r="C614" s="108"/>
      <c r="D614" s="108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</row>
    <row r="615" ht="20.25" customHeight="1">
      <c r="A615" s="107"/>
      <c r="B615" s="107"/>
      <c r="C615" s="108"/>
      <c r="D615" s="108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</row>
    <row r="616" ht="20.25" customHeight="1">
      <c r="A616" s="107"/>
      <c r="B616" s="107"/>
      <c r="C616" s="108"/>
      <c r="D616" s="108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</row>
    <row r="617" ht="20.25" customHeight="1">
      <c r="A617" s="107"/>
      <c r="B617" s="107"/>
      <c r="C617" s="108"/>
      <c r="D617" s="108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</row>
    <row r="618" ht="20.25" customHeight="1">
      <c r="A618" s="107"/>
      <c r="B618" s="107"/>
      <c r="C618" s="108"/>
      <c r="D618" s="108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</row>
    <row r="619" ht="20.25" customHeight="1">
      <c r="A619" s="107"/>
      <c r="B619" s="107"/>
      <c r="C619" s="108"/>
      <c r="D619" s="108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</row>
    <row r="620" ht="20.25" customHeight="1">
      <c r="A620" s="107"/>
      <c r="B620" s="107"/>
      <c r="C620" s="108"/>
      <c r="D620" s="108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</row>
    <row r="621" ht="20.25" customHeight="1">
      <c r="A621" s="107"/>
      <c r="B621" s="107"/>
      <c r="C621" s="108"/>
      <c r="D621" s="108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</row>
    <row r="622" ht="20.25" customHeight="1">
      <c r="A622" s="107"/>
      <c r="B622" s="107"/>
      <c r="C622" s="108"/>
      <c r="D622" s="108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</row>
    <row r="623" ht="20.25" customHeight="1">
      <c r="A623" s="107"/>
      <c r="B623" s="107"/>
      <c r="C623" s="108"/>
      <c r="D623" s="108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</row>
    <row r="624" ht="20.25" customHeight="1">
      <c r="A624" s="107"/>
      <c r="B624" s="107"/>
      <c r="C624" s="108"/>
      <c r="D624" s="108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</row>
    <row r="625" ht="20.25" customHeight="1">
      <c r="A625" s="107"/>
      <c r="B625" s="107"/>
      <c r="C625" s="108"/>
      <c r="D625" s="108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</row>
    <row r="626" ht="20.25" customHeight="1">
      <c r="A626" s="107"/>
      <c r="B626" s="107"/>
      <c r="C626" s="108"/>
      <c r="D626" s="108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</row>
    <row r="627" ht="20.25" customHeight="1">
      <c r="A627" s="107"/>
      <c r="B627" s="107"/>
      <c r="C627" s="108"/>
      <c r="D627" s="108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</row>
    <row r="628" ht="20.25" customHeight="1">
      <c r="A628" s="107"/>
      <c r="B628" s="107"/>
      <c r="C628" s="108"/>
      <c r="D628" s="108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</row>
    <row r="629" ht="20.25" customHeight="1">
      <c r="A629" s="107"/>
      <c r="B629" s="107"/>
      <c r="C629" s="108"/>
      <c r="D629" s="108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</row>
    <row r="630" ht="20.25" customHeight="1">
      <c r="A630" s="107"/>
      <c r="B630" s="107"/>
      <c r="C630" s="108"/>
      <c r="D630" s="108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</row>
    <row r="631" ht="20.25" customHeight="1">
      <c r="A631" s="107"/>
      <c r="B631" s="107"/>
      <c r="C631" s="108"/>
      <c r="D631" s="108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</row>
    <row r="632" ht="20.25" customHeight="1">
      <c r="A632" s="107"/>
      <c r="B632" s="107"/>
      <c r="C632" s="108"/>
      <c r="D632" s="108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</row>
    <row r="633" ht="20.25" customHeight="1">
      <c r="A633" s="107"/>
      <c r="B633" s="107"/>
      <c r="C633" s="108"/>
      <c r="D633" s="108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</row>
    <row r="634" ht="20.25" customHeight="1">
      <c r="A634" s="107"/>
      <c r="B634" s="107"/>
      <c r="C634" s="108"/>
      <c r="D634" s="108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</row>
    <row r="635" ht="20.25" customHeight="1">
      <c r="A635" s="107"/>
      <c r="B635" s="107"/>
      <c r="C635" s="108"/>
      <c r="D635" s="108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</row>
    <row r="636" ht="20.25" customHeight="1">
      <c r="A636" s="107"/>
      <c r="B636" s="107"/>
      <c r="C636" s="108"/>
      <c r="D636" s="108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</row>
    <row r="637" ht="20.25" customHeight="1">
      <c r="A637" s="107"/>
      <c r="B637" s="107"/>
      <c r="C637" s="108"/>
      <c r="D637" s="108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</row>
    <row r="638" ht="20.25" customHeight="1">
      <c r="A638" s="107"/>
      <c r="B638" s="107"/>
      <c r="C638" s="108"/>
      <c r="D638" s="108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</row>
    <row r="639" ht="20.25" customHeight="1">
      <c r="A639" s="107"/>
      <c r="B639" s="107"/>
      <c r="C639" s="108"/>
      <c r="D639" s="108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</row>
    <row r="640" ht="20.25" customHeight="1">
      <c r="A640" s="107"/>
      <c r="B640" s="107"/>
      <c r="C640" s="108"/>
      <c r="D640" s="108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</row>
    <row r="641" ht="20.25" customHeight="1">
      <c r="A641" s="107"/>
      <c r="B641" s="107"/>
      <c r="C641" s="108"/>
      <c r="D641" s="108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</row>
    <row r="642" ht="20.25" customHeight="1">
      <c r="A642" s="107"/>
      <c r="B642" s="107"/>
      <c r="C642" s="108"/>
      <c r="D642" s="108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</row>
    <row r="643" ht="20.25" customHeight="1">
      <c r="A643" s="107"/>
      <c r="B643" s="107"/>
      <c r="C643" s="108"/>
      <c r="D643" s="108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</row>
    <row r="644" ht="20.25" customHeight="1">
      <c r="A644" s="107"/>
      <c r="B644" s="107"/>
      <c r="C644" s="108"/>
      <c r="D644" s="108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</row>
    <row r="645" ht="20.25" customHeight="1">
      <c r="A645" s="107"/>
      <c r="B645" s="107"/>
      <c r="C645" s="108"/>
      <c r="D645" s="108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</row>
    <row r="646" ht="20.25" customHeight="1">
      <c r="A646" s="107"/>
      <c r="B646" s="107"/>
      <c r="C646" s="108"/>
      <c r="D646" s="108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</row>
    <row r="647" ht="20.25" customHeight="1">
      <c r="A647" s="107"/>
      <c r="B647" s="107"/>
      <c r="C647" s="108"/>
      <c r="D647" s="108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</row>
    <row r="648" ht="20.25" customHeight="1">
      <c r="A648" s="107"/>
      <c r="B648" s="107"/>
      <c r="C648" s="108"/>
      <c r="D648" s="108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</row>
    <row r="649" ht="20.25" customHeight="1">
      <c r="A649" s="107"/>
      <c r="B649" s="107"/>
      <c r="C649" s="108"/>
      <c r="D649" s="108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</row>
    <row r="650" ht="20.25" customHeight="1">
      <c r="A650" s="107"/>
      <c r="B650" s="107"/>
      <c r="C650" s="108"/>
      <c r="D650" s="108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</row>
    <row r="651" ht="20.25" customHeight="1">
      <c r="A651" s="107"/>
      <c r="B651" s="107"/>
      <c r="C651" s="108"/>
      <c r="D651" s="108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</row>
    <row r="652" ht="20.25" customHeight="1">
      <c r="A652" s="107"/>
      <c r="B652" s="107"/>
      <c r="C652" s="108"/>
      <c r="D652" s="108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</row>
    <row r="653" ht="20.25" customHeight="1">
      <c r="A653" s="107"/>
      <c r="B653" s="107"/>
      <c r="C653" s="108"/>
      <c r="D653" s="108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</row>
    <row r="654" ht="20.25" customHeight="1">
      <c r="A654" s="107"/>
      <c r="B654" s="107"/>
      <c r="C654" s="108"/>
      <c r="D654" s="108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</row>
    <row r="655" ht="20.25" customHeight="1">
      <c r="A655" s="107"/>
      <c r="B655" s="107"/>
      <c r="C655" s="108"/>
      <c r="D655" s="108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</row>
    <row r="656" ht="20.25" customHeight="1">
      <c r="A656" s="107"/>
      <c r="B656" s="107"/>
      <c r="C656" s="108"/>
      <c r="D656" s="108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</row>
    <row r="657" ht="20.25" customHeight="1">
      <c r="A657" s="107"/>
      <c r="B657" s="107"/>
      <c r="C657" s="108"/>
      <c r="D657" s="108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</row>
    <row r="658" ht="20.25" customHeight="1">
      <c r="A658" s="107"/>
      <c r="B658" s="107"/>
      <c r="C658" s="108"/>
      <c r="D658" s="108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</row>
    <row r="659" ht="20.25" customHeight="1">
      <c r="A659" s="107"/>
      <c r="B659" s="107"/>
      <c r="C659" s="108"/>
      <c r="D659" s="108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</row>
    <row r="660" ht="20.25" customHeight="1">
      <c r="A660" s="107"/>
      <c r="B660" s="107"/>
      <c r="C660" s="108"/>
      <c r="D660" s="108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</row>
    <row r="661" ht="20.25" customHeight="1">
      <c r="A661" s="107"/>
      <c r="B661" s="107"/>
      <c r="C661" s="108"/>
      <c r="D661" s="108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</row>
    <row r="662" ht="20.25" customHeight="1">
      <c r="A662" s="107"/>
      <c r="B662" s="107"/>
      <c r="C662" s="108"/>
      <c r="D662" s="108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</row>
    <row r="663" ht="20.25" customHeight="1">
      <c r="A663" s="107"/>
      <c r="B663" s="107"/>
      <c r="C663" s="108"/>
      <c r="D663" s="108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</row>
    <row r="664" ht="20.25" customHeight="1">
      <c r="A664" s="107"/>
      <c r="B664" s="107"/>
      <c r="C664" s="108"/>
      <c r="D664" s="108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</row>
    <row r="665" ht="20.25" customHeight="1">
      <c r="A665" s="107"/>
      <c r="B665" s="107"/>
      <c r="C665" s="108"/>
      <c r="D665" s="108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</row>
    <row r="666" ht="20.25" customHeight="1">
      <c r="A666" s="107"/>
      <c r="B666" s="107"/>
      <c r="C666" s="108"/>
      <c r="D666" s="108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</row>
    <row r="667" ht="20.25" customHeight="1">
      <c r="A667" s="107"/>
      <c r="B667" s="107"/>
      <c r="C667" s="108"/>
      <c r="D667" s="108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</row>
    <row r="668" ht="20.25" customHeight="1">
      <c r="A668" s="107"/>
      <c r="B668" s="107"/>
      <c r="C668" s="108"/>
      <c r="D668" s="108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</row>
    <row r="669" ht="20.25" customHeight="1">
      <c r="A669" s="107"/>
      <c r="B669" s="107"/>
      <c r="C669" s="108"/>
      <c r="D669" s="108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</row>
    <row r="670" ht="20.25" customHeight="1">
      <c r="A670" s="107"/>
      <c r="B670" s="107"/>
      <c r="C670" s="108"/>
      <c r="D670" s="108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</row>
    <row r="671" ht="20.25" customHeight="1">
      <c r="A671" s="107"/>
      <c r="B671" s="107"/>
      <c r="C671" s="108"/>
      <c r="D671" s="108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</row>
    <row r="672" ht="20.25" customHeight="1">
      <c r="A672" s="107"/>
      <c r="B672" s="107"/>
      <c r="C672" s="108"/>
      <c r="D672" s="108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</row>
    <row r="673" ht="20.25" customHeight="1">
      <c r="A673" s="107"/>
      <c r="B673" s="107"/>
      <c r="C673" s="108"/>
      <c r="D673" s="108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</row>
    <row r="674" ht="20.25" customHeight="1">
      <c r="A674" s="107"/>
      <c r="B674" s="107"/>
      <c r="C674" s="108"/>
      <c r="D674" s="108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</row>
    <row r="675" ht="20.25" customHeight="1">
      <c r="A675" s="107"/>
      <c r="B675" s="107"/>
      <c r="C675" s="108"/>
      <c r="D675" s="108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</row>
    <row r="676" ht="20.25" customHeight="1">
      <c r="A676" s="107"/>
      <c r="B676" s="107"/>
      <c r="C676" s="108"/>
      <c r="D676" s="108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</row>
    <row r="677" ht="20.25" customHeight="1">
      <c r="A677" s="107"/>
      <c r="B677" s="107"/>
      <c r="C677" s="108"/>
      <c r="D677" s="108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</row>
    <row r="678" ht="20.25" customHeight="1">
      <c r="A678" s="107"/>
      <c r="B678" s="107"/>
      <c r="C678" s="108"/>
      <c r="D678" s="108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</row>
    <row r="679" ht="20.25" customHeight="1">
      <c r="A679" s="107"/>
      <c r="B679" s="107"/>
      <c r="C679" s="108"/>
      <c r="D679" s="108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</row>
    <row r="680" ht="20.25" customHeight="1">
      <c r="A680" s="107"/>
      <c r="B680" s="107"/>
      <c r="C680" s="108"/>
      <c r="D680" s="108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</row>
    <row r="681" ht="20.25" customHeight="1">
      <c r="A681" s="107"/>
      <c r="B681" s="107"/>
      <c r="C681" s="108"/>
      <c r="D681" s="108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</row>
    <row r="682" ht="20.25" customHeight="1">
      <c r="A682" s="107"/>
      <c r="B682" s="107"/>
      <c r="C682" s="108"/>
      <c r="D682" s="108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</row>
    <row r="683" ht="20.25" customHeight="1">
      <c r="A683" s="107"/>
      <c r="B683" s="107"/>
      <c r="C683" s="108"/>
      <c r="D683" s="108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</row>
    <row r="684" ht="20.25" customHeight="1">
      <c r="A684" s="107"/>
      <c r="B684" s="107"/>
      <c r="C684" s="108"/>
      <c r="D684" s="108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</row>
    <row r="685" ht="20.25" customHeight="1">
      <c r="A685" s="107"/>
      <c r="B685" s="107"/>
      <c r="C685" s="108"/>
      <c r="D685" s="108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</row>
    <row r="686" ht="20.25" customHeight="1">
      <c r="A686" s="107"/>
      <c r="B686" s="107"/>
      <c r="C686" s="108"/>
      <c r="D686" s="108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</row>
    <row r="687" ht="20.25" customHeight="1">
      <c r="A687" s="107"/>
      <c r="B687" s="107"/>
      <c r="C687" s="108"/>
      <c r="D687" s="108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</row>
    <row r="688" ht="20.25" customHeight="1">
      <c r="A688" s="107"/>
      <c r="B688" s="107"/>
      <c r="C688" s="108"/>
      <c r="D688" s="108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</row>
    <row r="689" ht="20.25" customHeight="1">
      <c r="A689" s="107"/>
      <c r="B689" s="107"/>
      <c r="C689" s="108"/>
      <c r="D689" s="108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</row>
    <row r="690" ht="20.25" customHeight="1">
      <c r="A690" s="107"/>
      <c r="B690" s="107"/>
      <c r="C690" s="108"/>
      <c r="D690" s="108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</row>
    <row r="691" ht="20.25" customHeight="1">
      <c r="A691" s="107"/>
      <c r="B691" s="107"/>
      <c r="C691" s="108"/>
      <c r="D691" s="108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</row>
    <row r="692" ht="20.25" customHeight="1">
      <c r="A692" s="107"/>
      <c r="B692" s="107"/>
      <c r="C692" s="108"/>
      <c r="D692" s="108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</row>
    <row r="693" ht="20.25" customHeight="1">
      <c r="A693" s="107"/>
      <c r="B693" s="107"/>
      <c r="C693" s="108"/>
      <c r="D693" s="108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</row>
    <row r="694" ht="20.25" customHeight="1">
      <c r="A694" s="107"/>
      <c r="B694" s="107"/>
      <c r="C694" s="108"/>
      <c r="D694" s="108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</row>
    <row r="695" ht="20.25" customHeight="1">
      <c r="A695" s="107"/>
      <c r="B695" s="107"/>
      <c r="C695" s="108"/>
      <c r="D695" s="108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</row>
    <row r="696" ht="20.25" customHeight="1">
      <c r="A696" s="107"/>
      <c r="B696" s="107"/>
      <c r="C696" s="108"/>
      <c r="D696" s="108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</row>
    <row r="697" ht="20.25" customHeight="1">
      <c r="A697" s="107"/>
      <c r="B697" s="107"/>
      <c r="C697" s="108"/>
      <c r="D697" s="108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</row>
    <row r="698" ht="20.25" customHeight="1">
      <c r="A698" s="107"/>
      <c r="B698" s="107"/>
      <c r="C698" s="108"/>
      <c r="D698" s="108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</row>
    <row r="699" ht="20.25" customHeight="1">
      <c r="A699" s="107"/>
      <c r="B699" s="107"/>
      <c r="C699" s="108"/>
      <c r="D699" s="108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</row>
    <row r="700" ht="20.25" customHeight="1">
      <c r="A700" s="107"/>
      <c r="B700" s="107"/>
      <c r="C700" s="108"/>
      <c r="D700" s="108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</row>
    <row r="701" ht="20.25" customHeight="1">
      <c r="A701" s="107"/>
      <c r="B701" s="107"/>
      <c r="C701" s="108"/>
      <c r="D701" s="108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</row>
    <row r="702" ht="20.25" customHeight="1">
      <c r="A702" s="107"/>
      <c r="B702" s="107"/>
      <c r="C702" s="108"/>
      <c r="D702" s="108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</row>
    <row r="703" ht="20.25" customHeight="1">
      <c r="A703" s="107"/>
      <c r="B703" s="107"/>
      <c r="C703" s="108"/>
      <c r="D703" s="108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</row>
    <row r="704" ht="20.25" customHeight="1">
      <c r="A704" s="107"/>
      <c r="B704" s="107"/>
      <c r="C704" s="108"/>
      <c r="D704" s="108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</row>
    <row r="705" ht="20.25" customHeight="1">
      <c r="A705" s="107"/>
      <c r="B705" s="107"/>
      <c r="C705" s="108"/>
      <c r="D705" s="108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</row>
    <row r="706" ht="20.25" customHeight="1">
      <c r="A706" s="107"/>
      <c r="B706" s="107"/>
      <c r="C706" s="108"/>
      <c r="D706" s="108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</row>
    <row r="707" ht="20.25" customHeight="1">
      <c r="A707" s="107"/>
      <c r="B707" s="107"/>
      <c r="C707" s="108"/>
      <c r="D707" s="108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</row>
    <row r="708" ht="20.25" customHeight="1">
      <c r="A708" s="107"/>
      <c r="B708" s="107"/>
      <c r="C708" s="108"/>
      <c r="D708" s="108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</row>
    <row r="709" ht="20.25" customHeight="1">
      <c r="A709" s="107"/>
      <c r="B709" s="107"/>
      <c r="C709" s="108"/>
      <c r="D709" s="108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</row>
    <row r="710" ht="20.25" customHeight="1">
      <c r="A710" s="107"/>
      <c r="B710" s="107"/>
      <c r="C710" s="108"/>
      <c r="D710" s="108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</row>
    <row r="711" ht="20.25" customHeight="1">
      <c r="A711" s="107"/>
      <c r="B711" s="107"/>
      <c r="C711" s="108"/>
      <c r="D711" s="108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</row>
    <row r="712" ht="20.25" customHeight="1">
      <c r="A712" s="107"/>
      <c r="B712" s="107"/>
      <c r="C712" s="108"/>
      <c r="D712" s="108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</row>
    <row r="713" ht="20.25" customHeight="1">
      <c r="A713" s="107"/>
      <c r="B713" s="107"/>
      <c r="C713" s="108"/>
      <c r="D713" s="108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</row>
    <row r="714" ht="20.25" customHeight="1">
      <c r="A714" s="107"/>
      <c r="B714" s="107"/>
      <c r="C714" s="108"/>
      <c r="D714" s="108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</row>
    <row r="715" ht="20.25" customHeight="1">
      <c r="A715" s="107"/>
      <c r="B715" s="107"/>
      <c r="C715" s="108"/>
      <c r="D715" s="108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</row>
    <row r="716" ht="20.25" customHeight="1">
      <c r="A716" s="107"/>
      <c r="B716" s="107"/>
      <c r="C716" s="108"/>
      <c r="D716" s="108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</row>
    <row r="717" ht="20.25" customHeight="1">
      <c r="A717" s="107"/>
      <c r="B717" s="107"/>
      <c r="C717" s="108"/>
      <c r="D717" s="108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</row>
    <row r="718" ht="20.25" customHeight="1">
      <c r="A718" s="107"/>
      <c r="B718" s="107"/>
      <c r="C718" s="108"/>
      <c r="D718" s="108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</row>
    <row r="719" ht="20.25" customHeight="1">
      <c r="A719" s="107"/>
      <c r="B719" s="107"/>
      <c r="C719" s="108"/>
      <c r="D719" s="108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</row>
    <row r="720" ht="20.25" customHeight="1">
      <c r="A720" s="107"/>
      <c r="B720" s="107"/>
      <c r="C720" s="108"/>
      <c r="D720" s="108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</row>
    <row r="721" ht="20.25" customHeight="1">
      <c r="A721" s="107"/>
      <c r="B721" s="107"/>
      <c r="C721" s="108"/>
      <c r="D721" s="108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</row>
    <row r="722" ht="20.25" customHeight="1">
      <c r="A722" s="107"/>
      <c r="B722" s="107"/>
      <c r="C722" s="108"/>
      <c r="D722" s="108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</row>
    <row r="723" ht="20.25" customHeight="1">
      <c r="A723" s="107"/>
      <c r="B723" s="107"/>
      <c r="C723" s="108"/>
      <c r="D723" s="108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</row>
    <row r="724" ht="20.25" customHeight="1">
      <c r="A724" s="107"/>
      <c r="B724" s="107"/>
      <c r="C724" s="108"/>
      <c r="D724" s="108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</row>
    <row r="725" ht="20.25" customHeight="1">
      <c r="A725" s="107"/>
      <c r="B725" s="107"/>
      <c r="C725" s="108"/>
      <c r="D725" s="108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</row>
    <row r="726" ht="20.25" customHeight="1">
      <c r="A726" s="107"/>
      <c r="B726" s="107"/>
      <c r="C726" s="108"/>
      <c r="D726" s="108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</row>
    <row r="727" ht="20.25" customHeight="1">
      <c r="A727" s="107"/>
      <c r="B727" s="107"/>
      <c r="C727" s="108"/>
      <c r="D727" s="108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</row>
    <row r="728" ht="20.25" customHeight="1">
      <c r="A728" s="107"/>
      <c r="B728" s="107"/>
      <c r="C728" s="108"/>
      <c r="D728" s="108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</row>
    <row r="729" ht="20.25" customHeight="1">
      <c r="A729" s="107"/>
      <c r="B729" s="107"/>
      <c r="C729" s="108"/>
      <c r="D729" s="108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</row>
    <row r="730" ht="20.25" customHeight="1">
      <c r="A730" s="107"/>
      <c r="B730" s="107"/>
      <c r="C730" s="108"/>
      <c r="D730" s="108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</row>
    <row r="731" ht="20.25" customHeight="1">
      <c r="A731" s="107"/>
      <c r="B731" s="107"/>
      <c r="C731" s="108"/>
      <c r="D731" s="108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</row>
    <row r="732" ht="20.25" customHeight="1">
      <c r="A732" s="107"/>
      <c r="B732" s="107"/>
      <c r="C732" s="108"/>
      <c r="D732" s="108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</row>
    <row r="733" ht="20.25" customHeight="1">
      <c r="A733" s="107"/>
      <c r="B733" s="107"/>
      <c r="C733" s="108"/>
      <c r="D733" s="108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</row>
    <row r="734" ht="20.25" customHeight="1">
      <c r="A734" s="107"/>
      <c r="B734" s="107"/>
      <c r="C734" s="108"/>
      <c r="D734" s="108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</row>
    <row r="735" ht="20.25" customHeight="1">
      <c r="A735" s="107"/>
      <c r="B735" s="107"/>
      <c r="C735" s="108"/>
      <c r="D735" s="108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</row>
    <row r="736" ht="20.25" customHeight="1">
      <c r="A736" s="107"/>
      <c r="B736" s="107"/>
      <c r="C736" s="108"/>
      <c r="D736" s="108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</row>
    <row r="737" ht="20.25" customHeight="1">
      <c r="A737" s="107"/>
      <c r="B737" s="107"/>
      <c r="C737" s="108"/>
      <c r="D737" s="108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</row>
    <row r="738" ht="20.25" customHeight="1">
      <c r="A738" s="107"/>
      <c r="B738" s="107"/>
      <c r="C738" s="108"/>
      <c r="D738" s="108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</row>
    <row r="739" ht="20.25" customHeight="1">
      <c r="A739" s="107"/>
      <c r="B739" s="107"/>
      <c r="C739" s="108"/>
      <c r="D739" s="108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</row>
    <row r="740" ht="20.25" customHeight="1">
      <c r="A740" s="107"/>
      <c r="B740" s="107"/>
      <c r="C740" s="108"/>
      <c r="D740" s="108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</row>
    <row r="741" ht="20.25" customHeight="1">
      <c r="A741" s="107"/>
      <c r="B741" s="107"/>
      <c r="C741" s="108"/>
      <c r="D741" s="108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</row>
    <row r="742" ht="20.25" customHeight="1">
      <c r="A742" s="107"/>
      <c r="B742" s="107"/>
      <c r="C742" s="108"/>
      <c r="D742" s="108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</row>
    <row r="743" ht="20.25" customHeight="1">
      <c r="A743" s="107"/>
      <c r="B743" s="107"/>
      <c r="C743" s="108"/>
      <c r="D743" s="108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</row>
    <row r="744" ht="20.25" customHeight="1">
      <c r="A744" s="107"/>
      <c r="B744" s="107"/>
      <c r="C744" s="108"/>
      <c r="D744" s="108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</row>
    <row r="745" ht="20.25" customHeight="1">
      <c r="A745" s="107"/>
      <c r="B745" s="107"/>
      <c r="C745" s="108"/>
      <c r="D745" s="108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</row>
    <row r="746" ht="20.25" customHeight="1">
      <c r="A746" s="107"/>
      <c r="B746" s="107"/>
      <c r="C746" s="108"/>
      <c r="D746" s="108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</row>
    <row r="747" ht="20.25" customHeight="1">
      <c r="A747" s="107"/>
      <c r="B747" s="107"/>
      <c r="C747" s="108"/>
      <c r="D747" s="108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</row>
    <row r="748" ht="20.25" customHeight="1">
      <c r="A748" s="107"/>
      <c r="B748" s="107"/>
      <c r="C748" s="108"/>
      <c r="D748" s="108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</row>
    <row r="749" ht="20.25" customHeight="1">
      <c r="A749" s="107"/>
      <c r="B749" s="107"/>
      <c r="C749" s="108"/>
      <c r="D749" s="108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</row>
    <row r="750" ht="20.25" customHeight="1">
      <c r="A750" s="107"/>
      <c r="B750" s="107"/>
      <c r="C750" s="108"/>
      <c r="D750" s="108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</row>
    <row r="751" ht="20.25" customHeight="1">
      <c r="A751" s="107"/>
      <c r="B751" s="107"/>
      <c r="C751" s="108"/>
      <c r="D751" s="108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</row>
    <row r="752" ht="20.25" customHeight="1">
      <c r="A752" s="107"/>
      <c r="B752" s="107"/>
      <c r="C752" s="108"/>
      <c r="D752" s="108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</row>
    <row r="753" ht="20.25" customHeight="1">
      <c r="A753" s="107"/>
      <c r="B753" s="107"/>
      <c r="C753" s="108"/>
      <c r="D753" s="108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</row>
    <row r="754" ht="20.25" customHeight="1">
      <c r="A754" s="107"/>
      <c r="B754" s="107"/>
      <c r="C754" s="108"/>
      <c r="D754" s="108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</row>
    <row r="755" ht="20.25" customHeight="1">
      <c r="A755" s="107"/>
      <c r="B755" s="107"/>
      <c r="C755" s="108"/>
      <c r="D755" s="108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</row>
    <row r="756" ht="20.25" customHeight="1">
      <c r="A756" s="107"/>
      <c r="B756" s="107"/>
      <c r="C756" s="108"/>
      <c r="D756" s="108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</row>
    <row r="757" ht="20.25" customHeight="1">
      <c r="A757" s="107"/>
      <c r="B757" s="107"/>
      <c r="C757" s="108"/>
      <c r="D757" s="108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</row>
    <row r="758" ht="20.25" customHeight="1">
      <c r="A758" s="107"/>
      <c r="B758" s="107"/>
      <c r="C758" s="108"/>
      <c r="D758" s="108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</row>
    <row r="759" ht="20.25" customHeight="1">
      <c r="A759" s="107"/>
      <c r="B759" s="107"/>
      <c r="C759" s="108"/>
      <c r="D759" s="108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</row>
    <row r="760" ht="20.25" customHeight="1">
      <c r="A760" s="107"/>
      <c r="B760" s="107"/>
      <c r="C760" s="108"/>
      <c r="D760" s="108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</row>
    <row r="761" ht="20.25" customHeight="1">
      <c r="A761" s="107"/>
      <c r="B761" s="107"/>
      <c r="C761" s="108"/>
      <c r="D761" s="108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</row>
    <row r="762" ht="20.25" customHeight="1">
      <c r="A762" s="107"/>
      <c r="B762" s="107"/>
      <c r="C762" s="108"/>
      <c r="D762" s="108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</row>
    <row r="763" ht="20.25" customHeight="1">
      <c r="A763" s="107"/>
      <c r="B763" s="107"/>
      <c r="C763" s="108"/>
      <c r="D763" s="108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</row>
    <row r="764" ht="20.25" customHeight="1">
      <c r="A764" s="107"/>
      <c r="B764" s="107"/>
      <c r="C764" s="108"/>
      <c r="D764" s="108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</row>
    <row r="765" ht="20.25" customHeight="1">
      <c r="A765" s="107"/>
      <c r="B765" s="107"/>
      <c r="C765" s="108"/>
      <c r="D765" s="108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</row>
    <row r="766" ht="20.25" customHeight="1">
      <c r="A766" s="107"/>
      <c r="B766" s="107"/>
      <c r="C766" s="108"/>
      <c r="D766" s="108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</row>
    <row r="767" ht="20.25" customHeight="1">
      <c r="A767" s="107"/>
      <c r="B767" s="107"/>
      <c r="C767" s="108"/>
      <c r="D767" s="108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</row>
    <row r="768" ht="20.25" customHeight="1">
      <c r="A768" s="107"/>
      <c r="B768" s="107"/>
      <c r="C768" s="108"/>
      <c r="D768" s="108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</row>
    <row r="769" ht="20.25" customHeight="1">
      <c r="A769" s="107"/>
      <c r="B769" s="107"/>
      <c r="C769" s="108"/>
      <c r="D769" s="108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</row>
    <row r="770" ht="20.25" customHeight="1">
      <c r="A770" s="107"/>
      <c r="B770" s="107"/>
      <c r="C770" s="108"/>
      <c r="D770" s="108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</row>
    <row r="771" ht="20.25" customHeight="1">
      <c r="A771" s="107"/>
      <c r="B771" s="107"/>
      <c r="C771" s="108"/>
      <c r="D771" s="108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</row>
    <row r="772" ht="20.25" customHeight="1">
      <c r="A772" s="107"/>
      <c r="B772" s="107"/>
      <c r="C772" s="108"/>
      <c r="D772" s="108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</row>
    <row r="773" ht="20.25" customHeight="1">
      <c r="A773" s="107"/>
      <c r="B773" s="107"/>
      <c r="C773" s="108"/>
      <c r="D773" s="108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</row>
    <row r="774" ht="20.25" customHeight="1">
      <c r="A774" s="107"/>
      <c r="B774" s="107"/>
      <c r="C774" s="108"/>
      <c r="D774" s="108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</row>
    <row r="775" ht="20.25" customHeight="1">
      <c r="A775" s="107"/>
      <c r="B775" s="107"/>
      <c r="C775" s="108"/>
      <c r="D775" s="108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</row>
    <row r="776" ht="20.25" customHeight="1">
      <c r="A776" s="107"/>
      <c r="B776" s="107"/>
      <c r="C776" s="108"/>
      <c r="D776" s="108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</row>
    <row r="777" ht="20.25" customHeight="1">
      <c r="A777" s="107"/>
      <c r="B777" s="107"/>
      <c r="C777" s="108"/>
      <c r="D777" s="108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</row>
    <row r="778" ht="20.25" customHeight="1">
      <c r="A778" s="107"/>
      <c r="B778" s="107"/>
      <c r="C778" s="108"/>
      <c r="D778" s="108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</row>
    <row r="779" ht="20.25" customHeight="1">
      <c r="A779" s="107"/>
      <c r="B779" s="107"/>
      <c r="C779" s="108"/>
      <c r="D779" s="108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</row>
    <row r="780" ht="20.25" customHeight="1">
      <c r="A780" s="107"/>
      <c r="B780" s="107"/>
      <c r="C780" s="108"/>
      <c r="D780" s="108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</row>
    <row r="781" ht="20.25" customHeight="1">
      <c r="A781" s="107"/>
      <c r="B781" s="107"/>
      <c r="C781" s="108"/>
      <c r="D781" s="108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</row>
    <row r="782" ht="20.25" customHeight="1">
      <c r="A782" s="107"/>
      <c r="B782" s="107"/>
      <c r="C782" s="108"/>
      <c r="D782" s="108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</row>
    <row r="783" ht="20.25" customHeight="1">
      <c r="A783" s="107"/>
      <c r="B783" s="107"/>
      <c r="C783" s="108"/>
      <c r="D783" s="108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</row>
    <row r="784" ht="20.25" customHeight="1">
      <c r="A784" s="107"/>
      <c r="B784" s="107"/>
      <c r="C784" s="108"/>
      <c r="D784" s="108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</row>
    <row r="785" ht="20.25" customHeight="1">
      <c r="A785" s="107"/>
      <c r="B785" s="107"/>
      <c r="C785" s="108"/>
      <c r="D785" s="108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</row>
    <row r="786" ht="20.25" customHeight="1">
      <c r="A786" s="107"/>
      <c r="B786" s="107"/>
      <c r="C786" s="108"/>
      <c r="D786" s="108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</row>
    <row r="787" ht="20.25" customHeight="1">
      <c r="A787" s="107"/>
      <c r="B787" s="107"/>
      <c r="C787" s="108"/>
      <c r="D787" s="108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</row>
    <row r="788" ht="20.25" customHeight="1">
      <c r="A788" s="107"/>
      <c r="B788" s="107"/>
      <c r="C788" s="108"/>
      <c r="D788" s="108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</row>
    <row r="789" ht="20.25" customHeight="1">
      <c r="A789" s="107"/>
      <c r="B789" s="107"/>
      <c r="C789" s="108"/>
      <c r="D789" s="108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</row>
    <row r="790" ht="20.25" customHeight="1">
      <c r="A790" s="107"/>
      <c r="B790" s="107"/>
      <c r="C790" s="108"/>
      <c r="D790" s="108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</row>
    <row r="791" ht="20.25" customHeight="1">
      <c r="A791" s="107"/>
      <c r="B791" s="107"/>
      <c r="C791" s="108"/>
      <c r="D791" s="108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</row>
    <row r="792" ht="20.25" customHeight="1">
      <c r="A792" s="107"/>
      <c r="B792" s="107"/>
      <c r="C792" s="108"/>
      <c r="D792" s="108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</row>
    <row r="793" ht="20.25" customHeight="1">
      <c r="A793" s="107"/>
      <c r="B793" s="107"/>
      <c r="C793" s="108"/>
      <c r="D793" s="108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</row>
    <row r="794" ht="20.25" customHeight="1">
      <c r="A794" s="107"/>
      <c r="B794" s="107"/>
      <c r="C794" s="108"/>
      <c r="D794" s="108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</row>
    <row r="795" ht="20.25" customHeight="1">
      <c r="A795" s="107"/>
      <c r="B795" s="107"/>
      <c r="C795" s="108"/>
      <c r="D795" s="108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</row>
    <row r="796" ht="20.25" customHeight="1">
      <c r="A796" s="107"/>
      <c r="B796" s="107"/>
      <c r="C796" s="108"/>
      <c r="D796" s="108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</row>
    <row r="797" ht="20.25" customHeight="1">
      <c r="A797" s="107"/>
      <c r="B797" s="107"/>
      <c r="C797" s="108"/>
      <c r="D797" s="108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</row>
    <row r="798" ht="20.25" customHeight="1">
      <c r="A798" s="107"/>
      <c r="B798" s="107"/>
      <c r="C798" s="108"/>
      <c r="D798" s="108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</row>
    <row r="799" ht="20.25" customHeight="1">
      <c r="A799" s="107"/>
      <c r="B799" s="107"/>
      <c r="C799" s="108"/>
      <c r="D799" s="108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</row>
    <row r="800" ht="20.25" customHeight="1">
      <c r="A800" s="107"/>
      <c r="B800" s="107"/>
      <c r="C800" s="108"/>
      <c r="D800" s="108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</row>
    <row r="801" ht="20.25" customHeight="1">
      <c r="A801" s="107"/>
      <c r="B801" s="107"/>
      <c r="C801" s="108"/>
      <c r="D801" s="108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</row>
    <row r="802" ht="20.25" customHeight="1">
      <c r="A802" s="107"/>
      <c r="B802" s="107"/>
      <c r="C802" s="108"/>
      <c r="D802" s="108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</row>
    <row r="803" ht="20.25" customHeight="1">
      <c r="A803" s="107"/>
      <c r="B803" s="107"/>
      <c r="C803" s="108"/>
      <c r="D803" s="108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</row>
    <row r="804" ht="20.25" customHeight="1">
      <c r="A804" s="107"/>
      <c r="B804" s="107"/>
      <c r="C804" s="108"/>
      <c r="D804" s="108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</row>
    <row r="805" ht="20.25" customHeight="1">
      <c r="A805" s="107"/>
      <c r="B805" s="107"/>
      <c r="C805" s="108"/>
      <c r="D805" s="108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</row>
    <row r="806" ht="20.25" customHeight="1">
      <c r="A806" s="107"/>
      <c r="B806" s="107"/>
      <c r="C806" s="108"/>
      <c r="D806" s="108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</row>
    <row r="807" ht="20.25" customHeight="1">
      <c r="A807" s="107"/>
      <c r="B807" s="107"/>
      <c r="C807" s="108"/>
      <c r="D807" s="108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</row>
    <row r="808" ht="20.25" customHeight="1">
      <c r="A808" s="107"/>
      <c r="B808" s="107"/>
      <c r="C808" s="108"/>
      <c r="D808" s="108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</row>
    <row r="809" ht="20.25" customHeight="1">
      <c r="A809" s="107"/>
      <c r="B809" s="107"/>
      <c r="C809" s="108"/>
      <c r="D809" s="108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</row>
    <row r="810" ht="20.25" customHeight="1">
      <c r="A810" s="107"/>
      <c r="B810" s="107"/>
      <c r="C810" s="108"/>
      <c r="D810" s="108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</row>
    <row r="811" ht="20.25" customHeight="1">
      <c r="A811" s="107"/>
      <c r="B811" s="107"/>
      <c r="C811" s="108"/>
      <c r="D811" s="108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</row>
    <row r="812" ht="20.25" customHeight="1">
      <c r="A812" s="107"/>
      <c r="B812" s="107"/>
      <c r="C812" s="108"/>
      <c r="D812" s="108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</row>
    <row r="813" ht="20.25" customHeight="1">
      <c r="A813" s="107"/>
      <c r="B813" s="107"/>
      <c r="C813" s="108"/>
      <c r="D813" s="108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</row>
    <row r="814" ht="20.25" customHeight="1">
      <c r="A814" s="107"/>
      <c r="B814" s="107"/>
      <c r="C814" s="108"/>
      <c r="D814" s="108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</row>
    <row r="815" ht="20.25" customHeight="1">
      <c r="A815" s="107"/>
      <c r="B815" s="107"/>
      <c r="C815" s="108"/>
      <c r="D815" s="108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</row>
    <row r="816" ht="20.25" customHeight="1">
      <c r="A816" s="107"/>
      <c r="B816" s="107"/>
      <c r="C816" s="108"/>
      <c r="D816" s="108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</row>
    <row r="817" ht="20.25" customHeight="1">
      <c r="A817" s="107"/>
      <c r="B817" s="107"/>
      <c r="C817" s="108"/>
      <c r="D817" s="108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</row>
    <row r="818" ht="20.25" customHeight="1">
      <c r="A818" s="107"/>
      <c r="B818" s="107"/>
      <c r="C818" s="108"/>
      <c r="D818" s="108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</row>
    <row r="819" ht="20.25" customHeight="1">
      <c r="A819" s="107"/>
      <c r="B819" s="107"/>
      <c r="C819" s="108"/>
      <c r="D819" s="108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</row>
    <row r="820" ht="20.25" customHeight="1">
      <c r="A820" s="107"/>
      <c r="B820" s="107"/>
      <c r="C820" s="108"/>
      <c r="D820" s="108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</row>
    <row r="821" ht="20.25" customHeight="1">
      <c r="A821" s="107"/>
      <c r="B821" s="107"/>
      <c r="C821" s="108"/>
      <c r="D821" s="108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</row>
    <row r="822" ht="20.25" customHeight="1">
      <c r="A822" s="107"/>
      <c r="B822" s="107"/>
      <c r="C822" s="108"/>
      <c r="D822" s="108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</row>
    <row r="823" ht="20.25" customHeight="1">
      <c r="A823" s="107"/>
      <c r="B823" s="107"/>
      <c r="C823" s="108"/>
      <c r="D823" s="108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</row>
    <row r="824" ht="20.25" customHeight="1">
      <c r="A824" s="107"/>
      <c r="B824" s="107"/>
      <c r="C824" s="108"/>
      <c r="D824" s="108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</row>
    <row r="825" ht="20.25" customHeight="1">
      <c r="A825" s="107"/>
      <c r="B825" s="107"/>
      <c r="C825" s="108"/>
      <c r="D825" s="108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</row>
    <row r="826" ht="20.25" customHeight="1">
      <c r="A826" s="107"/>
      <c r="B826" s="107"/>
      <c r="C826" s="108"/>
      <c r="D826" s="108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</row>
    <row r="827" ht="20.25" customHeight="1">
      <c r="A827" s="107"/>
      <c r="B827" s="107"/>
      <c r="C827" s="108"/>
      <c r="D827" s="108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</row>
    <row r="828" ht="20.25" customHeight="1">
      <c r="A828" s="107"/>
      <c r="B828" s="107"/>
      <c r="C828" s="108"/>
      <c r="D828" s="108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</row>
    <row r="829" ht="20.25" customHeight="1">
      <c r="A829" s="107"/>
      <c r="B829" s="107"/>
      <c r="C829" s="108"/>
      <c r="D829" s="108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</row>
    <row r="830" ht="20.25" customHeight="1">
      <c r="A830" s="107"/>
      <c r="B830" s="107"/>
      <c r="C830" s="108"/>
      <c r="D830" s="108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</row>
    <row r="831" ht="20.25" customHeight="1">
      <c r="A831" s="107"/>
      <c r="B831" s="107"/>
      <c r="C831" s="108"/>
      <c r="D831" s="108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</row>
    <row r="832" ht="20.25" customHeight="1">
      <c r="A832" s="107"/>
      <c r="B832" s="107"/>
      <c r="C832" s="108"/>
      <c r="D832" s="108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</row>
    <row r="833" ht="20.25" customHeight="1">
      <c r="A833" s="107"/>
      <c r="B833" s="107"/>
      <c r="C833" s="108"/>
      <c r="D833" s="108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</row>
    <row r="834" ht="20.25" customHeight="1">
      <c r="A834" s="107"/>
      <c r="B834" s="107"/>
      <c r="C834" s="108"/>
      <c r="D834" s="108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</row>
    <row r="835" ht="20.25" customHeight="1">
      <c r="A835" s="107"/>
      <c r="B835" s="107"/>
      <c r="C835" s="108"/>
      <c r="D835" s="108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</row>
    <row r="836" ht="20.25" customHeight="1">
      <c r="A836" s="107"/>
      <c r="B836" s="107"/>
      <c r="C836" s="108"/>
      <c r="D836" s="108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</row>
    <row r="837" ht="20.25" customHeight="1">
      <c r="A837" s="107"/>
      <c r="B837" s="107"/>
      <c r="C837" s="108"/>
      <c r="D837" s="108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</row>
    <row r="838" ht="20.25" customHeight="1">
      <c r="A838" s="107"/>
      <c r="B838" s="107"/>
      <c r="C838" s="108"/>
      <c r="D838" s="108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</row>
    <row r="839" ht="20.25" customHeight="1">
      <c r="A839" s="107"/>
      <c r="B839" s="107"/>
      <c r="C839" s="108"/>
      <c r="D839" s="108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</row>
    <row r="840" ht="20.25" customHeight="1">
      <c r="A840" s="107"/>
      <c r="B840" s="107"/>
      <c r="C840" s="108"/>
      <c r="D840" s="108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</row>
    <row r="841" ht="20.25" customHeight="1">
      <c r="A841" s="107"/>
      <c r="B841" s="107"/>
      <c r="C841" s="108"/>
      <c r="D841" s="108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</row>
    <row r="842" ht="20.25" customHeight="1">
      <c r="A842" s="107"/>
      <c r="B842" s="107"/>
      <c r="C842" s="108"/>
      <c r="D842" s="108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</row>
    <row r="843" ht="20.25" customHeight="1">
      <c r="A843" s="107"/>
      <c r="B843" s="107"/>
      <c r="C843" s="108"/>
      <c r="D843" s="108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</row>
    <row r="844" ht="20.25" customHeight="1">
      <c r="A844" s="107"/>
      <c r="B844" s="107"/>
      <c r="C844" s="108"/>
      <c r="D844" s="108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</row>
    <row r="845" ht="20.25" customHeight="1">
      <c r="A845" s="107"/>
      <c r="B845" s="107"/>
      <c r="C845" s="108"/>
      <c r="D845" s="108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</row>
    <row r="846" ht="20.25" customHeight="1">
      <c r="A846" s="107"/>
      <c r="B846" s="107"/>
      <c r="C846" s="108"/>
      <c r="D846" s="108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</row>
    <row r="847" ht="20.25" customHeight="1">
      <c r="A847" s="107"/>
      <c r="B847" s="107"/>
      <c r="C847" s="108"/>
      <c r="D847" s="108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</row>
    <row r="848" ht="20.25" customHeight="1">
      <c r="A848" s="107"/>
      <c r="B848" s="107"/>
      <c r="C848" s="108"/>
      <c r="D848" s="108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</row>
    <row r="849" ht="20.25" customHeight="1">
      <c r="A849" s="107"/>
      <c r="B849" s="107"/>
      <c r="C849" s="108"/>
      <c r="D849" s="108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</row>
    <row r="850" ht="20.25" customHeight="1">
      <c r="A850" s="107"/>
      <c r="B850" s="107"/>
      <c r="C850" s="108"/>
      <c r="D850" s="108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</row>
    <row r="851" ht="20.25" customHeight="1">
      <c r="A851" s="107"/>
      <c r="B851" s="107"/>
      <c r="C851" s="108"/>
      <c r="D851" s="108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</row>
    <row r="852" ht="20.25" customHeight="1">
      <c r="A852" s="107"/>
      <c r="B852" s="107"/>
      <c r="C852" s="108"/>
      <c r="D852" s="108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</row>
    <row r="853" ht="20.25" customHeight="1">
      <c r="A853" s="107"/>
      <c r="B853" s="107"/>
      <c r="C853" s="108"/>
      <c r="D853" s="108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</row>
    <row r="854" ht="20.25" customHeight="1">
      <c r="A854" s="107"/>
      <c r="B854" s="107"/>
      <c r="C854" s="108"/>
      <c r="D854" s="108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</row>
    <row r="855" ht="20.25" customHeight="1">
      <c r="A855" s="107"/>
      <c r="B855" s="107"/>
      <c r="C855" s="108"/>
      <c r="D855" s="108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</row>
    <row r="856" ht="20.25" customHeight="1">
      <c r="A856" s="107"/>
      <c r="B856" s="107"/>
      <c r="C856" s="108"/>
      <c r="D856" s="108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</row>
    <row r="857" ht="20.25" customHeight="1">
      <c r="A857" s="107"/>
      <c r="B857" s="107"/>
      <c r="C857" s="108"/>
      <c r="D857" s="108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</row>
    <row r="858" ht="20.25" customHeight="1">
      <c r="A858" s="107"/>
      <c r="B858" s="107"/>
      <c r="C858" s="108"/>
      <c r="D858" s="108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</row>
    <row r="859" ht="20.25" customHeight="1">
      <c r="A859" s="107"/>
      <c r="B859" s="107"/>
      <c r="C859" s="108"/>
      <c r="D859" s="108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</row>
    <row r="860" ht="20.25" customHeight="1">
      <c r="A860" s="107"/>
      <c r="B860" s="107"/>
      <c r="C860" s="108"/>
      <c r="D860" s="108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</row>
    <row r="861" ht="20.25" customHeight="1">
      <c r="A861" s="107"/>
      <c r="B861" s="107"/>
      <c r="C861" s="108"/>
      <c r="D861" s="108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</row>
    <row r="862" ht="20.25" customHeight="1">
      <c r="A862" s="107"/>
      <c r="B862" s="107"/>
      <c r="C862" s="108"/>
      <c r="D862" s="108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</row>
    <row r="863" ht="20.25" customHeight="1">
      <c r="A863" s="107"/>
      <c r="B863" s="107"/>
      <c r="C863" s="108"/>
      <c r="D863" s="108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</row>
    <row r="864" ht="20.25" customHeight="1">
      <c r="A864" s="107"/>
      <c r="B864" s="107"/>
      <c r="C864" s="108"/>
      <c r="D864" s="108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</row>
  </sheetData>
  <drawing r:id="rId1"/>
</worksheet>
</file>