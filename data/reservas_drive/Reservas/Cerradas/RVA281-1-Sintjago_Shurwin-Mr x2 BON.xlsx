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OSTEO" sheetId="2" r:id="rId5"/>
    <sheet state="visible" name="ITINERARIO" sheetId="3" r:id="rId6"/>
    <sheet state="visible" name="VUELO" sheetId="4" r:id="rId7"/>
    <sheet state="visible" name="SEGUIMIENTO SHURWIN PROXIMO VIA" sheetId="5" r:id="rId8"/>
  </sheets>
  <definedNames/>
  <calcPr/>
  <extLst>
    <ext uri="GoogleSheetsCustomDataVersion2">
      <go:sheetsCustomData xmlns:go="http://customooxmlschemas.google.com/" r:id="rId9" roundtripDataChecksum="5QkfTkDE2XUviw6YAJzkDiTFElMJcSnoxiAXP7F2/H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60">
      <text>
        <t xml:space="preserve">======
ID#AAABvZ6-vFU
MEDICAL RESERVAS    (2026-02-13 20:23:35)
Se da a cambio de la ecografía de abdomen</t>
      </text>
    </comment>
  </commentList>
  <extLst>
    <ext uri="GoogleSheetsCustomDataVersion2">
      <go:sheetsCustomData xmlns:go="http://customooxmlschemas.google.com/" r:id="rId1" roundtripDataSignature="AMtx7mhZnse4n36P2lkriuLncAqc13cxfw=="/>
    </ext>
  </extLst>
</comments>
</file>

<file path=xl/sharedStrings.xml><?xml version="1.0" encoding="utf-8"?>
<sst xmlns="http://schemas.openxmlformats.org/spreadsheetml/2006/main" count="795" uniqueCount="239">
  <si>
    <t xml:space="preserve"> </t>
  </si>
  <si>
    <t>Nombre</t>
  </si>
  <si>
    <t>Shurwin</t>
  </si>
  <si>
    <t>Marie</t>
  </si>
  <si>
    <t>Apellido</t>
  </si>
  <si>
    <t>Sintjago</t>
  </si>
  <si>
    <t>Genero</t>
  </si>
  <si>
    <t>Masculino</t>
  </si>
  <si>
    <t>Femenino</t>
  </si>
  <si>
    <t xml:space="preserve">Pasaporte </t>
  </si>
  <si>
    <t>NN2R2HR90</t>
  </si>
  <si>
    <t>NPL489B76</t>
  </si>
  <si>
    <t>Fecha de nacimiento</t>
  </si>
  <si>
    <t>Edad</t>
  </si>
  <si>
    <t>Estado civil</t>
  </si>
  <si>
    <t>Soltero</t>
  </si>
  <si>
    <t xml:space="preserve">Soltera </t>
  </si>
  <si>
    <t>Dirección</t>
  </si>
  <si>
    <t>Kaya Lourdes 5</t>
  </si>
  <si>
    <t>Kaya Lourdes # 5</t>
  </si>
  <si>
    <t>País</t>
  </si>
  <si>
    <t>Bonaire</t>
  </si>
  <si>
    <t>Email:</t>
  </si>
  <si>
    <t>s.sintjago@gmail.com</t>
  </si>
  <si>
    <t>ss.sintjago@gmail.com</t>
  </si>
  <si>
    <t>Teléfono</t>
  </si>
  <si>
    <t>RH</t>
  </si>
  <si>
    <t>No lo tiene</t>
  </si>
  <si>
    <t>O Negativo</t>
  </si>
  <si>
    <t>Seguro</t>
  </si>
  <si>
    <t>ZJCIN</t>
  </si>
  <si>
    <t>Peso</t>
  </si>
  <si>
    <t>Altura</t>
  </si>
  <si>
    <t>Idioma</t>
  </si>
  <si>
    <t>Papiamentu, Holandes, Ingles, Español</t>
  </si>
  <si>
    <t>Libro diario contable</t>
  </si>
  <si>
    <t>ARCHIVO DE DOCUMENTOS</t>
  </si>
  <si>
    <t>PAGOS-FACTURA</t>
  </si>
  <si>
    <t>PAGOS  -  FACTURA</t>
  </si>
  <si>
    <t>RESERVAS  Y CONFIRMACION</t>
  </si>
  <si>
    <t>SERVICIOS</t>
  </si>
  <si>
    <t>PROVEEDOR</t>
  </si>
  <si>
    <t>CANTIDAD</t>
  </si>
  <si>
    <t>PRECIO UNITARIO EN DOLARES</t>
  </si>
  <si>
    <t>PASAJERO 1  PRECIO EN DOLARES</t>
  </si>
  <si>
    <t>PASAJERO 2  PRECIO EN DOLARES</t>
  </si>
  <si>
    <t>PAGOS EN PESOS</t>
  </si>
  <si>
    <t>RETENCIÓN EN LA FUENTE</t>
  </si>
  <si>
    <t>PAGO TOTAL</t>
  </si>
  <si>
    <t>PAGOS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</si>
  <si>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</si>
  <si>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</si>
  <si>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</si>
  <si>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</si>
  <si>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</si>
  <si>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</si>
  <si>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</si>
  <si>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Archivado</t>
  </si>
  <si>
    <t>DMS 306</t>
  </si>
  <si>
    <t>Confirmado</t>
  </si>
  <si>
    <t>Cita con MEDICO FUNCIONAL de primera vez</t>
  </si>
  <si>
    <t>Dr. Marcos Yepez</t>
  </si>
  <si>
    <t>RICHARD PRESTAMO</t>
  </si>
  <si>
    <t>TRANSFERENCIA BANCARIA</t>
  </si>
  <si>
    <t>App</t>
  </si>
  <si>
    <t>Precompra</t>
  </si>
  <si>
    <t>Emitida</t>
  </si>
  <si>
    <t>Póliza de asistencia médica al viajero</t>
  </si>
  <si>
    <t>Colasistencia</t>
  </si>
  <si>
    <t>8,00 Unidades</t>
  </si>
  <si>
    <t>$ 2,00</t>
  </si>
  <si>
    <t>$ 16,00</t>
  </si>
  <si>
    <t>pre compra</t>
  </si>
  <si>
    <t>FACTURADO</t>
  </si>
  <si>
    <t>Transporte Hotel-Aeropuerto el dorado</t>
  </si>
  <si>
    <t xml:space="preserve">Viaja ya </t>
  </si>
  <si>
    <t>Viaja Ya</t>
  </si>
  <si>
    <t>TIO JIMMY BANCOLOMBIA</t>
  </si>
  <si>
    <t>CHEQUEO MÉDICO EJECUTIVO PREVENTIVO- MUJER</t>
  </si>
  <si>
    <t>NO</t>
  </si>
  <si>
    <t>$ 520,00</t>
  </si>
  <si>
    <t>Tarro fecal y orina</t>
  </si>
  <si>
    <t>Farmacia</t>
  </si>
  <si>
    <t>LABORATORIOS CLÍNICOS</t>
  </si>
  <si>
    <t>Antígeno de Próstata</t>
  </si>
  <si>
    <t>Echavarría</t>
  </si>
  <si>
    <t>1,00 Unidades</t>
  </si>
  <si>
    <t>$ 18,00</t>
  </si>
  <si>
    <t>ECHAVARRÍA</t>
  </si>
  <si>
    <t>JENNY BANCOLOMBIA</t>
  </si>
  <si>
    <t>Coprológico</t>
  </si>
  <si>
    <t>NOGALES</t>
  </si>
  <si>
    <t>Vitamina D25</t>
  </si>
  <si>
    <t>$ 29,00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</si>
  <si>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</si>
  <si>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</si>
  <si>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</si>
  <si>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</si>
  <si>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</si>
  <si>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</si>
  <si>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</si>
  <si>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</si>
  <si>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</si>
  <si>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$ 6,00</t>
  </si>
  <si>
    <t>Perfil Renal</t>
  </si>
  <si>
    <t>Creatinina en suero</t>
  </si>
  <si>
    <t>Eritrosedimentación (velocidad de sedimentación globular VSG</t>
  </si>
  <si>
    <t>$ 5,00</t>
  </si>
  <si>
    <t>Uroanálisis</t>
  </si>
  <si>
    <t>$ 7,00</t>
  </si>
  <si>
    <t>BUN- Nitrógeno Ureico en Sangre</t>
  </si>
  <si>
    <t>Sangre</t>
  </si>
  <si>
    <t>Hemograma completo</t>
  </si>
  <si>
    <t>Hemoglobina glicosilada</t>
  </si>
  <si>
    <t>$ 15,00</t>
  </si>
  <si>
    <t>Ferritina</t>
  </si>
  <si>
    <t>$ 14,00</t>
  </si>
  <si>
    <t>Glucosa sérica</t>
  </si>
  <si>
    <t>Perfil Tiroideo</t>
  </si>
  <si>
    <t>T4 libre</t>
  </si>
  <si>
    <t>TSH</t>
  </si>
  <si>
    <t>Hormona Paratoidea</t>
  </si>
  <si>
    <t>$ 28,00</t>
  </si>
  <si>
    <t>Enfermedades de transmisión sexual</t>
  </si>
  <si>
    <t>VDRL serología</t>
  </si>
  <si>
    <t xml:space="preserve">VIH 1 Y 2, Anticuerpos </t>
  </si>
  <si>
    <t>Minerales</t>
  </si>
  <si>
    <t>Cloro en suero</t>
  </si>
  <si>
    <t>Calcio en suero</t>
  </si>
  <si>
    <t>$ 9,00</t>
  </si>
  <si>
    <t>Fósforo en suero</t>
  </si>
  <si>
    <t>$ 8,00</t>
  </si>
  <si>
    <t>Corazón</t>
  </si>
  <si>
    <t>HCYSP-Homocisteína sérica</t>
  </si>
  <si>
    <t>$ 35,00</t>
  </si>
  <si>
    <t>Perfil Hormonal Femenino, (Se realizan generalmente en los primeros días del ciclo para obtener resultados más precisos).</t>
  </si>
  <si>
    <t>Estradiol E2
Perfil Hormonal mujer</t>
  </si>
  <si>
    <t>$ 19,00</t>
  </si>
  <si>
    <t>FSH-Hormona Folículo Estimulante</t>
  </si>
  <si>
    <t>LH-Hormona Luteinizante
Perfil Hormonal mujer</t>
  </si>
  <si>
    <t>Progesteróna
Perfil Hormonal mujer</t>
  </si>
  <si>
    <t>$ 22,00</t>
  </si>
  <si>
    <t>Prolactina
Perfil Hormonal mujer</t>
  </si>
  <si>
    <t>AMH-Hormona Antimulleriana
Perfil Hormonal mujer</t>
  </si>
  <si>
    <t>$ 53,00</t>
  </si>
  <si>
    <t>Testosterona libre</t>
  </si>
  <si>
    <t>Testosterona total</t>
  </si>
  <si>
    <t>No</t>
  </si>
  <si>
    <t>Monitoreo de 24 horas</t>
  </si>
  <si>
    <t>Clínica Nogales</t>
  </si>
  <si>
    <t>CLINICA LOS NOGALES</t>
  </si>
  <si>
    <t>RICHARD BANCOLOMBIA</t>
  </si>
  <si>
    <t>Citología cervical</t>
  </si>
  <si>
    <t>Citologia VPH</t>
  </si>
  <si>
    <t>Radiografía de Tórax (P.A. O A.P Y Lateral, Decúbito Lateral, Oblicuas O Lateral Con Bario)</t>
  </si>
  <si>
    <t>Ecografía Doppler de vasos venosos de miembros inferiores</t>
  </si>
  <si>
    <t>$ 103,00</t>
  </si>
  <si>
    <t>Ecografía de Tiroides con Transductor de 7 Mhz</t>
  </si>
  <si>
    <t>$ 37,00</t>
  </si>
  <si>
    <t>.</t>
  </si>
  <si>
    <t>Ecografía de mama</t>
  </si>
  <si>
    <t>Ecografía pélvica transvaginal</t>
  </si>
  <si>
    <t>$ 41,00</t>
  </si>
  <si>
    <t>Tomografía de abdomen y pélvis</t>
  </si>
  <si>
    <t>$ 99,00</t>
  </si>
  <si>
    <t>No se pudo realizar</t>
  </si>
  <si>
    <t>Prueba de esfuerzo</t>
  </si>
  <si>
    <t>$ 92,00</t>
  </si>
  <si>
    <t>Electro cardiograma</t>
  </si>
  <si>
    <t>$ 30,00</t>
  </si>
  <si>
    <t>Ecocardiograma transtorácico</t>
  </si>
  <si>
    <t>$ 141,00</t>
  </si>
  <si>
    <t>$ 131,00</t>
  </si>
  <si>
    <t>Consulta con especialista en CARDIOLOGÍA</t>
  </si>
  <si>
    <t>$ 86,00</t>
  </si>
  <si>
    <t>Consulta con especialista en UROLOGÍA</t>
  </si>
  <si>
    <t>Clinica Nogales</t>
  </si>
  <si>
    <t>$ 93,00</t>
  </si>
  <si>
    <t>Consulta con especialista en GINECOLOGÍA</t>
  </si>
  <si>
    <t>DMS</t>
  </si>
  <si>
    <t>Traslado hotel - centro médico</t>
  </si>
  <si>
    <t>Johanns Acosta</t>
  </si>
  <si>
    <t>4,00 Unidades</t>
  </si>
  <si>
    <t>DEPOSITO EN EFECTIVO CAMBIO DE DOLARES</t>
  </si>
  <si>
    <t xml:space="preserve">DEPOSITO A CAJA SOCIAL </t>
  </si>
  <si>
    <t>Servicio Medical Trip Colombia Acompañamiento virtual y presencial en español para citas y exámenes para 8 horas diurnas</t>
  </si>
  <si>
    <t>Jennifer</t>
  </si>
  <si>
    <t>$ 63,00</t>
  </si>
  <si>
    <t>DMS 324</t>
  </si>
  <si>
    <t>Consulta de CONTROL con Médico Funcional virtual</t>
  </si>
  <si>
    <t xml:space="preserve">Dr. Marcos </t>
  </si>
  <si>
    <t>$ 60,00</t>
  </si>
  <si>
    <t>Dr Marcos Yepez</t>
  </si>
  <si>
    <t xml:space="preserve">JURIDICA BANCOLOMBIA </t>
  </si>
  <si>
    <t>DMS 325</t>
  </si>
  <si>
    <t>Consulta con especialista en NUTRICIÓN Virtual</t>
  </si>
  <si>
    <t xml:space="preserve">Dra Marlen </t>
  </si>
  <si>
    <t xml:space="preserve">Dra. Marlen </t>
  </si>
  <si>
    <t>CAJA MENOR</t>
  </si>
  <si>
    <t>JOHANNS ACOSTA</t>
  </si>
  <si>
    <t>Total</t>
  </si>
  <si>
    <t>DIRECCIÓN</t>
  </si>
  <si>
    <t>SEDE</t>
  </si>
  <si>
    <t>PASAJERO</t>
  </si>
  <si>
    <t>CONFIRMACION</t>
  </si>
  <si>
    <t>HORA</t>
  </si>
  <si>
    <t>15 al 20 FEBRERO</t>
  </si>
  <si>
    <t>Hora</t>
  </si>
  <si>
    <t xml:space="preserve"> Dia</t>
  </si>
  <si>
    <t>Fechas y Actividad</t>
  </si>
  <si>
    <t>ACP horas</t>
  </si>
  <si>
    <t>Traslado cerca</t>
  </si>
  <si>
    <t>Traslado lejos</t>
  </si>
  <si>
    <t>Domingo 15 de Febrero - LLEGADA POR CUENTA DEL PASAJERO</t>
  </si>
  <si>
    <t>No desayunar  - puede tomar un poco de agua - entregar muestras de orina y fecal</t>
  </si>
  <si>
    <t>HOTEL MARRIOT</t>
  </si>
  <si>
    <t>Calle 90 No 16 - 30  Bogotá</t>
  </si>
  <si>
    <t>Shurwin - Marie</t>
  </si>
  <si>
    <t>Rango 07:30 am y 09:30 am</t>
  </si>
  <si>
    <t>Toma de muestras de sangre para laboratorios clínicos en su hotel</t>
  </si>
  <si>
    <t>Resto del día libre</t>
  </si>
  <si>
    <t>No desayunar Tomar agua</t>
  </si>
  <si>
    <t>CL 95 # 23 61</t>
  </si>
  <si>
    <t>07:00 am</t>
  </si>
  <si>
    <t>Tomografia de Abdomen y Pelvis</t>
  </si>
  <si>
    <t>08:00 am</t>
  </si>
  <si>
    <t>Electrocardiograma</t>
  </si>
  <si>
    <t>08:10 am</t>
  </si>
  <si>
    <t>09:00 am</t>
  </si>
  <si>
    <t>09:20 am</t>
  </si>
  <si>
    <t>Ecografía Doppler de vasos venosos de miembro inferior</t>
  </si>
  <si>
    <t>Traslado centro médico  - centro médico</t>
  </si>
  <si>
    <t>Tiempo para desayunar</t>
  </si>
  <si>
    <t>02:00 pm</t>
  </si>
  <si>
    <t>Traslado centro médico - Hotel</t>
  </si>
  <si>
    <t>07:30 am</t>
  </si>
  <si>
    <t>Monitoreo 24 horas</t>
  </si>
  <si>
    <t>Vuelo internacional</t>
  </si>
  <si>
    <t>Consulta con especialista en NUTRICIÓN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</si>
</sst>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-yyyy"/>
    <numFmt numFmtId="165" formatCode="d/M/yyyy"/>
    <numFmt numFmtId="166" formatCode="[$$]#,##0.00"/>
    <numFmt numFmtId="167" formatCode="[$cop]#,##0"/>
    <numFmt numFmtId="168" formatCode="d/MM/yyyy"/>
    <numFmt numFmtId="169" formatCode="&quot;$&quot;#,##0.00"/>
    <numFmt numFmtId="170" formatCode="&quot;$&quot;#,##0"/>
    <numFmt numFmtId="171" formatCode="dd-mm-yy"/>
    <numFmt numFmtId="172" formatCode="dddd d mmmm"/>
  </numFmts>
  <fonts count="19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sz val="10.0"/>
      <color theme="1"/>
      <name val="Lexend"/>
    </font>
    <font>
      <b/>
      <sz val="10.0"/>
      <color theme="1"/>
      <name val="Lexend"/>
    </font>
    <font>
      <sz val="7.0"/>
      <color theme="1"/>
      <name val="Lexend"/>
    </font>
    <font>
      <b/>
      <sz val="7.0"/>
      <color rgb="FFFFFFFF"/>
      <name val="Lexend"/>
    </font>
    <font/>
    <font>
      <b/>
      <sz val="10.0"/>
      <color rgb="FFFFFFFF"/>
      <name val="Lexend"/>
    </font>
    <font>
      <sz val="10.0"/>
      <color rgb="FF212529"/>
      <name val="Lexend"/>
    </font>
    <font>
      <color theme="1"/>
      <name val="Lexend"/>
    </font>
    <font>
      <b/>
      <sz val="10.0"/>
      <color rgb="FF212529"/>
      <name val="Lexend"/>
    </font>
    <font>
      <b/>
      <sz val="12.0"/>
      <color rgb="FFFFFFFF"/>
      <name val="Lexend"/>
    </font>
    <font>
      <b/>
      <sz val="14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b/>
      <color theme="1"/>
      <name val="Lexend"/>
    </font>
    <font>
      <sz val="8.0"/>
      <color theme="1"/>
      <name val="Lexend"/>
    </font>
    <font>
      <color rgb="FF000000"/>
      <name val="Lexend"/>
    </font>
  </fonts>
  <fills count="18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9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Font="1"/>
    <xf borderId="0" fillId="0" fontId="1" numFmtId="0" xfId="0" applyFont="1"/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2" fillId="2" fontId="6" numFmtId="0" xfId="0" applyAlignment="1" applyBorder="1" applyFill="1" applyFont="1">
      <alignment horizontal="center" shrinkToFit="0" vertical="center" wrapText="1"/>
    </xf>
    <xf borderId="3" fillId="2" fontId="6" numFmtId="0" xfId="0" applyAlignment="1" applyBorder="1" applyFont="1">
      <alignment horizontal="center" vertical="center"/>
    </xf>
    <xf borderId="0" fillId="0" fontId="5" numFmtId="167" xfId="0" applyAlignment="1" applyFont="1" applyNumberFormat="1">
      <alignment horizontal="center" vertical="center"/>
    </xf>
    <xf borderId="3" fillId="2" fontId="6" numFmtId="167" xfId="0" applyAlignment="1" applyBorder="1" applyFont="1" applyNumberForma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0" fontId="7" numFmtId="0" xfId="0" applyBorder="1" applyFont="1"/>
    <xf borderId="1" fillId="2" fontId="5" numFmtId="0" xfId="0" applyAlignment="1" applyBorder="1" applyFont="1">
      <alignment horizontal="center" vertical="center"/>
    </xf>
    <xf borderId="1" fillId="2" fontId="5" numFmtId="165" xfId="0" applyAlignment="1" applyBorder="1" applyFont="1" applyNumberFormat="1">
      <alignment horizontal="center" vertical="center"/>
    </xf>
    <xf borderId="3" fillId="3" fontId="3" numFmtId="0" xfId="0" applyAlignment="1" applyBorder="1" applyFill="1" applyFont="1">
      <alignment horizontal="center" readingOrder="0" vertical="center"/>
    </xf>
    <xf borderId="4" fillId="3" fontId="3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vertical="center"/>
    </xf>
    <xf borderId="3" fillId="3" fontId="3" numFmtId="167" xfId="0" applyAlignment="1" applyBorder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5" fillId="4" fontId="8" numFmtId="167" xfId="0" applyAlignment="1" applyBorder="1" applyFill="1" applyFont="1" applyNumberFormat="1">
      <alignment horizontal="center" shrinkToFit="0" vertical="center" wrapText="1"/>
    </xf>
    <xf borderId="5" fillId="4" fontId="8" numFmtId="168" xfId="0" applyAlignment="1" applyBorder="1" applyFont="1" applyNumberFormat="1">
      <alignment horizontal="center" shrinkToFit="0" vertical="center" wrapText="1"/>
    </xf>
    <xf borderId="0" fillId="5" fontId="3" numFmtId="0" xfId="0" applyAlignment="1" applyFill="1" applyFont="1">
      <alignment horizontal="center" readingOrder="0" vertical="center"/>
    </xf>
    <xf borderId="6" fillId="5" fontId="3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vertical="center"/>
    </xf>
    <xf borderId="3" fillId="0" fontId="3" numFmtId="169" xfId="0" applyAlignment="1" applyBorder="1" applyFont="1" applyNumberFormat="1">
      <alignment horizontal="center" readingOrder="0" vertical="center"/>
    </xf>
    <xf borderId="0" fillId="6" fontId="3" numFmtId="170" xfId="0" applyAlignment="1" applyFill="1" applyFont="1" applyNumberFormat="1">
      <alignment horizontal="center" readingOrder="0" vertical="center"/>
    </xf>
    <xf borderId="0" fillId="6" fontId="3" numFmtId="170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170" xfId="0" applyAlignment="1" applyFont="1" applyNumberFormat="1">
      <alignment horizontal="center" readingOrder="0" vertical="center"/>
    </xf>
    <xf borderId="3" fillId="0" fontId="9" numFmtId="0" xfId="0" applyAlignment="1" applyBorder="1" applyFont="1">
      <alignment horizontal="center" readingOrder="0" shrinkToFit="0" vertical="center" wrapText="1"/>
    </xf>
    <xf borderId="3" fillId="7" fontId="3" numFmtId="0" xfId="0" applyAlignment="1" applyBorder="1" applyFill="1" applyFont="1">
      <alignment horizontal="center" shrinkToFit="0" vertical="center" wrapText="1"/>
    </xf>
    <xf borderId="0" fillId="8" fontId="3" numFmtId="0" xfId="0" applyAlignment="1" applyFill="1" applyFont="1">
      <alignment horizontal="center" readingOrder="0" vertical="center"/>
    </xf>
    <xf borderId="0" fillId="8" fontId="3" numFmtId="0" xfId="0" applyAlignment="1" applyFont="1">
      <alignment horizontal="center" vertical="center"/>
    </xf>
    <xf borderId="0" fillId="8" fontId="3" numFmtId="164" xfId="0" applyAlignment="1" applyFont="1" applyNumberFormat="1">
      <alignment horizontal="center" readingOrder="0" vertical="center"/>
    </xf>
    <xf borderId="0" fillId="8" fontId="3" numFmtId="170" xfId="0" applyAlignment="1" applyFont="1" applyNumberForma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0" fillId="6" fontId="3" numFmtId="170" xfId="0" applyAlignment="1" applyFont="1" applyNumberFormat="1">
      <alignment horizontal="center" readingOrder="0" vertical="center"/>
    </xf>
    <xf borderId="0" fillId="8" fontId="3" numFmtId="0" xfId="0" applyAlignment="1" applyFont="1">
      <alignment horizontal="center" readingOrder="0" shrinkToFit="0" vertical="center" wrapText="1"/>
    </xf>
    <xf borderId="3" fillId="7" fontId="3" numFmtId="0" xfId="0" applyAlignment="1" applyBorder="1" applyFont="1">
      <alignment horizontal="center" shrinkToFit="0" vertical="center" wrapText="1"/>
    </xf>
    <xf borderId="3" fillId="8" fontId="3" numFmtId="0" xfId="0" applyAlignment="1" applyBorder="1" applyFont="1">
      <alignment horizontal="center" vertical="center"/>
    </xf>
    <xf borderId="3" fillId="8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vertical="center"/>
    </xf>
    <xf borderId="3" fillId="9" fontId="4" numFmtId="0" xfId="0" applyAlignment="1" applyBorder="1" applyFill="1" applyFont="1">
      <alignment horizontal="center" shrinkToFit="0" vertical="center" wrapText="1"/>
    </xf>
    <xf borderId="3" fillId="9" fontId="3" numFmtId="0" xfId="0" applyAlignment="1" applyBorder="1" applyFont="1">
      <alignment horizontal="center" vertical="center"/>
    </xf>
    <xf borderId="0" fillId="10" fontId="3" numFmtId="0" xfId="0" applyAlignment="1" applyFill="1" applyFont="1">
      <alignment horizontal="center" readingOrder="0" vertical="center"/>
    </xf>
    <xf borderId="6" fillId="8" fontId="3" numFmtId="0" xfId="0" applyAlignment="1" applyBorder="1" applyFont="1">
      <alignment horizontal="center" readingOrder="0" shrinkToFit="0" vertical="center" wrapText="1"/>
    </xf>
    <xf borderId="0" fillId="0" fontId="3" numFmtId="171" xfId="0" applyAlignment="1" applyFont="1" applyNumberFormat="1">
      <alignment horizontal="center" readingOrder="0" vertical="center"/>
    </xf>
    <xf borderId="3" fillId="7" fontId="3" numFmtId="0" xfId="0" applyAlignment="1" applyBorder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3" fillId="11" fontId="4" numFmtId="0" xfId="0" applyAlignment="1" applyBorder="1" applyFill="1" applyFont="1">
      <alignment horizontal="center" shrinkToFit="0" vertical="center" wrapText="1"/>
    </xf>
    <xf borderId="3" fillId="11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8" fontId="3" numFmtId="170" xfId="0" applyAlignment="1" applyBorder="1" applyFont="1" applyNumberFormat="1">
      <alignment horizontal="center" readingOrder="0" vertical="center"/>
    </xf>
    <xf borderId="0" fillId="6" fontId="3" numFmtId="170" xfId="0" applyAlignment="1" applyFont="1" applyNumberFormat="1">
      <alignment horizontal="center" vertical="center"/>
    </xf>
    <xf borderId="3" fillId="0" fontId="3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3" fillId="7" fontId="3" numFmtId="0" xfId="0" applyAlignment="1" applyBorder="1" applyFont="1">
      <alignment horizontal="center" readingOrder="0" vertical="center"/>
    </xf>
    <xf borderId="0" fillId="12" fontId="3" numFmtId="0" xfId="0" applyAlignment="1" applyFill="1" applyFont="1">
      <alignment horizontal="center" readingOrder="0" vertical="center"/>
    </xf>
    <xf borderId="0" fillId="12" fontId="3" numFmtId="170" xfId="0" applyAlignment="1" applyFont="1" applyNumberFormat="1">
      <alignment horizontal="center" readingOrder="0" vertical="center"/>
    </xf>
    <xf borderId="0" fillId="12" fontId="3" numFmtId="171" xfId="0" applyAlignment="1" applyFont="1" applyNumberFormat="1">
      <alignment horizontal="center" readingOrder="0" vertical="center"/>
    </xf>
    <xf borderId="0" fillId="12" fontId="3" numFmtId="0" xfId="0" applyAlignment="1" applyFont="1">
      <alignment horizontal="center" readingOrder="0" shrinkToFit="0" vertical="center" wrapText="1"/>
    </xf>
    <xf borderId="0" fillId="13" fontId="3" numFmtId="170" xfId="0" applyAlignment="1" applyFill="1" applyFont="1" applyNumberFormat="1">
      <alignment horizontal="center" readingOrder="0" vertical="center"/>
    </xf>
    <xf borderId="3" fillId="14" fontId="9" numFmtId="0" xfId="0" applyAlignment="1" applyBorder="1" applyFill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vertical="center"/>
    </xf>
    <xf borderId="3" fillId="0" fontId="9" numFmtId="169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2" fontId="12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0" fillId="2" fontId="10" numFmtId="0" xfId="0" applyAlignment="1" applyFont="1">
      <alignment horizontal="center" vertical="center"/>
    </xf>
    <xf borderId="3" fillId="3" fontId="14" numFmtId="0" xfId="0" applyAlignment="1" applyBorder="1" applyFont="1">
      <alignment horizontal="center" shrinkToFit="0" vertical="center" wrapText="1"/>
    </xf>
    <xf borderId="3" fillId="3" fontId="14" numFmtId="0" xfId="0" applyAlignment="1" applyBorder="1" applyFont="1">
      <alignment horizontal="center" readingOrder="0" vertical="center"/>
    </xf>
    <xf borderId="3" fillId="3" fontId="15" numFmtId="0" xfId="0" applyAlignment="1" applyBorder="1" applyFont="1">
      <alignment horizontal="center" readingOrder="0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" fillId="3" fontId="14" numFmtId="0" xfId="0" applyAlignment="1" applyBorder="1" applyFont="1">
      <alignment horizontal="center" vertical="center"/>
    </xf>
    <xf borderId="3" fillId="3" fontId="14" numFmtId="0" xfId="0" applyAlignment="1" applyBorder="1" applyFont="1">
      <alignment horizontal="center" readingOrder="0" shrinkToFit="0" vertical="center" wrapText="1"/>
    </xf>
    <xf borderId="0" fillId="15" fontId="10" numFmtId="0" xfId="0" applyAlignment="1" applyFill="1" applyFont="1">
      <alignment horizontal="center" vertical="center"/>
    </xf>
    <xf borderId="3" fillId="3" fontId="14" numFmtId="172" xfId="0" applyAlignment="1" applyBorder="1" applyFont="1" applyNumberFormat="1">
      <alignment horizontal="center" readingOrder="0" shrinkToFit="0" vertical="center" wrapText="1"/>
    </xf>
    <xf borderId="3" fillId="15" fontId="10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3" fillId="15" fontId="16" numFmtId="0" xfId="0" applyAlignment="1" applyBorder="1" applyFont="1">
      <alignment horizontal="center" vertical="center"/>
    </xf>
    <xf borderId="3" fillId="15" fontId="16" numFmtId="0" xfId="0" applyAlignment="1" applyBorder="1" applyFont="1">
      <alignment horizontal="center" readingOrder="0" vertical="center"/>
    </xf>
    <xf borderId="3" fillId="15" fontId="10" numFmtId="0" xfId="0" applyAlignment="1" applyBorder="1" applyFont="1">
      <alignment horizontal="center" readingOrder="0" shrinkToFit="0" vertical="center" wrapText="1"/>
    </xf>
    <xf borderId="3" fillId="0" fontId="17" numFmtId="0" xfId="0" applyAlignment="1" applyBorder="1" applyFont="1">
      <alignment horizontal="center" readingOrder="0" vertical="center"/>
    </xf>
    <xf borderId="3" fillId="16" fontId="10" numFmtId="0" xfId="0" applyAlignment="1" applyBorder="1" applyFill="1" applyFont="1">
      <alignment horizontal="center" readingOrder="0" vertical="center"/>
    </xf>
    <xf borderId="3" fillId="17" fontId="3" numFmtId="0" xfId="0" applyAlignment="1" applyBorder="1" applyFill="1" applyFont="1">
      <alignment horizontal="center" shrinkToFit="0" vertical="center" wrapText="1"/>
    </xf>
    <xf borderId="4" fillId="15" fontId="10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horizontal="center" vertical="center"/>
    </xf>
    <xf borderId="7" fillId="0" fontId="7" numFmtId="0" xfId="0" applyBorder="1" applyFont="1"/>
    <xf borderId="3" fillId="7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8" fillId="0" fontId="7" numFmtId="0" xfId="0" applyBorder="1" applyFont="1"/>
    <xf borderId="3" fillId="17" fontId="3" numFmtId="0" xfId="0" applyAlignment="1" applyBorder="1" applyFont="1">
      <alignment horizontal="center" readingOrder="0" shrinkToFit="0" vertical="center" wrapText="1"/>
    </xf>
    <xf borderId="3" fillId="15" fontId="10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shrinkToFit="0" vertical="center" wrapText="1"/>
    </xf>
    <xf borderId="0" fillId="0" fontId="10" numFmtId="0" xfId="0" applyFont="1"/>
    <xf borderId="0" fillId="15" fontId="10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3</xdr:row>
      <xdr:rowOff>104775</xdr:rowOff>
    </xdr:from>
    <xdr:ext cx="3495675" cy="262890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3</xdr:row>
      <xdr:rowOff>104775</xdr:rowOff>
    </xdr:from>
    <xdr:ext cx="3495675" cy="262890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2</xdr:row>
      <xdr:rowOff>152400</xdr:rowOff>
    </xdr:from>
    <xdr:ext cx="6800850" cy="62484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75"/>
    <col customWidth="1" min="3" max="3" width="22.75"/>
    <col customWidth="1" min="6" max="6" width="24.13"/>
    <col customWidth="1" min="7" max="7" width="28.5"/>
    <col customWidth="1" min="8" max="8" width="22.75"/>
    <col customWidth="1" min="9" max="9" width="46.0"/>
    <col customWidth="1" min="12" max="12" width="22.3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1"/>
      <c r="E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3"/>
      <c r="D19" s="1"/>
      <c r="E19" s="4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 t="s">
        <v>1</v>
      </c>
      <c r="C20" s="3" t="s">
        <v>2</v>
      </c>
      <c r="D20" s="1"/>
      <c r="E20" s="4"/>
      <c r="F20" s="5" t="s">
        <v>1</v>
      </c>
      <c r="G20" s="3" t="s">
        <v>3</v>
      </c>
      <c r="H20" s="5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 t="s">
        <v>4</v>
      </c>
      <c r="C21" s="3" t="s">
        <v>5</v>
      </c>
      <c r="D21" s="1"/>
      <c r="E21" s="4"/>
      <c r="F21" s="5" t="s">
        <v>4</v>
      </c>
      <c r="G21" s="3" t="s">
        <v>5</v>
      </c>
      <c r="H21" s="5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 t="s">
        <v>6</v>
      </c>
      <c r="C22" s="6" t="s">
        <v>7</v>
      </c>
      <c r="D22" s="1"/>
      <c r="E22" s="4"/>
      <c r="F22" s="1" t="s">
        <v>6</v>
      </c>
      <c r="G22" s="6" t="s">
        <v>8</v>
      </c>
      <c r="H22" s="5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 t="s">
        <v>9</v>
      </c>
      <c r="C23" s="3" t="s">
        <v>10</v>
      </c>
      <c r="D23" s="1"/>
      <c r="E23" s="4"/>
      <c r="F23" s="5" t="s">
        <v>9</v>
      </c>
      <c r="G23" s="3" t="s">
        <v>11</v>
      </c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 t="s">
        <v>12</v>
      </c>
      <c r="C24" s="7">
        <v>32538.0</v>
      </c>
      <c r="D24" s="1"/>
      <c r="E24" s="4"/>
      <c r="F24" s="5" t="s">
        <v>12</v>
      </c>
      <c r="G24" s="8">
        <v>31687.0</v>
      </c>
      <c r="H24" s="5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 t="s">
        <v>13</v>
      </c>
      <c r="C25" s="3">
        <v>37.0</v>
      </c>
      <c r="D25" s="1"/>
      <c r="E25" s="4"/>
      <c r="F25" s="5" t="s">
        <v>13</v>
      </c>
      <c r="G25" s="3">
        <v>40.0</v>
      </c>
      <c r="H25" s="5"/>
      <c r="I25" s="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 t="s">
        <v>14</v>
      </c>
      <c r="C26" s="6" t="s">
        <v>15</v>
      </c>
      <c r="D26" s="1"/>
      <c r="E26" s="4"/>
      <c r="F26" s="5" t="s">
        <v>14</v>
      </c>
      <c r="G26" s="6" t="s">
        <v>16</v>
      </c>
      <c r="H26" s="5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 t="s">
        <v>17</v>
      </c>
      <c r="C27" s="6" t="s">
        <v>18</v>
      </c>
      <c r="D27" s="1"/>
      <c r="E27" s="4"/>
      <c r="F27" s="5" t="s">
        <v>17</v>
      </c>
      <c r="G27" s="6" t="s">
        <v>19</v>
      </c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 t="s">
        <v>20</v>
      </c>
      <c r="C28" s="6" t="s">
        <v>21</v>
      </c>
      <c r="D28" s="1"/>
      <c r="E28" s="4"/>
      <c r="F28" s="5" t="s">
        <v>20</v>
      </c>
      <c r="G28" s="6" t="s">
        <v>21</v>
      </c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 t="s">
        <v>22</v>
      </c>
      <c r="C29" s="6" t="s">
        <v>23</v>
      </c>
      <c r="E29" s="4"/>
      <c r="F29" s="5" t="s">
        <v>22</v>
      </c>
      <c r="G29" s="3" t="s">
        <v>24</v>
      </c>
      <c r="H29" s="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 t="s">
        <v>25</v>
      </c>
      <c r="C30" s="2">
        <f>5997960689</f>
        <v>5997960689</v>
      </c>
      <c r="D30" s="1"/>
      <c r="E30" s="4"/>
      <c r="F30" s="5" t="s">
        <v>25</v>
      </c>
      <c r="G30" s="2">
        <f>5997962776</f>
        <v>5997962776</v>
      </c>
      <c r="H30" s="5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 t="s">
        <v>26</v>
      </c>
      <c r="C31" s="6" t="s">
        <v>27</v>
      </c>
      <c r="D31" s="1"/>
      <c r="E31" s="4"/>
      <c r="F31" s="5" t="s">
        <v>26</v>
      </c>
      <c r="G31" s="6" t="s">
        <v>28</v>
      </c>
      <c r="H31" s="5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 t="s">
        <v>29</v>
      </c>
      <c r="C32" s="6" t="s">
        <v>30</v>
      </c>
      <c r="D32" s="1"/>
      <c r="E32" s="4"/>
      <c r="F32" s="5" t="s">
        <v>29</v>
      </c>
      <c r="G32" s="6" t="s">
        <v>30</v>
      </c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 t="s">
        <v>31</v>
      </c>
      <c r="C33" s="3">
        <v>148.0</v>
      </c>
      <c r="D33" s="1"/>
      <c r="E33" s="4"/>
      <c r="F33" s="5" t="s">
        <v>31</v>
      </c>
      <c r="G33" s="3">
        <v>120.0</v>
      </c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 t="s">
        <v>32</v>
      </c>
      <c r="C34" s="3">
        <v>180.0</v>
      </c>
      <c r="D34" s="1"/>
      <c r="E34" s="4"/>
      <c r="F34" s="5" t="s">
        <v>32</v>
      </c>
      <c r="G34" s="3">
        <v>176.0</v>
      </c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 t="s">
        <v>33</v>
      </c>
      <c r="C35" s="10" t="s">
        <v>34</v>
      </c>
      <c r="D35" s="1"/>
      <c r="E35" s="4"/>
      <c r="F35" s="5" t="s">
        <v>33</v>
      </c>
      <c r="G35" s="10" t="s">
        <v>34</v>
      </c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4"/>
      <c r="F36" s="4"/>
      <c r="G36" s="1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4"/>
      <c r="F38" s="5"/>
      <c r="G38" s="1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4"/>
      <c r="F39" s="5"/>
      <c r="G39" s="1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D40" s="1"/>
      <c r="E40" s="1"/>
      <c r="F40" s="1"/>
      <c r="G40" s="4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 t="s">
        <v>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">
    <mergeCell ref="C29:D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63"/>
    <col customWidth="1" min="2" max="2" width="10.75"/>
    <col customWidth="1" min="3" max="4" width="11.38"/>
    <col customWidth="1" min="5" max="5" width="9.38"/>
    <col customWidth="1" min="6" max="6" width="11.63"/>
    <col customWidth="1" min="7" max="7" width="11.38"/>
    <col customWidth="1" min="8" max="8" width="50.38"/>
    <col customWidth="1" min="9" max="9" width="16.38"/>
    <col customWidth="1" min="10" max="10" width="7.5"/>
    <col customWidth="1" min="11" max="11" width="9.13"/>
    <col customWidth="1" min="12" max="12" width="10.88"/>
    <col customWidth="1" min="13" max="13" width="10.13"/>
    <col customWidth="1" min="14" max="14" width="2.13"/>
    <col customWidth="1" min="15" max="15" width="10.25"/>
    <col customWidth="1" min="16" max="16" width="9.5"/>
    <col customWidth="1" min="17" max="17" width="11.13"/>
    <col customWidth="1" min="18" max="18" width="9.38"/>
    <col customWidth="1" min="19" max="19" width="2.0"/>
    <col customWidth="1" min="20" max="20" width="23.63"/>
    <col customWidth="1" min="21" max="21" width="6.88"/>
    <col customWidth="1" min="22" max="22" width="24.75"/>
    <col customWidth="1" min="23" max="23" width="14.25"/>
    <col customWidth="1" min="24" max="24" width="33.88"/>
    <col customWidth="1" min="25" max="25" width="31.63"/>
    <col customWidth="1" min="26" max="36" width="14.63"/>
  </cols>
  <sheetData>
    <row r="1" ht="13.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ht="13.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3" t="s">
        <v>35</v>
      </c>
      <c r="R2" s="1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ht="28.5" customHeight="1">
      <c r="A3" s="14"/>
      <c r="B3" s="15" t="s">
        <v>36</v>
      </c>
      <c r="C3" s="15" t="s">
        <v>36</v>
      </c>
      <c r="D3" s="15" t="s">
        <v>37</v>
      </c>
      <c r="E3" s="15" t="s">
        <v>38</v>
      </c>
      <c r="F3" s="15" t="s">
        <v>39</v>
      </c>
      <c r="G3" s="15" t="s">
        <v>39</v>
      </c>
      <c r="H3" s="16" t="s">
        <v>40</v>
      </c>
      <c r="I3" s="16" t="s">
        <v>41</v>
      </c>
      <c r="J3" s="16" t="s">
        <v>42</v>
      </c>
      <c r="K3" s="15" t="s">
        <v>43</v>
      </c>
      <c r="L3" s="15" t="s">
        <v>44</v>
      </c>
      <c r="M3" s="15" t="s">
        <v>45</v>
      </c>
      <c r="N3" s="17"/>
      <c r="O3" s="18" t="s">
        <v>46</v>
      </c>
      <c r="P3" s="19" t="s">
        <v>46</v>
      </c>
      <c r="Q3" s="19" t="s">
        <v>47</v>
      </c>
      <c r="R3" s="19" t="s">
        <v>48</v>
      </c>
      <c r="S3" s="14"/>
      <c r="T3" s="20" t="s">
        <v>49</v>
      </c>
      <c r="U3" s="21"/>
      <c r="V3" s="21"/>
      <c r="W3" s="21"/>
      <c r="X3" s="22"/>
      <c r="Y3" s="23"/>
      <c r="Z3" s="22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ht="13.5" customHeight="1">
      <c r="A4" s="11"/>
      <c r="B4" s="24" t="s">
        <v>2</v>
      </c>
      <c r="C4" s="24" t="s">
        <v>3</v>
      </c>
      <c r="D4" s="24" t="s">
        <v>2</v>
      </c>
      <c r="E4" s="24" t="s">
        <v>3</v>
      </c>
      <c r="F4" s="24" t="s">
        <v>2</v>
      </c>
      <c r="G4" s="25" t="s">
        <v>3</v>
      </c>
      <c r="H4" s="26"/>
      <c r="I4" s="26"/>
      <c r="J4" s="26"/>
      <c r="K4" s="26"/>
      <c r="L4" s="24" t="s">
        <v>2</v>
      </c>
      <c r="M4" s="24" t="s">
        <v>3</v>
      </c>
      <c r="N4" s="11"/>
      <c r="O4" s="24" t="s">
        <v>2</v>
      </c>
      <c r="P4" s="24" t="s">
        <v>3</v>
      </c>
      <c r="Q4" s="27"/>
      <c r="R4" s="27"/>
      <c r="S4" s="28"/>
      <c r="T4" s="29" t="s">
        <v>50</v>
      </c>
      <c r="U4" s="30" t="s">
        <v>51</v>
      </c>
      <c r="V4" s="30" t="s">
        <v>52</v>
      </c>
      <c r="W4" s="30" t="s">
        <v>53</v>
      </c>
      <c r="X4" s="30" t="s">
        <v>54</v>
      </c>
      <c r="Y4" s="30" t="s">
        <v>55</v>
      </c>
      <c r="Z4" s="30" t="s">
        <v>56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ht="13.5" customHeight="1">
      <c r="A5" s="11"/>
      <c r="B5" s="31" t="s">
        <v>57</v>
      </c>
      <c r="C5" s="31" t="s">
        <v>57</v>
      </c>
      <c r="D5" s="31" t="s">
        <v>58</v>
      </c>
      <c r="E5" s="31" t="s">
        <v>58</v>
      </c>
      <c r="F5" s="31" t="s">
        <v>59</v>
      </c>
      <c r="G5" s="32" t="s">
        <v>59</v>
      </c>
      <c r="H5" s="33" t="s">
        <v>60</v>
      </c>
      <c r="I5" s="34" t="s">
        <v>61</v>
      </c>
      <c r="J5" s="34">
        <v>1.0</v>
      </c>
      <c r="K5" s="35">
        <v>60.0</v>
      </c>
      <c r="L5" s="34">
        <v>60.0</v>
      </c>
      <c r="M5" s="34">
        <v>60.0</v>
      </c>
      <c r="N5" s="11"/>
      <c r="O5" s="36">
        <v>180000.0</v>
      </c>
      <c r="P5" s="36">
        <v>180000.0</v>
      </c>
      <c r="Q5" s="37">
        <f>(O5+P5)*4%</f>
        <v>14400</v>
      </c>
      <c r="R5" s="37">
        <f>(O5+P5)-Q5</f>
        <v>345600</v>
      </c>
      <c r="S5" s="11"/>
      <c r="T5" s="38" t="s">
        <v>61</v>
      </c>
      <c r="U5" s="11"/>
      <c r="V5" s="39">
        <v>46062.0</v>
      </c>
      <c r="W5" s="40">
        <v>345600.0</v>
      </c>
      <c r="X5" s="40" t="s">
        <v>62</v>
      </c>
      <c r="Y5" s="40" t="s">
        <v>63</v>
      </c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ht="13.5" customHeight="1">
      <c r="A6" s="11"/>
      <c r="B6" s="31" t="s">
        <v>64</v>
      </c>
      <c r="C6" s="31" t="s">
        <v>64</v>
      </c>
      <c r="D6" s="31" t="s">
        <v>65</v>
      </c>
      <c r="E6" s="31" t="s">
        <v>65</v>
      </c>
      <c r="F6" s="31" t="s">
        <v>66</v>
      </c>
      <c r="G6" s="31" t="s">
        <v>66</v>
      </c>
      <c r="H6" s="41" t="s">
        <v>67</v>
      </c>
      <c r="I6" s="34" t="s">
        <v>68</v>
      </c>
      <c r="J6" s="41" t="s">
        <v>69</v>
      </c>
      <c r="K6" s="41" t="s">
        <v>70</v>
      </c>
      <c r="L6" s="41" t="s">
        <v>71</v>
      </c>
      <c r="M6" s="42"/>
      <c r="N6" s="11"/>
      <c r="O6" s="36">
        <f t="shared" ref="O6:P6" si="1">2750*8</f>
        <v>22000</v>
      </c>
      <c r="P6" s="36">
        <f t="shared" si="1"/>
        <v>22000</v>
      </c>
      <c r="Q6" s="36">
        <v>0.0</v>
      </c>
      <c r="R6" s="37">
        <f>O6+P6</f>
        <v>44000</v>
      </c>
      <c r="S6" s="11"/>
      <c r="T6" s="43" t="s">
        <v>72</v>
      </c>
      <c r="U6" s="44"/>
      <c r="V6" s="45"/>
      <c r="W6" s="46"/>
      <c r="X6" s="46"/>
      <c r="Y6" s="46"/>
      <c r="Z6" s="44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ht="13.5" customHeight="1">
      <c r="A7" s="11"/>
      <c r="B7" s="31"/>
      <c r="C7" s="31"/>
      <c r="D7" s="47" t="s">
        <v>73</v>
      </c>
      <c r="E7" s="31"/>
      <c r="F7" s="31"/>
      <c r="G7" s="31" t="s">
        <v>59</v>
      </c>
      <c r="H7" s="41" t="s">
        <v>74</v>
      </c>
      <c r="I7" s="34" t="s">
        <v>75</v>
      </c>
      <c r="J7" s="41"/>
      <c r="K7" s="41"/>
      <c r="L7" s="41"/>
      <c r="M7" s="42"/>
      <c r="N7" s="11"/>
      <c r="O7" s="48">
        <v>140000.0</v>
      </c>
      <c r="P7" s="36"/>
      <c r="Q7" s="36"/>
      <c r="R7" s="48">
        <v>140000.0</v>
      </c>
      <c r="S7" s="11"/>
      <c r="T7" s="38" t="s">
        <v>76</v>
      </c>
      <c r="U7" s="11"/>
      <c r="V7" s="39">
        <v>46072.0</v>
      </c>
      <c r="W7" s="40">
        <v>140000.0</v>
      </c>
      <c r="X7" s="40" t="s">
        <v>77</v>
      </c>
      <c r="Y7" s="40" t="s">
        <v>63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ht="13.5" customHeight="1">
      <c r="A8" s="11"/>
      <c r="B8" s="49"/>
      <c r="C8" s="49"/>
      <c r="D8" s="49"/>
      <c r="E8" s="49"/>
      <c r="F8" s="49"/>
      <c r="G8" s="49"/>
      <c r="H8" s="50" t="s">
        <v>78</v>
      </c>
      <c r="I8" s="51"/>
      <c r="J8" s="42"/>
      <c r="K8" s="42"/>
      <c r="L8" s="52" t="s">
        <v>79</v>
      </c>
      <c r="M8" s="41" t="s">
        <v>80</v>
      </c>
      <c r="N8" s="11"/>
      <c r="O8" s="44"/>
      <c r="P8" s="44"/>
      <c r="Q8" s="44"/>
      <c r="R8" s="44"/>
      <c r="S8" s="11"/>
      <c r="T8" s="46"/>
      <c r="U8" s="46"/>
      <c r="V8" s="46"/>
      <c r="W8" s="46"/>
      <c r="X8" s="46"/>
      <c r="Y8" s="46"/>
      <c r="Z8" s="46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ht="13.5" customHeight="1">
      <c r="A9" s="11"/>
      <c r="B9" s="49"/>
      <c r="C9" s="49"/>
      <c r="D9" s="49"/>
      <c r="E9" s="49"/>
      <c r="F9" s="49"/>
      <c r="G9" s="49"/>
      <c r="H9" s="42" t="s">
        <v>81</v>
      </c>
      <c r="I9" s="42" t="s">
        <v>82</v>
      </c>
      <c r="J9" s="53"/>
      <c r="K9" s="53"/>
      <c r="L9" s="53"/>
      <c r="M9" s="42"/>
      <c r="N9" s="11"/>
      <c r="O9" s="44"/>
      <c r="P9" s="44"/>
      <c r="Q9" s="44"/>
      <c r="R9" s="44"/>
      <c r="S9" s="11"/>
      <c r="T9" s="46"/>
      <c r="U9" s="46"/>
      <c r="V9" s="46"/>
      <c r="W9" s="46"/>
      <c r="X9" s="46"/>
      <c r="Y9" s="46"/>
      <c r="Z9" s="46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ht="13.5" customHeight="1">
      <c r="A10" s="11"/>
      <c r="B10" s="49"/>
      <c r="C10" s="49"/>
      <c r="D10" s="49"/>
      <c r="E10" s="49"/>
      <c r="F10" s="49"/>
      <c r="G10" s="49"/>
      <c r="H10" s="54" t="s">
        <v>83</v>
      </c>
      <c r="I10" s="55"/>
      <c r="J10" s="55"/>
      <c r="K10" s="55"/>
      <c r="L10" s="55"/>
      <c r="M10" s="55"/>
      <c r="N10" s="11"/>
      <c r="O10" s="44"/>
      <c r="P10" s="44"/>
      <c r="Q10" s="44"/>
      <c r="R10" s="44"/>
      <c r="S10" s="11"/>
      <c r="T10" s="46"/>
      <c r="U10" s="46"/>
      <c r="V10" s="46"/>
      <c r="W10" s="46"/>
      <c r="X10" s="46"/>
      <c r="Y10" s="46"/>
      <c r="Z10" s="46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ht="13.5" customHeight="1">
      <c r="A11" s="11"/>
      <c r="B11" s="56" t="s">
        <v>57</v>
      </c>
      <c r="C11" s="49" t="s">
        <v>79</v>
      </c>
      <c r="D11" s="47" t="s">
        <v>73</v>
      </c>
      <c r="E11" s="49" t="s">
        <v>79</v>
      </c>
      <c r="F11" s="31" t="s">
        <v>59</v>
      </c>
      <c r="G11" s="57" t="s">
        <v>79</v>
      </c>
      <c r="H11" s="41" t="s">
        <v>84</v>
      </c>
      <c r="I11" s="34" t="s">
        <v>85</v>
      </c>
      <c r="J11" s="41" t="s">
        <v>86</v>
      </c>
      <c r="K11" s="41" t="s">
        <v>87</v>
      </c>
      <c r="L11" s="41" t="s">
        <v>87</v>
      </c>
      <c r="M11" s="52" t="s">
        <v>79</v>
      </c>
      <c r="N11" s="11"/>
      <c r="O11" s="36">
        <v>392800.0</v>
      </c>
      <c r="P11" s="44"/>
      <c r="Q11" s="36">
        <v>0.0</v>
      </c>
      <c r="R11" s="37">
        <f t="shared" ref="R11:R12" si="2">O11</f>
        <v>392800</v>
      </c>
      <c r="S11" s="11"/>
      <c r="T11" s="38" t="s">
        <v>88</v>
      </c>
      <c r="U11" s="11"/>
      <c r="V11" s="58">
        <v>46069.0</v>
      </c>
      <c r="W11" s="40">
        <v>392800.0</v>
      </c>
      <c r="X11" s="40" t="s">
        <v>89</v>
      </c>
      <c r="Y11" s="40" t="s">
        <v>63</v>
      </c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ht="13.5" customHeight="1">
      <c r="A12" s="11"/>
      <c r="B12" s="49" t="s">
        <v>79</v>
      </c>
      <c r="C12" s="56" t="s">
        <v>57</v>
      </c>
      <c r="D12" s="49" t="s">
        <v>79</v>
      </c>
      <c r="E12" s="47" t="s">
        <v>73</v>
      </c>
      <c r="F12" s="49" t="s">
        <v>79</v>
      </c>
      <c r="G12" s="31" t="s">
        <v>59</v>
      </c>
      <c r="H12" s="42" t="s">
        <v>90</v>
      </c>
      <c r="I12" s="59" t="s">
        <v>91</v>
      </c>
      <c r="J12" s="53"/>
      <c r="K12" s="53"/>
      <c r="L12" s="49" t="s">
        <v>79</v>
      </c>
      <c r="M12" s="42"/>
      <c r="N12" s="11"/>
      <c r="O12" s="36">
        <v>36450.0</v>
      </c>
      <c r="P12" s="44"/>
      <c r="Q12" s="36">
        <v>0.0</v>
      </c>
      <c r="R12" s="37">
        <f t="shared" si="2"/>
        <v>36450</v>
      </c>
      <c r="S12" s="11"/>
      <c r="T12" s="38" t="s">
        <v>88</v>
      </c>
      <c r="U12" s="11"/>
      <c r="V12" s="58">
        <v>46069.0</v>
      </c>
      <c r="W12" s="40">
        <v>36450.0</v>
      </c>
      <c r="X12" s="40" t="s">
        <v>89</v>
      </c>
      <c r="Y12" s="40" t="s">
        <v>63</v>
      </c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ht="13.5" customHeight="1">
      <c r="A13" s="11"/>
      <c r="B13" s="56" t="s">
        <v>57</v>
      </c>
      <c r="C13" s="56" t="s">
        <v>57</v>
      </c>
      <c r="D13" s="47" t="s">
        <v>73</v>
      </c>
      <c r="E13" s="47" t="s">
        <v>73</v>
      </c>
      <c r="F13" s="31" t="s">
        <v>59</v>
      </c>
      <c r="G13" s="31" t="s">
        <v>59</v>
      </c>
      <c r="H13" s="42" t="s">
        <v>92</v>
      </c>
      <c r="I13" s="42"/>
      <c r="J13" s="53"/>
      <c r="K13" s="53"/>
      <c r="L13" s="41" t="s">
        <v>93</v>
      </c>
      <c r="M13" s="42"/>
      <c r="N13" s="11"/>
      <c r="O13" s="44"/>
      <c r="P13" s="36">
        <v>710035.0</v>
      </c>
      <c r="Q13" s="36">
        <v>0.0</v>
      </c>
      <c r="R13" s="37">
        <f>P13</f>
        <v>710035</v>
      </c>
      <c r="S13" s="11"/>
      <c r="T13" s="38" t="s">
        <v>88</v>
      </c>
      <c r="U13" s="11"/>
      <c r="V13" s="58">
        <v>46069.0</v>
      </c>
      <c r="W13" s="40">
        <v>710035.0</v>
      </c>
      <c r="X13" s="40" t="s">
        <v>89</v>
      </c>
      <c r="Y13" s="40" t="s">
        <v>63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ht="13.5" customHeight="1">
      <c r="A14" s="11"/>
      <c r="B14" s="56" t="s">
        <v>57</v>
      </c>
      <c r="C14" s="56" t="s">
        <v>57</v>
      </c>
      <c r="D14" s="47" t="s">
        <v>73</v>
      </c>
      <c r="E14" s="47" t="s">
        <v>73</v>
      </c>
      <c r="F14" s="31" t="s">
        <v>59</v>
      </c>
      <c r="G14" s="31" t="s">
        <v>59</v>
      </c>
      <c r="H14" s="60" t="s">
        <v>94</v>
      </c>
      <c r="I14" s="53"/>
      <c r="J14" s="41" t="s">
        <v>86</v>
      </c>
      <c r="K14" s="41" t="s">
        <v>93</v>
      </c>
      <c r="L14" s="41" t="s">
        <v>93</v>
      </c>
      <c r="M14" s="53"/>
      <c r="N14" s="11"/>
      <c r="O14" s="44"/>
      <c r="P14" s="44"/>
      <c r="Q14" s="44"/>
      <c r="R14" s="44"/>
      <c r="S14" s="11"/>
      <c r="T14" s="46"/>
      <c r="U14" s="46"/>
      <c r="V14" s="46"/>
      <c r="W14" s="46"/>
      <c r="X14" s="46"/>
      <c r="Y14" s="46"/>
      <c r="Z14" s="46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ht="13.5" customHeight="1">
      <c r="A15" s="11"/>
      <c r="B15" s="49"/>
      <c r="C15" s="49"/>
      <c r="D15" s="49"/>
      <c r="E15" s="49"/>
      <c r="F15" s="49"/>
      <c r="G15" s="49"/>
      <c r="H15" s="61" t="s">
        <v>95</v>
      </c>
      <c r="I15" s="62"/>
      <c r="J15" s="62"/>
      <c r="K15" s="62"/>
      <c r="L15" s="62"/>
      <c r="M15" s="62"/>
      <c r="N15" s="11"/>
      <c r="O15" s="44"/>
      <c r="P15" s="44"/>
      <c r="Q15" s="44"/>
      <c r="R15" s="44"/>
      <c r="S15" s="11"/>
      <c r="T15" s="46"/>
      <c r="U15" s="46"/>
      <c r="V15" s="46"/>
      <c r="W15" s="46"/>
      <c r="X15" s="46"/>
      <c r="Y15" s="46"/>
      <c r="Z15" s="46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ht="13.5" customHeight="1">
      <c r="A16" s="11"/>
      <c r="B16" s="49" t="s">
        <v>79</v>
      </c>
      <c r="C16" s="56" t="s">
        <v>57</v>
      </c>
      <c r="D16" s="49" t="s">
        <v>79</v>
      </c>
      <c r="E16" s="47" t="s">
        <v>73</v>
      </c>
      <c r="F16" s="49" t="s">
        <v>79</v>
      </c>
      <c r="G16" s="31" t="s">
        <v>59</v>
      </c>
      <c r="H16" s="42" t="s">
        <v>96</v>
      </c>
      <c r="I16" s="42"/>
      <c r="J16" s="53"/>
      <c r="K16" s="53"/>
      <c r="L16" s="52" t="s">
        <v>79</v>
      </c>
      <c r="M16" s="42"/>
      <c r="N16" s="11"/>
      <c r="O16" s="44"/>
      <c r="P16" s="44"/>
      <c r="Q16" s="44"/>
      <c r="R16" s="44"/>
      <c r="S16" s="11"/>
      <c r="T16" s="46"/>
      <c r="U16" s="46"/>
      <c r="V16" s="46"/>
      <c r="W16" s="46"/>
      <c r="X16" s="46"/>
      <c r="Y16" s="46"/>
      <c r="Z16" s="46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ht="13.5" customHeight="1">
      <c r="A17" s="11"/>
      <c r="B17" s="49" t="s">
        <v>79</v>
      </c>
      <c r="C17" s="56" t="s">
        <v>57</v>
      </c>
      <c r="D17" s="49" t="s">
        <v>79</v>
      </c>
      <c r="E17" s="47" t="s">
        <v>73</v>
      </c>
      <c r="F17" s="49" t="s">
        <v>79</v>
      </c>
      <c r="G17" s="31" t="s">
        <v>59</v>
      </c>
      <c r="H17" s="42" t="s">
        <v>97</v>
      </c>
      <c r="I17" s="42"/>
      <c r="J17" s="53"/>
      <c r="K17" s="53"/>
      <c r="L17" s="52" t="s">
        <v>79</v>
      </c>
      <c r="M17" s="42"/>
      <c r="N17" s="11"/>
      <c r="O17" s="44"/>
      <c r="P17" s="44"/>
      <c r="Q17" s="44"/>
      <c r="R17" s="44"/>
      <c r="S17" s="11"/>
      <c r="T17" s="46"/>
      <c r="U17" s="46"/>
      <c r="V17" s="46"/>
      <c r="W17" s="46"/>
      <c r="X17" s="46"/>
      <c r="Y17" s="46"/>
      <c r="Z17" s="46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ht="13.5" customHeight="1">
      <c r="A18" s="11"/>
      <c r="B18" s="49" t="s">
        <v>79</v>
      </c>
      <c r="C18" s="56" t="s">
        <v>57</v>
      </c>
      <c r="D18" s="49" t="s">
        <v>79</v>
      </c>
      <c r="E18" s="47" t="s">
        <v>73</v>
      </c>
      <c r="F18" s="49" t="s">
        <v>79</v>
      </c>
      <c r="G18" s="31" t="s">
        <v>59</v>
      </c>
      <c r="H18" s="42" t="s">
        <v>98</v>
      </c>
      <c r="I18" s="42"/>
      <c r="J18" s="53"/>
      <c r="K18" s="53"/>
      <c r="L18" s="52" t="s">
        <v>79</v>
      </c>
      <c r="M18" s="42"/>
      <c r="N18" s="11"/>
      <c r="O18" s="44"/>
      <c r="P18" s="44"/>
      <c r="Q18" s="44"/>
      <c r="R18" s="44"/>
      <c r="S18" s="11"/>
      <c r="T18" s="46"/>
      <c r="U18" s="46"/>
      <c r="V18" s="46"/>
      <c r="W18" s="46"/>
      <c r="X18" s="46"/>
      <c r="Y18" s="46"/>
      <c r="Z18" s="46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ht="13.5" customHeight="1">
      <c r="A19" s="11"/>
      <c r="B19" s="49" t="s">
        <v>79</v>
      </c>
      <c r="C19" s="56" t="s">
        <v>57</v>
      </c>
      <c r="D19" s="49" t="s">
        <v>79</v>
      </c>
      <c r="E19" s="47" t="s">
        <v>73</v>
      </c>
      <c r="F19" s="49" t="s">
        <v>79</v>
      </c>
      <c r="G19" s="31" t="s">
        <v>59</v>
      </c>
      <c r="H19" s="42" t="s">
        <v>99</v>
      </c>
      <c r="I19" s="42"/>
      <c r="J19" s="53"/>
      <c r="K19" s="53"/>
      <c r="L19" s="52" t="s">
        <v>79</v>
      </c>
      <c r="M19" s="42"/>
      <c r="N19" s="11"/>
      <c r="O19" s="44"/>
      <c r="P19" s="44"/>
      <c r="Q19" s="44"/>
      <c r="R19" s="44"/>
      <c r="S19" s="11"/>
      <c r="T19" s="46"/>
      <c r="U19" s="46"/>
      <c r="V19" s="46"/>
      <c r="W19" s="46"/>
      <c r="X19" s="46"/>
      <c r="Y19" s="46"/>
      <c r="Z19" s="46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ht="13.5" customHeight="1">
      <c r="A20" s="11"/>
      <c r="B20" s="49"/>
      <c r="C20" s="49"/>
      <c r="D20" s="49"/>
      <c r="E20" s="49"/>
      <c r="F20" s="49"/>
      <c r="G20" s="49"/>
      <c r="H20" s="61" t="s">
        <v>100</v>
      </c>
      <c r="I20" s="62"/>
      <c r="J20" s="62"/>
      <c r="K20" s="62"/>
      <c r="L20" s="62"/>
      <c r="M20" s="62"/>
      <c r="N20" s="11"/>
      <c r="O20" s="44"/>
      <c r="P20" s="44"/>
      <c r="Q20" s="44"/>
      <c r="R20" s="44"/>
      <c r="S20" s="11"/>
      <c r="T20" s="46"/>
      <c r="U20" s="46"/>
      <c r="V20" s="46"/>
      <c r="W20" s="46"/>
      <c r="X20" s="46"/>
      <c r="Y20" s="46"/>
      <c r="Z20" s="46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ht="13.5" customHeight="1">
      <c r="A21" s="11"/>
      <c r="B21" s="56" t="s">
        <v>57</v>
      </c>
      <c r="C21" s="56" t="s">
        <v>57</v>
      </c>
      <c r="D21" s="49" t="s">
        <v>79</v>
      </c>
      <c r="E21" s="47" t="s">
        <v>73</v>
      </c>
      <c r="F21" s="49" t="s">
        <v>79</v>
      </c>
      <c r="G21" s="31" t="s">
        <v>59</v>
      </c>
      <c r="H21" s="42" t="s">
        <v>101</v>
      </c>
      <c r="I21" s="42"/>
      <c r="J21" s="53"/>
      <c r="K21" s="53"/>
      <c r="L21" s="52" t="s">
        <v>79</v>
      </c>
      <c r="M21" s="42"/>
      <c r="N21" s="11"/>
      <c r="O21" s="44"/>
      <c r="P21" s="44"/>
      <c r="Q21" s="44"/>
      <c r="R21" s="44"/>
      <c r="S21" s="11"/>
      <c r="T21" s="46"/>
      <c r="U21" s="46"/>
      <c r="V21" s="46"/>
      <c r="W21" s="46"/>
      <c r="X21" s="46"/>
      <c r="Y21" s="46"/>
      <c r="Z21" s="46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ht="13.5" customHeight="1">
      <c r="A22" s="11"/>
      <c r="B22" s="56" t="s">
        <v>57</v>
      </c>
      <c r="C22" s="56" t="s">
        <v>57</v>
      </c>
      <c r="D22" s="47" t="s">
        <v>73</v>
      </c>
      <c r="E22" s="47" t="s">
        <v>73</v>
      </c>
      <c r="F22" s="31" t="s">
        <v>59</v>
      </c>
      <c r="G22" s="31" t="s">
        <v>59</v>
      </c>
      <c r="H22" s="42" t="s">
        <v>102</v>
      </c>
      <c r="I22" s="42"/>
      <c r="J22" s="53"/>
      <c r="K22" s="53"/>
      <c r="L22" s="41" t="s">
        <v>103</v>
      </c>
      <c r="M22" s="42"/>
      <c r="N22" s="11"/>
      <c r="O22" s="44"/>
      <c r="P22" s="44"/>
      <c r="Q22" s="44"/>
      <c r="R22" s="44"/>
      <c r="S22" s="11"/>
      <c r="T22" s="46"/>
      <c r="U22" s="46"/>
      <c r="V22" s="46"/>
      <c r="W22" s="46"/>
      <c r="X22" s="46"/>
      <c r="Y22" s="46"/>
      <c r="Z22" s="46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ht="13.5" customHeight="1">
      <c r="A23" s="11"/>
      <c r="B23" s="49"/>
      <c r="C23" s="49"/>
      <c r="D23" s="49"/>
      <c r="E23" s="49"/>
      <c r="F23" s="49"/>
      <c r="G23" s="49"/>
      <c r="H23" s="61" t="s">
        <v>104</v>
      </c>
      <c r="I23" s="62"/>
      <c r="J23" s="62"/>
      <c r="K23" s="62"/>
      <c r="L23" s="62"/>
      <c r="M23" s="62"/>
      <c r="N23" s="11"/>
      <c r="O23" s="44"/>
      <c r="P23" s="44"/>
      <c r="Q23" s="44"/>
      <c r="R23" s="44"/>
      <c r="S23" s="11"/>
      <c r="T23" s="46"/>
      <c r="U23" s="46"/>
      <c r="V23" s="46"/>
      <c r="W23" s="46"/>
      <c r="X23" s="46"/>
      <c r="Y23" s="46"/>
      <c r="Z23" s="46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ht="13.5" customHeight="1">
      <c r="A24" s="11"/>
      <c r="B24" s="49" t="s">
        <v>79</v>
      </c>
      <c r="C24" s="56" t="s">
        <v>57</v>
      </c>
      <c r="D24" s="49" t="s">
        <v>79</v>
      </c>
      <c r="E24" s="47" t="s">
        <v>73</v>
      </c>
      <c r="F24" s="49" t="s">
        <v>79</v>
      </c>
      <c r="G24" s="31" t="s">
        <v>59</v>
      </c>
      <c r="H24" s="42" t="s">
        <v>105</v>
      </c>
      <c r="I24" s="42"/>
      <c r="J24" s="53"/>
      <c r="K24" s="53"/>
      <c r="L24" s="52" t="s">
        <v>79</v>
      </c>
      <c r="M24" s="42"/>
      <c r="N24" s="11"/>
      <c r="O24" s="44"/>
      <c r="P24" s="44"/>
      <c r="Q24" s="44"/>
      <c r="R24" s="44"/>
      <c r="S24" s="11"/>
      <c r="T24" s="46"/>
      <c r="U24" s="46"/>
      <c r="V24" s="46"/>
      <c r="W24" s="46"/>
      <c r="X24" s="46"/>
      <c r="Y24" s="46"/>
      <c r="Z24" s="46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ht="13.5" customHeight="1">
      <c r="A25" s="11"/>
      <c r="B25" s="49" t="s">
        <v>79</v>
      </c>
      <c r="C25" s="56" t="s">
        <v>57</v>
      </c>
      <c r="D25" s="49" t="s">
        <v>79</v>
      </c>
      <c r="E25" s="47" t="s">
        <v>73</v>
      </c>
      <c r="F25" s="49" t="s">
        <v>79</v>
      </c>
      <c r="G25" s="31" t="s">
        <v>59</v>
      </c>
      <c r="H25" s="60" t="s">
        <v>106</v>
      </c>
      <c r="I25" s="53"/>
      <c r="J25" s="53"/>
      <c r="K25" s="53"/>
      <c r="L25" s="52" t="s">
        <v>79</v>
      </c>
      <c r="M25" s="41" t="s">
        <v>107</v>
      </c>
      <c r="N25" s="11"/>
      <c r="O25" s="44"/>
      <c r="P25" s="44"/>
      <c r="Q25" s="44"/>
      <c r="R25" s="44"/>
      <c r="S25" s="11"/>
      <c r="T25" s="46"/>
      <c r="U25" s="46"/>
      <c r="V25" s="46"/>
      <c r="W25" s="46"/>
      <c r="X25" s="46"/>
      <c r="Y25" s="46"/>
      <c r="Z25" s="46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ht="13.5" customHeight="1">
      <c r="A26" s="11"/>
      <c r="B26" s="56" t="s">
        <v>57</v>
      </c>
      <c r="C26" s="56" t="s">
        <v>57</v>
      </c>
      <c r="D26" s="47" t="s">
        <v>73</v>
      </c>
      <c r="E26" s="47" t="s">
        <v>73</v>
      </c>
      <c r="F26" s="31" t="s">
        <v>59</v>
      </c>
      <c r="G26" s="31" t="s">
        <v>59</v>
      </c>
      <c r="H26" s="42" t="s">
        <v>108</v>
      </c>
      <c r="I26" s="59" t="s">
        <v>91</v>
      </c>
      <c r="J26" s="41" t="s">
        <v>86</v>
      </c>
      <c r="K26" s="41" t="s">
        <v>109</v>
      </c>
      <c r="L26" s="41" t="s">
        <v>109</v>
      </c>
      <c r="M26" s="42"/>
      <c r="N26" s="11"/>
      <c r="O26" s="44"/>
      <c r="P26" s="44"/>
      <c r="Q26" s="44"/>
      <c r="R26" s="44"/>
      <c r="S26" s="11"/>
      <c r="T26" s="46"/>
      <c r="U26" s="46"/>
      <c r="V26" s="46"/>
      <c r="W26" s="46"/>
      <c r="X26" s="46"/>
      <c r="Y26" s="46"/>
      <c r="Z26" s="46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ht="13.5" customHeight="1">
      <c r="A27" s="11"/>
      <c r="B27" s="56" t="s">
        <v>57</v>
      </c>
      <c r="C27" s="56" t="s">
        <v>57</v>
      </c>
      <c r="D27" s="47" t="s">
        <v>73</v>
      </c>
      <c r="E27" s="47" t="s">
        <v>73</v>
      </c>
      <c r="F27" s="31" t="s">
        <v>59</v>
      </c>
      <c r="G27" s="31" t="s">
        <v>59</v>
      </c>
      <c r="H27" s="41" t="s">
        <v>110</v>
      </c>
      <c r="I27" s="63"/>
      <c r="J27" s="41" t="s">
        <v>86</v>
      </c>
      <c r="K27" s="41" t="s">
        <v>109</v>
      </c>
      <c r="L27" s="41" t="s">
        <v>109</v>
      </c>
      <c r="M27" s="53"/>
      <c r="N27" s="11"/>
      <c r="O27" s="44"/>
      <c r="P27" s="44"/>
      <c r="Q27" s="44"/>
      <c r="R27" s="44"/>
      <c r="S27" s="11"/>
      <c r="T27" s="46"/>
      <c r="U27" s="46"/>
      <c r="V27" s="46"/>
      <c r="W27" s="46"/>
      <c r="X27" s="46"/>
      <c r="Y27" s="46"/>
      <c r="Z27" s="46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ht="13.5" customHeight="1">
      <c r="A28" s="11"/>
      <c r="B28" s="49"/>
      <c r="C28" s="49"/>
      <c r="D28" s="49"/>
      <c r="E28" s="49"/>
      <c r="F28" s="49"/>
      <c r="G28" s="49"/>
      <c r="H28" s="61" t="s">
        <v>111</v>
      </c>
      <c r="I28" s="62"/>
      <c r="J28" s="62"/>
      <c r="K28" s="62"/>
      <c r="L28" s="62"/>
      <c r="M28" s="62"/>
      <c r="N28" s="11"/>
      <c r="O28" s="44"/>
      <c r="P28" s="44"/>
      <c r="Q28" s="44"/>
      <c r="R28" s="44"/>
      <c r="S28" s="11"/>
      <c r="T28" s="46"/>
      <c r="U28" s="46"/>
      <c r="V28" s="46"/>
      <c r="W28" s="46"/>
      <c r="X28" s="46"/>
      <c r="Y28" s="46"/>
      <c r="Z28" s="46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ht="13.5" customHeight="1">
      <c r="A29" s="11"/>
      <c r="B29" s="49" t="s">
        <v>79</v>
      </c>
      <c r="C29" s="56" t="s">
        <v>57</v>
      </c>
      <c r="D29" s="49" t="s">
        <v>79</v>
      </c>
      <c r="E29" s="47" t="s">
        <v>73</v>
      </c>
      <c r="F29" s="49" t="s">
        <v>79</v>
      </c>
      <c r="G29" s="31" t="s">
        <v>59</v>
      </c>
      <c r="H29" s="42" t="s">
        <v>112</v>
      </c>
      <c r="I29" s="42"/>
      <c r="J29" s="53"/>
      <c r="K29" s="53"/>
      <c r="L29" s="52" t="s">
        <v>79</v>
      </c>
      <c r="M29" s="42"/>
      <c r="N29" s="11"/>
      <c r="O29" s="44"/>
      <c r="P29" s="44"/>
      <c r="Q29" s="44"/>
      <c r="R29" s="44"/>
      <c r="S29" s="11"/>
      <c r="T29" s="46"/>
      <c r="U29" s="46"/>
      <c r="V29" s="46"/>
      <c r="W29" s="46"/>
      <c r="X29" s="46"/>
      <c r="Y29" s="46"/>
      <c r="Z29" s="46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 ht="13.5" customHeight="1">
      <c r="A30" s="11"/>
      <c r="B30" s="56" t="s">
        <v>57</v>
      </c>
      <c r="C30" s="56" t="s">
        <v>57</v>
      </c>
      <c r="D30" s="47" t="s">
        <v>73</v>
      </c>
      <c r="E30" s="47" t="s">
        <v>73</v>
      </c>
      <c r="F30" s="31" t="s">
        <v>59</v>
      </c>
      <c r="G30" s="31" t="s">
        <v>59</v>
      </c>
      <c r="H30" s="42" t="s">
        <v>113</v>
      </c>
      <c r="I30" s="42"/>
      <c r="J30" s="53"/>
      <c r="K30" s="53"/>
      <c r="L30" s="41" t="s">
        <v>114</v>
      </c>
      <c r="M30" s="42"/>
      <c r="N30" s="11"/>
      <c r="O30" s="44"/>
      <c r="P30" s="44"/>
      <c r="Q30" s="44"/>
      <c r="R30" s="44"/>
      <c r="S30" s="11"/>
      <c r="T30" s="46"/>
      <c r="U30" s="46"/>
      <c r="V30" s="46"/>
      <c r="W30" s="46"/>
      <c r="X30" s="46"/>
      <c r="Y30" s="46"/>
      <c r="Z30" s="46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ht="13.5" customHeight="1">
      <c r="A31" s="11"/>
      <c r="B31" s="56" t="s">
        <v>57</v>
      </c>
      <c r="C31" s="56" t="s">
        <v>57</v>
      </c>
      <c r="D31" s="47" t="s">
        <v>73</v>
      </c>
      <c r="E31" s="47" t="s">
        <v>73</v>
      </c>
      <c r="F31" s="31" t="s">
        <v>59</v>
      </c>
      <c r="G31" s="31" t="s">
        <v>59</v>
      </c>
      <c r="H31" s="42" t="s">
        <v>115</v>
      </c>
      <c r="I31" s="42"/>
      <c r="J31" s="53"/>
      <c r="K31" s="53"/>
      <c r="L31" s="41" t="s">
        <v>116</v>
      </c>
      <c r="M31" s="42"/>
      <c r="N31" s="11"/>
      <c r="O31" s="44"/>
      <c r="P31" s="44"/>
      <c r="Q31" s="44"/>
      <c r="R31" s="44"/>
      <c r="S31" s="11"/>
      <c r="T31" s="46"/>
      <c r="U31" s="46"/>
      <c r="V31" s="46"/>
      <c r="W31" s="46"/>
      <c r="X31" s="46"/>
      <c r="Y31" s="46"/>
      <c r="Z31" s="46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ht="13.5" customHeight="1">
      <c r="A32" s="11"/>
      <c r="B32" s="49" t="s">
        <v>79</v>
      </c>
      <c r="C32" s="56" t="s">
        <v>57</v>
      </c>
      <c r="D32" s="49" t="s">
        <v>79</v>
      </c>
      <c r="E32" s="47" t="s">
        <v>73</v>
      </c>
      <c r="F32" s="49" t="s">
        <v>79</v>
      </c>
      <c r="G32" s="31" t="s">
        <v>59</v>
      </c>
      <c r="H32" s="42" t="s">
        <v>117</v>
      </c>
      <c r="I32" s="42"/>
      <c r="J32" s="53"/>
      <c r="K32" s="53"/>
      <c r="L32" s="52" t="s">
        <v>79</v>
      </c>
      <c r="M32" s="42"/>
      <c r="N32" s="11"/>
      <c r="O32" s="44"/>
      <c r="P32" s="44"/>
      <c r="Q32" s="44"/>
      <c r="R32" s="44"/>
      <c r="S32" s="11"/>
      <c r="T32" s="46"/>
      <c r="U32" s="46"/>
      <c r="V32" s="46"/>
      <c r="W32" s="46"/>
      <c r="X32" s="46"/>
      <c r="Y32" s="46"/>
      <c r="Z32" s="46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ht="13.5" customHeight="1">
      <c r="A33" s="11"/>
      <c r="B33" s="49"/>
      <c r="C33" s="49"/>
      <c r="D33" s="49"/>
      <c r="E33" s="49"/>
      <c r="F33" s="49"/>
      <c r="G33" s="49"/>
      <c r="H33" s="61" t="s">
        <v>118</v>
      </c>
      <c r="I33" s="62"/>
      <c r="J33" s="62"/>
      <c r="K33" s="62"/>
      <c r="L33" s="62"/>
      <c r="M33" s="62"/>
      <c r="N33" s="11"/>
      <c r="O33" s="44"/>
      <c r="P33" s="44"/>
      <c r="Q33" s="44"/>
      <c r="R33" s="44"/>
      <c r="S33" s="11"/>
      <c r="T33" s="46"/>
      <c r="U33" s="46"/>
      <c r="V33" s="46"/>
      <c r="W33" s="46"/>
      <c r="X33" s="46"/>
      <c r="Y33" s="46"/>
      <c r="Z33" s="46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ht="13.5" customHeight="1">
      <c r="A34" s="11"/>
      <c r="B34" s="49" t="s">
        <v>79</v>
      </c>
      <c r="C34" s="56" t="s">
        <v>57</v>
      </c>
      <c r="D34" s="49" t="s">
        <v>79</v>
      </c>
      <c r="E34" s="47" t="s">
        <v>73</v>
      </c>
      <c r="F34" s="49" t="s">
        <v>79</v>
      </c>
      <c r="G34" s="31" t="s">
        <v>59</v>
      </c>
      <c r="H34" s="42" t="s">
        <v>119</v>
      </c>
      <c r="I34" s="42"/>
      <c r="J34" s="53"/>
      <c r="K34" s="53"/>
      <c r="L34" s="52" t="s">
        <v>79</v>
      </c>
      <c r="M34" s="53"/>
      <c r="N34" s="11"/>
      <c r="O34" s="44"/>
      <c r="P34" s="44"/>
      <c r="Q34" s="44"/>
      <c r="R34" s="44"/>
      <c r="S34" s="11"/>
      <c r="T34" s="46"/>
      <c r="U34" s="46"/>
      <c r="V34" s="46"/>
      <c r="W34" s="46"/>
      <c r="X34" s="46"/>
      <c r="Y34" s="46"/>
      <c r="Z34" s="46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ht="13.5" customHeight="1">
      <c r="A35" s="11"/>
      <c r="B35" s="49" t="s">
        <v>79</v>
      </c>
      <c r="C35" s="56" t="s">
        <v>57</v>
      </c>
      <c r="D35" s="49" t="s">
        <v>79</v>
      </c>
      <c r="E35" s="47" t="s">
        <v>73</v>
      </c>
      <c r="F35" s="49" t="s">
        <v>79</v>
      </c>
      <c r="G35" s="31" t="s">
        <v>59</v>
      </c>
      <c r="H35" s="42" t="s">
        <v>120</v>
      </c>
      <c r="I35" s="42"/>
      <c r="J35" s="53"/>
      <c r="K35" s="53"/>
      <c r="L35" s="52" t="s">
        <v>79</v>
      </c>
      <c r="M35" s="53"/>
      <c r="N35" s="11"/>
      <c r="O35" s="44"/>
      <c r="P35" s="44"/>
      <c r="Q35" s="44"/>
      <c r="R35" s="44"/>
      <c r="S35" s="11"/>
      <c r="T35" s="46"/>
      <c r="U35" s="46"/>
      <c r="V35" s="46"/>
      <c r="W35" s="46"/>
      <c r="X35" s="46"/>
      <c r="Y35" s="46"/>
      <c r="Z35" s="46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 ht="13.5" customHeight="1">
      <c r="A36" s="11"/>
      <c r="B36" s="56" t="s">
        <v>57</v>
      </c>
      <c r="C36" s="56" t="s">
        <v>57</v>
      </c>
      <c r="D36" s="47" t="s">
        <v>73</v>
      </c>
      <c r="E36" s="47" t="s">
        <v>73</v>
      </c>
      <c r="F36" s="31" t="s">
        <v>59</v>
      </c>
      <c r="G36" s="31" t="s">
        <v>59</v>
      </c>
      <c r="H36" s="60" t="s">
        <v>121</v>
      </c>
      <c r="I36" s="53"/>
      <c r="J36" s="53"/>
      <c r="K36" s="53"/>
      <c r="L36" s="41" t="s">
        <v>122</v>
      </c>
      <c r="M36" s="41" t="s">
        <v>122</v>
      </c>
      <c r="N36" s="11"/>
      <c r="O36" s="44"/>
      <c r="P36" s="44"/>
      <c r="Q36" s="44"/>
      <c r="R36" s="44"/>
      <c r="S36" s="11"/>
      <c r="T36" s="46"/>
      <c r="U36" s="46"/>
      <c r="V36" s="46"/>
      <c r="W36" s="46"/>
      <c r="X36" s="46"/>
      <c r="Y36" s="46"/>
      <c r="Z36" s="46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 ht="13.5" customHeight="1">
      <c r="A37" s="11"/>
      <c r="B37" s="49"/>
      <c r="C37" s="49"/>
      <c r="D37" s="49"/>
      <c r="E37" s="49"/>
      <c r="F37" s="49"/>
      <c r="G37" s="49"/>
      <c r="H37" s="61" t="s">
        <v>123</v>
      </c>
      <c r="I37" s="62"/>
      <c r="J37" s="62"/>
      <c r="K37" s="62"/>
      <c r="L37" s="62"/>
      <c r="M37" s="62"/>
      <c r="N37" s="11"/>
      <c r="O37" s="44"/>
      <c r="P37" s="44"/>
      <c r="Q37" s="44"/>
      <c r="R37" s="44"/>
      <c r="S37" s="11"/>
      <c r="T37" s="46"/>
      <c r="U37" s="46"/>
      <c r="V37" s="46"/>
      <c r="W37" s="46"/>
      <c r="X37" s="46"/>
      <c r="Y37" s="46"/>
      <c r="Z37" s="46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 ht="13.5" customHeight="1">
      <c r="A38" s="11"/>
      <c r="B38" s="49" t="s">
        <v>79</v>
      </c>
      <c r="C38" s="56" t="s">
        <v>57</v>
      </c>
      <c r="D38" s="49" t="s">
        <v>79</v>
      </c>
      <c r="E38" s="47" t="s">
        <v>73</v>
      </c>
      <c r="F38" s="49" t="s">
        <v>79</v>
      </c>
      <c r="G38" s="31" t="s">
        <v>59</v>
      </c>
      <c r="H38" s="42" t="s">
        <v>124</v>
      </c>
      <c r="I38" s="42"/>
      <c r="J38" s="53"/>
      <c r="K38" s="53"/>
      <c r="L38" s="52" t="s">
        <v>79</v>
      </c>
      <c r="M38" s="53"/>
      <c r="N38" s="11"/>
      <c r="O38" s="44"/>
      <c r="P38" s="44"/>
      <c r="Q38" s="44"/>
      <c r="R38" s="44"/>
      <c r="S38" s="11"/>
      <c r="T38" s="46"/>
      <c r="U38" s="46"/>
      <c r="V38" s="46"/>
      <c r="W38" s="46"/>
      <c r="X38" s="46"/>
      <c r="Y38" s="46"/>
      <c r="Z38" s="46"/>
      <c r="AA38" s="11"/>
      <c r="AB38" s="11"/>
      <c r="AC38" s="11"/>
      <c r="AD38" s="11"/>
      <c r="AE38" s="11"/>
      <c r="AF38" s="11"/>
      <c r="AG38" s="11"/>
      <c r="AH38" s="11"/>
      <c r="AI38" s="11"/>
      <c r="AJ38" s="11"/>
    </row>
    <row r="39" ht="13.5" customHeight="1">
      <c r="A39" s="11"/>
      <c r="B39" s="49" t="s">
        <v>79</v>
      </c>
      <c r="C39" s="56" t="s">
        <v>57</v>
      </c>
      <c r="D39" s="49" t="s">
        <v>79</v>
      </c>
      <c r="E39" s="47" t="s">
        <v>73</v>
      </c>
      <c r="F39" s="49" t="s">
        <v>79</v>
      </c>
      <c r="G39" s="31" t="s">
        <v>59</v>
      </c>
      <c r="H39" s="42" t="s">
        <v>125</v>
      </c>
      <c r="I39" s="42"/>
      <c r="J39" s="53"/>
      <c r="K39" s="53"/>
      <c r="L39" s="52" t="s">
        <v>79</v>
      </c>
      <c r="M39" s="53"/>
      <c r="N39" s="11"/>
      <c r="O39" s="44"/>
      <c r="P39" s="44"/>
      <c r="Q39" s="44"/>
      <c r="R39" s="44"/>
      <c r="S39" s="11"/>
      <c r="T39" s="46"/>
      <c r="U39" s="46"/>
      <c r="V39" s="46"/>
      <c r="W39" s="46"/>
      <c r="X39" s="46"/>
      <c r="Y39" s="46"/>
      <c r="Z39" s="46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 ht="13.5" customHeight="1">
      <c r="A40" s="11"/>
      <c r="B40" s="49"/>
      <c r="C40" s="49"/>
      <c r="D40" s="49"/>
      <c r="E40" s="49"/>
      <c r="F40" s="49"/>
      <c r="G40" s="49"/>
      <c r="H40" s="61" t="s">
        <v>126</v>
      </c>
      <c r="I40" s="62"/>
      <c r="J40" s="62"/>
      <c r="K40" s="62"/>
      <c r="L40" s="62"/>
      <c r="M40" s="62"/>
      <c r="N40" s="11"/>
      <c r="O40" s="44"/>
      <c r="P40" s="44"/>
      <c r="Q40" s="44"/>
      <c r="R40" s="44"/>
      <c r="S40" s="11"/>
      <c r="T40" s="46"/>
      <c r="U40" s="46"/>
      <c r="V40" s="46"/>
      <c r="W40" s="46"/>
      <c r="X40" s="46"/>
      <c r="Y40" s="46"/>
      <c r="Z40" s="46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 ht="13.5" customHeight="1">
      <c r="A41" s="11"/>
      <c r="B41" s="56" t="s">
        <v>57</v>
      </c>
      <c r="C41" s="56" t="s">
        <v>57</v>
      </c>
      <c r="D41" s="47" t="s">
        <v>73</v>
      </c>
      <c r="E41" s="47" t="s">
        <v>73</v>
      </c>
      <c r="F41" s="31" t="s">
        <v>59</v>
      </c>
      <c r="G41" s="31" t="s">
        <v>59</v>
      </c>
      <c r="H41" s="41" t="s">
        <v>127</v>
      </c>
      <c r="I41" s="63"/>
      <c r="J41" s="41" t="s">
        <v>86</v>
      </c>
      <c r="K41" s="41" t="s">
        <v>103</v>
      </c>
      <c r="L41" s="41" t="s">
        <v>103</v>
      </c>
      <c r="M41" s="53"/>
      <c r="N41" s="11"/>
      <c r="O41" s="44"/>
      <c r="P41" s="44"/>
      <c r="Q41" s="44"/>
      <c r="R41" s="44"/>
      <c r="S41" s="11"/>
      <c r="T41" s="46"/>
      <c r="U41" s="46"/>
      <c r="V41" s="46"/>
      <c r="W41" s="46"/>
      <c r="X41" s="46"/>
      <c r="Y41" s="46"/>
      <c r="Z41" s="46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 ht="13.5" customHeight="1">
      <c r="A42" s="11"/>
      <c r="B42" s="56" t="s">
        <v>57</v>
      </c>
      <c r="C42" s="56" t="s">
        <v>57</v>
      </c>
      <c r="D42" s="47" t="s">
        <v>73</v>
      </c>
      <c r="E42" s="47" t="s">
        <v>73</v>
      </c>
      <c r="F42" s="31" t="s">
        <v>59</v>
      </c>
      <c r="G42" s="31" t="s">
        <v>59</v>
      </c>
      <c r="H42" s="41" t="s">
        <v>128</v>
      </c>
      <c r="I42" s="63"/>
      <c r="J42" s="41" t="s">
        <v>86</v>
      </c>
      <c r="K42" s="41" t="s">
        <v>129</v>
      </c>
      <c r="L42" s="41" t="s">
        <v>129</v>
      </c>
      <c r="M42" s="53"/>
      <c r="N42" s="11"/>
      <c r="O42" s="44"/>
      <c r="P42" s="44"/>
      <c r="Q42" s="44"/>
      <c r="R42" s="44"/>
      <c r="S42" s="11"/>
      <c r="T42" s="46"/>
      <c r="U42" s="46"/>
      <c r="V42" s="46"/>
      <c r="W42" s="46"/>
      <c r="X42" s="46"/>
      <c r="Y42" s="46"/>
      <c r="Z42" s="46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ht="13.5" customHeight="1">
      <c r="A43" s="11"/>
      <c r="B43" s="56" t="s">
        <v>57</v>
      </c>
      <c r="C43" s="56" t="s">
        <v>57</v>
      </c>
      <c r="D43" s="47" t="s">
        <v>73</v>
      </c>
      <c r="E43" s="47" t="s">
        <v>73</v>
      </c>
      <c r="F43" s="31" t="s">
        <v>59</v>
      </c>
      <c r="G43" s="31" t="s">
        <v>59</v>
      </c>
      <c r="H43" s="60" t="s">
        <v>130</v>
      </c>
      <c r="I43" s="53"/>
      <c r="J43" s="53"/>
      <c r="K43" s="53"/>
      <c r="L43" s="41" t="s">
        <v>131</v>
      </c>
      <c r="M43" s="53"/>
      <c r="N43" s="11"/>
      <c r="O43" s="44"/>
      <c r="P43" s="44"/>
      <c r="Q43" s="44"/>
      <c r="R43" s="44"/>
      <c r="S43" s="11"/>
      <c r="T43" s="46"/>
      <c r="U43" s="46"/>
      <c r="V43" s="46"/>
      <c r="W43" s="46"/>
      <c r="X43" s="46"/>
      <c r="Y43" s="46"/>
      <c r="Z43" s="46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 ht="13.5" customHeight="1">
      <c r="A44" s="11"/>
      <c r="B44" s="49"/>
      <c r="C44" s="49"/>
      <c r="D44" s="49"/>
      <c r="E44" s="49"/>
      <c r="F44" s="49"/>
      <c r="G44" s="49"/>
      <c r="H44" s="61" t="s">
        <v>132</v>
      </c>
      <c r="I44" s="62"/>
      <c r="J44" s="62"/>
      <c r="K44" s="62"/>
      <c r="L44" s="62"/>
      <c r="M44" s="62"/>
      <c r="N44" s="11"/>
      <c r="O44" s="44"/>
      <c r="P44" s="44"/>
      <c r="Q44" s="44"/>
      <c r="R44" s="44"/>
      <c r="S44" s="11"/>
      <c r="T44" s="46"/>
      <c r="U44" s="46"/>
      <c r="V44" s="46"/>
      <c r="W44" s="46"/>
      <c r="X44" s="46"/>
      <c r="Y44" s="46"/>
      <c r="Z44" s="46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ht="13.5" customHeight="1">
      <c r="A45" s="11"/>
      <c r="B45" s="56" t="s">
        <v>57</v>
      </c>
      <c r="C45" s="56" t="s">
        <v>57</v>
      </c>
      <c r="D45" s="47" t="s">
        <v>73</v>
      </c>
      <c r="E45" s="47" t="s">
        <v>73</v>
      </c>
      <c r="F45" s="31" t="s">
        <v>59</v>
      </c>
      <c r="G45" s="31" t="s">
        <v>59</v>
      </c>
      <c r="H45" s="60" t="s">
        <v>133</v>
      </c>
      <c r="I45" s="53"/>
      <c r="J45" s="53"/>
      <c r="K45" s="53"/>
      <c r="L45" s="41" t="s">
        <v>134</v>
      </c>
      <c r="M45" s="53"/>
      <c r="N45" s="11"/>
      <c r="O45" s="44"/>
      <c r="P45" s="44"/>
      <c r="Q45" s="44"/>
      <c r="R45" s="44"/>
      <c r="S45" s="11"/>
      <c r="T45" s="46"/>
      <c r="U45" s="46"/>
      <c r="V45" s="46"/>
      <c r="W45" s="46"/>
      <c r="X45" s="46"/>
      <c r="Y45" s="46"/>
      <c r="Z45" s="46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 ht="13.5" customHeight="1">
      <c r="A46" s="11"/>
      <c r="B46" s="49"/>
      <c r="C46" s="49"/>
      <c r="D46" s="49"/>
      <c r="E46" s="49"/>
      <c r="F46" s="49"/>
      <c r="G46" s="49"/>
      <c r="H46" s="54" t="s">
        <v>135</v>
      </c>
      <c r="I46" s="55"/>
      <c r="J46" s="55"/>
      <c r="K46" s="55"/>
      <c r="L46" s="55"/>
      <c r="M46" s="55"/>
      <c r="N46" s="11"/>
      <c r="O46" s="44"/>
      <c r="P46" s="44"/>
      <c r="Q46" s="44"/>
      <c r="R46" s="44"/>
      <c r="S46" s="11"/>
      <c r="T46" s="46"/>
      <c r="U46" s="46"/>
      <c r="V46" s="46"/>
      <c r="W46" s="46"/>
      <c r="X46" s="46"/>
      <c r="Y46" s="46"/>
      <c r="Z46" s="46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ht="13.5" customHeight="1">
      <c r="A47" s="11"/>
      <c r="B47" s="49" t="s">
        <v>79</v>
      </c>
      <c r="C47" s="56" t="s">
        <v>57</v>
      </c>
      <c r="D47" s="49" t="s">
        <v>79</v>
      </c>
      <c r="E47" s="47" t="s">
        <v>73</v>
      </c>
      <c r="F47" s="49" t="s">
        <v>79</v>
      </c>
      <c r="G47" s="31" t="s">
        <v>59</v>
      </c>
      <c r="H47" s="60" t="s">
        <v>136</v>
      </c>
      <c r="I47" s="53"/>
      <c r="J47" s="53"/>
      <c r="K47" s="53"/>
      <c r="L47" s="53"/>
      <c r="M47" s="41" t="s">
        <v>137</v>
      </c>
      <c r="N47" s="11"/>
      <c r="O47" s="44"/>
      <c r="P47" s="44"/>
      <c r="Q47" s="44"/>
      <c r="R47" s="44"/>
      <c r="S47" s="11"/>
      <c r="T47" s="46"/>
      <c r="U47" s="46"/>
      <c r="V47" s="46"/>
      <c r="W47" s="46"/>
      <c r="X47" s="46"/>
      <c r="Y47" s="46"/>
      <c r="Z47" s="46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ht="13.5" customHeight="1">
      <c r="A48" s="11"/>
      <c r="B48" s="56" t="s">
        <v>57</v>
      </c>
      <c r="C48" s="56" t="s">
        <v>57</v>
      </c>
      <c r="D48" s="47" t="s">
        <v>73</v>
      </c>
      <c r="E48" s="47" t="s">
        <v>73</v>
      </c>
      <c r="F48" s="31" t="s">
        <v>59</v>
      </c>
      <c r="G48" s="31" t="s">
        <v>59</v>
      </c>
      <c r="H48" s="41" t="s">
        <v>138</v>
      </c>
      <c r="I48" s="63"/>
      <c r="J48" s="41" t="s">
        <v>86</v>
      </c>
      <c r="K48" s="41" t="s">
        <v>137</v>
      </c>
      <c r="L48" s="41" t="s">
        <v>137</v>
      </c>
      <c r="M48" s="41" t="s">
        <v>137</v>
      </c>
      <c r="N48" s="11"/>
      <c r="O48" s="44"/>
      <c r="P48" s="44"/>
      <c r="Q48" s="44"/>
      <c r="R48" s="44"/>
      <c r="S48" s="11"/>
      <c r="T48" s="46"/>
      <c r="U48" s="46"/>
      <c r="V48" s="46"/>
      <c r="W48" s="46"/>
      <c r="X48" s="46"/>
      <c r="Y48" s="46"/>
      <c r="Z48" s="46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  <row r="49" ht="13.5" customHeight="1">
      <c r="A49" s="11"/>
      <c r="B49" s="56" t="s">
        <v>57</v>
      </c>
      <c r="C49" s="56" t="s">
        <v>57</v>
      </c>
      <c r="D49" s="47" t="s">
        <v>73</v>
      </c>
      <c r="E49" s="47" t="s">
        <v>73</v>
      </c>
      <c r="F49" s="31" t="s">
        <v>59</v>
      </c>
      <c r="G49" s="31" t="s">
        <v>59</v>
      </c>
      <c r="H49" s="60" t="s">
        <v>139</v>
      </c>
      <c r="I49" s="53"/>
      <c r="J49" s="41" t="s">
        <v>86</v>
      </c>
      <c r="K49" s="41" t="s">
        <v>137</v>
      </c>
      <c r="L49" s="41" t="s">
        <v>137</v>
      </c>
      <c r="M49" s="41" t="s">
        <v>137</v>
      </c>
      <c r="N49" s="11"/>
      <c r="O49" s="44"/>
      <c r="P49" s="44"/>
      <c r="Q49" s="44"/>
      <c r="R49" s="44"/>
      <c r="S49" s="11"/>
      <c r="T49" s="46"/>
      <c r="U49" s="46"/>
      <c r="V49" s="46"/>
      <c r="W49" s="46"/>
      <c r="X49" s="46"/>
      <c r="Y49" s="46"/>
      <c r="Z49" s="46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 ht="13.5" customHeight="1">
      <c r="A50" s="11"/>
      <c r="B50" s="49" t="s">
        <v>79</v>
      </c>
      <c r="C50" s="56" t="s">
        <v>57</v>
      </c>
      <c r="D50" s="49" t="s">
        <v>79</v>
      </c>
      <c r="E50" s="47" t="s">
        <v>73</v>
      </c>
      <c r="F50" s="49" t="s">
        <v>79</v>
      </c>
      <c r="G50" s="31" t="s">
        <v>59</v>
      </c>
      <c r="H50" s="60" t="s">
        <v>140</v>
      </c>
      <c r="I50" s="53"/>
      <c r="J50" s="53"/>
      <c r="K50" s="53"/>
      <c r="L50" s="53"/>
      <c r="M50" s="41" t="s">
        <v>141</v>
      </c>
      <c r="N50" s="11"/>
      <c r="O50" s="44"/>
      <c r="P50" s="44"/>
      <c r="Q50" s="44"/>
      <c r="R50" s="44"/>
      <c r="S50" s="11"/>
      <c r="T50" s="46"/>
      <c r="U50" s="46"/>
      <c r="V50" s="46"/>
      <c r="W50" s="46"/>
      <c r="X50" s="46"/>
      <c r="Y50" s="46"/>
      <c r="Z50" s="46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 ht="13.5" customHeight="1">
      <c r="A51" s="11"/>
      <c r="B51" s="56" t="s">
        <v>57</v>
      </c>
      <c r="C51" s="56" t="s">
        <v>57</v>
      </c>
      <c r="D51" s="47" t="s">
        <v>73</v>
      </c>
      <c r="E51" s="47" t="s">
        <v>73</v>
      </c>
      <c r="F51" s="31" t="s">
        <v>59</v>
      </c>
      <c r="G51" s="31" t="s">
        <v>59</v>
      </c>
      <c r="H51" s="60" t="s">
        <v>142</v>
      </c>
      <c r="I51" s="53"/>
      <c r="J51" s="41" t="s">
        <v>86</v>
      </c>
      <c r="K51" s="41" t="s">
        <v>137</v>
      </c>
      <c r="L51" s="41" t="s">
        <v>137</v>
      </c>
      <c r="M51" s="41" t="s">
        <v>137</v>
      </c>
      <c r="N51" s="11"/>
      <c r="O51" s="44"/>
      <c r="P51" s="44"/>
      <c r="Q51" s="44"/>
      <c r="R51" s="44"/>
      <c r="S51" s="11"/>
      <c r="T51" s="46"/>
      <c r="U51" s="46"/>
      <c r="V51" s="46"/>
      <c r="W51" s="46"/>
      <c r="X51" s="46"/>
      <c r="Y51" s="46"/>
      <c r="Z51" s="46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ht="13.5" customHeight="1">
      <c r="A52" s="11"/>
      <c r="B52" s="49" t="s">
        <v>79</v>
      </c>
      <c r="C52" s="56" t="s">
        <v>57</v>
      </c>
      <c r="D52" s="49" t="s">
        <v>79</v>
      </c>
      <c r="E52" s="47" t="s">
        <v>73</v>
      </c>
      <c r="F52" s="49" t="s">
        <v>79</v>
      </c>
      <c r="G52" s="31" t="s">
        <v>59</v>
      </c>
      <c r="H52" s="60" t="s">
        <v>143</v>
      </c>
      <c r="I52" s="53"/>
      <c r="J52" s="53"/>
      <c r="K52" s="53"/>
      <c r="L52" s="53"/>
      <c r="M52" s="41" t="s">
        <v>144</v>
      </c>
      <c r="N52" s="11"/>
      <c r="O52" s="44"/>
      <c r="P52" s="44"/>
      <c r="Q52" s="44"/>
      <c r="R52" s="44"/>
      <c r="S52" s="11"/>
      <c r="T52" s="46"/>
      <c r="U52" s="46"/>
      <c r="V52" s="46"/>
      <c r="W52" s="46"/>
      <c r="X52" s="46"/>
      <c r="Y52" s="46"/>
      <c r="Z52" s="46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 ht="13.5" customHeight="1">
      <c r="A53" s="11"/>
      <c r="B53" s="56" t="s">
        <v>57</v>
      </c>
      <c r="C53" s="56" t="s">
        <v>57</v>
      </c>
      <c r="D53" s="47" t="s">
        <v>73</v>
      </c>
      <c r="E53" s="47" t="s">
        <v>73</v>
      </c>
      <c r="F53" s="31" t="s">
        <v>59</v>
      </c>
      <c r="G53" s="31" t="s">
        <v>59</v>
      </c>
      <c r="H53" s="41" t="s">
        <v>145</v>
      </c>
      <c r="I53" s="53"/>
      <c r="J53" s="41" t="s">
        <v>86</v>
      </c>
      <c r="K53" s="41" t="s">
        <v>87</v>
      </c>
      <c r="L53" s="41" t="s">
        <v>87</v>
      </c>
      <c r="M53" s="41" t="s">
        <v>87</v>
      </c>
      <c r="N53" s="11"/>
      <c r="O53" s="44"/>
      <c r="P53" s="44"/>
      <c r="Q53" s="44"/>
      <c r="R53" s="44"/>
      <c r="S53" s="11"/>
      <c r="T53" s="46"/>
      <c r="U53" s="46"/>
      <c r="V53" s="46"/>
      <c r="W53" s="46"/>
      <c r="X53" s="46"/>
      <c r="Y53" s="46"/>
      <c r="Z53" s="46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ht="13.5" customHeight="1">
      <c r="A54" s="11"/>
      <c r="B54" s="49" t="s">
        <v>79</v>
      </c>
      <c r="C54" s="56" t="s">
        <v>57</v>
      </c>
      <c r="D54" s="49" t="s">
        <v>79</v>
      </c>
      <c r="E54" s="47" t="s">
        <v>73</v>
      </c>
      <c r="F54" s="49" t="s">
        <v>79</v>
      </c>
      <c r="G54" s="31" t="s">
        <v>59</v>
      </c>
      <c r="H54" s="41" t="s">
        <v>146</v>
      </c>
      <c r="I54" s="53"/>
      <c r="J54" s="53"/>
      <c r="K54" s="53"/>
      <c r="L54" s="64" t="s">
        <v>147</v>
      </c>
      <c r="M54" s="41" t="s">
        <v>87</v>
      </c>
      <c r="N54" s="11"/>
      <c r="O54" s="46"/>
      <c r="P54" s="46"/>
      <c r="Q54" s="46"/>
      <c r="R54" s="46"/>
      <c r="S54" s="11"/>
      <c r="T54" s="46"/>
      <c r="U54" s="46"/>
      <c r="V54" s="46"/>
      <c r="W54" s="46"/>
      <c r="X54" s="46"/>
      <c r="Y54" s="46"/>
      <c r="Z54" s="46"/>
      <c r="AA54" s="11"/>
      <c r="AB54" s="11"/>
      <c r="AC54" s="11"/>
      <c r="AD54" s="11"/>
      <c r="AE54" s="11"/>
      <c r="AF54" s="11"/>
      <c r="AG54" s="11"/>
      <c r="AH54" s="11"/>
      <c r="AI54" s="11"/>
      <c r="AJ54" s="53"/>
    </row>
    <row r="55" ht="13.5" customHeight="1">
      <c r="A55" s="11"/>
      <c r="B55" s="49" t="s">
        <v>79</v>
      </c>
      <c r="C55" s="56" t="s">
        <v>57</v>
      </c>
      <c r="D55" s="49" t="s">
        <v>79</v>
      </c>
      <c r="E55" s="47" t="s">
        <v>73</v>
      </c>
      <c r="F55" s="49" t="s">
        <v>79</v>
      </c>
      <c r="G55" s="31" t="s">
        <v>59</v>
      </c>
      <c r="H55" s="41" t="s">
        <v>148</v>
      </c>
      <c r="I55" s="59" t="s">
        <v>149</v>
      </c>
      <c r="J55" s="53"/>
      <c r="K55" s="53"/>
      <c r="L55" s="64" t="s">
        <v>147</v>
      </c>
      <c r="M55" s="41"/>
      <c r="N55" s="11"/>
      <c r="O55" s="46"/>
      <c r="P55" s="48">
        <v>641856.0</v>
      </c>
      <c r="Q55" s="65">
        <f t="shared" ref="Q55:Q56" si="3">P55*2%</f>
        <v>12837.12</v>
      </c>
      <c r="R55" s="65">
        <f t="shared" ref="R55:R56" si="4">P55-Q55</f>
        <v>629018.88</v>
      </c>
      <c r="S55" s="11"/>
      <c r="T55" s="38" t="s">
        <v>150</v>
      </c>
      <c r="U55" s="11"/>
      <c r="V55" s="58">
        <v>46071.0</v>
      </c>
      <c r="W55" s="40">
        <v>629019.0</v>
      </c>
      <c r="X55" s="38" t="s">
        <v>151</v>
      </c>
      <c r="Y55" s="38" t="s">
        <v>63</v>
      </c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 ht="13.5" customHeight="1">
      <c r="A56" s="11"/>
      <c r="B56" s="49" t="s">
        <v>79</v>
      </c>
      <c r="C56" s="56" t="s">
        <v>57</v>
      </c>
      <c r="D56" s="49" t="s">
        <v>79</v>
      </c>
      <c r="E56" s="47" t="s">
        <v>73</v>
      </c>
      <c r="F56" s="49" t="s">
        <v>79</v>
      </c>
      <c r="G56" s="31" t="s">
        <v>59</v>
      </c>
      <c r="H56" s="59" t="s">
        <v>152</v>
      </c>
      <c r="I56" s="59" t="s">
        <v>149</v>
      </c>
      <c r="J56" s="42"/>
      <c r="K56" s="42"/>
      <c r="L56" s="52" t="s">
        <v>79</v>
      </c>
      <c r="M56" s="42"/>
      <c r="N56" s="11"/>
      <c r="O56" s="46"/>
      <c r="P56" s="48">
        <v>2198298.0</v>
      </c>
      <c r="Q56" s="65">
        <f t="shared" si="3"/>
        <v>43965.96</v>
      </c>
      <c r="R56" s="65">
        <f t="shared" si="4"/>
        <v>2154332.04</v>
      </c>
      <c r="S56" s="11"/>
      <c r="T56" s="38" t="s">
        <v>150</v>
      </c>
      <c r="U56" s="11"/>
      <c r="V56" s="58">
        <v>46069.0</v>
      </c>
      <c r="W56" s="40">
        <v>2070100.0</v>
      </c>
      <c r="X56" s="38" t="s">
        <v>89</v>
      </c>
      <c r="Y56" s="38" t="s">
        <v>63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</row>
    <row r="57" ht="13.5" customHeight="1">
      <c r="A57" s="11"/>
      <c r="B57" s="49" t="s">
        <v>79</v>
      </c>
      <c r="C57" s="56" t="s">
        <v>57</v>
      </c>
      <c r="D57" s="49" t="s">
        <v>79</v>
      </c>
      <c r="E57" s="47" t="s">
        <v>73</v>
      </c>
      <c r="F57" s="49" t="s">
        <v>79</v>
      </c>
      <c r="G57" s="31" t="s">
        <v>59</v>
      </c>
      <c r="H57" s="41" t="s">
        <v>153</v>
      </c>
      <c r="I57" s="66" t="s">
        <v>149</v>
      </c>
      <c r="J57" s="53"/>
      <c r="K57" s="53"/>
      <c r="L57" s="52" t="s">
        <v>79</v>
      </c>
      <c r="M57" s="53"/>
      <c r="N57" s="11"/>
      <c r="O57" s="46"/>
      <c r="P57" s="46"/>
      <c r="Q57" s="46"/>
      <c r="R57" s="46"/>
      <c r="S57" s="11"/>
      <c r="T57" s="38" t="s">
        <v>150</v>
      </c>
      <c r="U57" s="11"/>
      <c r="V57" s="58">
        <v>46071.0</v>
      </c>
      <c r="W57" s="40">
        <v>84232.0</v>
      </c>
      <c r="X57" s="38" t="s">
        <v>151</v>
      </c>
      <c r="Y57" s="38" t="s">
        <v>63</v>
      </c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 ht="13.5" customHeight="1">
      <c r="A58" s="11"/>
      <c r="B58" s="56" t="s">
        <v>57</v>
      </c>
      <c r="C58" s="56" t="s">
        <v>57</v>
      </c>
      <c r="D58" s="47" t="s">
        <v>73</v>
      </c>
      <c r="E58" s="47" t="s">
        <v>73</v>
      </c>
      <c r="F58" s="31" t="s">
        <v>59</v>
      </c>
      <c r="G58" s="31" t="s">
        <v>59</v>
      </c>
      <c r="H58" s="42" t="s">
        <v>154</v>
      </c>
      <c r="I58" s="59" t="s">
        <v>149</v>
      </c>
      <c r="J58" s="62"/>
      <c r="K58" s="62"/>
      <c r="L58" s="64" t="s">
        <v>147</v>
      </c>
      <c r="M58" s="62"/>
      <c r="N58" s="11"/>
      <c r="O58" s="65">
        <v>1739367.0</v>
      </c>
      <c r="P58" s="46"/>
      <c r="Q58" s="65">
        <f>O58*2%</f>
        <v>34787.34</v>
      </c>
      <c r="R58" s="65">
        <f>O58-Q58</f>
        <v>1704579.66</v>
      </c>
      <c r="S58" s="11"/>
      <c r="T58" s="38" t="s">
        <v>150</v>
      </c>
      <c r="U58" s="11"/>
      <c r="V58" s="58">
        <v>46069.0</v>
      </c>
      <c r="W58" s="40">
        <v>1204580.0</v>
      </c>
      <c r="X58" s="38" t="s">
        <v>89</v>
      </c>
      <c r="Y58" s="38" t="s">
        <v>63</v>
      </c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</row>
    <row r="59" ht="13.5" customHeight="1">
      <c r="A59" s="11"/>
      <c r="B59" s="49" t="s">
        <v>79</v>
      </c>
      <c r="C59" s="56" t="s">
        <v>57</v>
      </c>
      <c r="D59" s="49" t="s">
        <v>79</v>
      </c>
      <c r="E59" s="47" t="s">
        <v>73</v>
      </c>
      <c r="F59" s="49" t="s">
        <v>79</v>
      </c>
      <c r="G59" s="31" t="s">
        <v>59</v>
      </c>
      <c r="H59" s="34" t="s">
        <v>155</v>
      </c>
      <c r="I59" s="66" t="s">
        <v>149</v>
      </c>
      <c r="J59" s="53"/>
      <c r="K59" s="53"/>
      <c r="L59" s="64" t="s">
        <v>147</v>
      </c>
      <c r="M59" s="67" t="s">
        <v>156</v>
      </c>
      <c r="N59" s="11"/>
      <c r="O59" s="46"/>
      <c r="P59" s="46"/>
      <c r="Q59" s="46"/>
      <c r="R59" s="46"/>
      <c r="S59" s="11"/>
      <c r="T59" s="38" t="s">
        <v>150</v>
      </c>
      <c r="U59" s="11"/>
      <c r="V59" s="58">
        <v>46069.0</v>
      </c>
      <c r="W59" s="40">
        <v>500000.0</v>
      </c>
      <c r="X59" s="38" t="s">
        <v>151</v>
      </c>
      <c r="Y59" s="38" t="s">
        <v>63</v>
      </c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</row>
    <row r="60" ht="13.5" customHeight="1">
      <c r="A60" s="11"/>
      <c r="B60" s="56" t="s">
        <v>57</v>
      </c>
      <c r="C60" s="56" t="s">
        <v>57</v>
      </c>
      <c r="D60" s="47" t="s">
        <v>73</v>
      </c>
      <c r="E60" s="47" t="s">
        <v>73</v>
      </c>
      <c r="F60" s="31" t="s">
        <v>59</v>
      </c>
      <c r="G60" s="31" t="s">
        <v>59</v>
      </c>
      <c r="H60" s="34" t="s">
        <v>157</v>
      </c>
      <c r="I60" s="66" t="s">
        <v>149</v>
      </c>
      <c r="J60" s="53"/>
      <c r="K60" s="53"/>
      <c r="L60" s="67" t="s">
        <v>158</v>
      </c>
      <c r="M60" s="34">
        <v>0.0</v>
      </c>
      <c r="N60" s="11"/>
      <c r="O60" s="46" t="s">
        <v>159</v>
      </c>
      <c r="P60" s="46"/>
      <c r="Q60" s="46"/>
      <c r="R60" s="46"/>
      <c r="S60" s="11"/>
      <c r="T60" s="46"/>
      <c r="U60" s="46"/>
      <c r="V60" s="46"/>
      <c r="W60" s="46"/>
      <c r="X60" s="46"/>
      <c r="Y60" s="46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</row>
    <row r="61" ht="13.5" customHeight="1">
      <c r="A61" s="11"/>
      <c r="B61" s="49" t="s">
        <v>79</v>
      </c>
      <c r="C61" s="56" t="s">
        <v>57</v>
      </c>
      <c r="D61" s="49" t="s">
        <v>79</v>
      </c>
      <c r="E61" s="47" t="s">
        <v>73</v>
      </c>
      <c r="F61" s="49" t="s">
        <v>79</v>
      </c>
      <c r="G61" s="31" t="s">
        <v>59</v>
      </c>
      <c r="H61" s="68" t="s">
        <v>160</v>
      </c>
      <c r="I61" s="59" t="s">
        <v>149</v>
      </c>
      <c r="J61" s="62"/>
      <c r="K61" s="62"/>
      <c r="L61" s="64" t="s">
        <v>147</v>
      </c>
      <c r="M61" s="62"/>
      <c r="N61" s="11"/>
      <c r="O61" s="46"/>
      <c r="P61" s="46"/>
      <c r="Q61" s="46"/>
      <c r="R61" s="46"/>
      <c r="S61" s="11"/>
      <c r="T61" s="46"/>
      <c r="U61" s="46"/>
      <c r="V61" s="46"/>
      <c r="W61" s="46"/>
      <c r="X61" s="46"/>
      <c r="Y61" s="46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</row>
    <row r="62" ht="13.5" customHeight="1">
      <c r="A62" s="11"/>
      <c r="B62" s="49" t="s">
        <v>79</v>
      </c>
      <c r="C62" s="56" t="s">
        <v>57</v>
      </c>
      <c r="D62" s="49" t="s">
        <v>79</v>
      </c>
      <c r="E62" s="47" t="s">
        <v>73</v>
      </c>
      <c r="F62" s="49" t="s">
        <v>79</v>
      </c>
      <c r="G62" s="31" t="s">
        <v>59</v>
      </c>
      <c r="H62" s="34" t="s">
        <v>161</v>
      </c>
      <c r="I62" s="66" t="s">
        <v>149</v>
      </c>
      <c r="J62" s="53"/>
      <c r="K62" s="53"/>
      <c r="L62" s="64" t="s">
        <v>147</v>
      </c>
      <c r="M62" s="67" t="s">
        <v>162</v>
      </c>
      <c r="N62" s="11"/>
      <c r="O62" s="46"/>
      <c r="P62" s="46"/>
      <c r="Q62" s="46"/>
      <c r="R62" s="46"/>
      <c r="S62" s="11"/>
      <c r="T62" s="46"/>
      <c r="U62" s="46"/>
      <c r="V62" s="46"/>
      <c r="W62" s="46"/>
      <c r="X62" s="46"/>
      <c r="Y62" s="46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</row>
    <row r="63" ht="13.5" customHeight="1">
      <c r="A63" s="11"/>
      <c r="B63" s="56" t="s">
        <v>57</v>
      </c>
      <c r="C63" s="56" t="s">
        <v>57</v>
      </c>
      <c r="D63" s="47" t="s">
        <v>73</v>
      </c>
      <c r="E63" s="47" t="s">
        <v>73</v>
      </c>
      <c r="F63" s="31" t="s">
        <v>59</v>
      </c>
      <c r="G63" s="31" t="s">
        <v>59</v>
      </c>
      <c r="H63" s="34" t="s">
        <v>163</v>
      </c>
      <c r="I63" s="66" t="s">
        <v>149</v>
      </c>
      <c r="J63" s="53"/>
      <c r="K63" s="53"/>
      <c r="L63" s="67" t="s">
        <v>164</v>
      </c>
      <c r="M63" s="67" t="s">
        <v>164</v>
      </c>
      <c r="N63" s="11"/>
      <c r="O63" s="46" t="s">
        <v>159</v>
      </c>
      <c r="P63" s="46"/>
      <c r="Q63" s="46"/>
      <c r="R63" s="46"/>
      <c r="T63" s="69"/>
      <c r="U63" s="70"/>
      <c r="V63" s="71"/>
      <c r="W63" s="46"/>
      <c r="X63" s="46"/>
      <c r="Y63" s="46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</row>
    <row r="64" ht="30.75" customHeight="1">
      <c r="A64" s="11"/>
      <c r="B64" s="56" t="s">
        <v>57</v>
      </c>
      <c r="C64" s="72" t="s">
        <v>165</v>
      </c>
      <c r="D64" s="47" t="s">
        <v>73</v>
      </c>
      <c r="E64" s="72"/>
      <c r="F64" s="31" t="s">
        <v>59</v>
      </c>
      <c r="G64" s="72" t="s">
        <v>165</v>
      </c>
      <c r="H64" s="34" t="s">
        <v>166</v>
      </c>
      <c r="I64" s="66" t="s">
        <v>149</v>
      </c>
      <c r="J64" s="53"/>
      <c r="K64" s="53"/>
      <c r="L64" s="41" t="s">
        <v>167</v>
      </c>
      <c r="M64" s="41" t="s">
        <v>167</v>
      </c>
      <c r="N64" s="11"/>
      <c r="O64" s="46" t="s">
        <v>159</v>
      </c>
      <c r="P64" s="46"/>
      <c r="Q64" s="46"/>
      <c r="R64" s="46"/>
      <c r="T64" s="43"/>
      <c r="U64" s="46"/>
      <c r="V64" s="46"/>
      <c r="W64" s="46"/>
      <c r="X64" s="73"/>
      <c r="Y64" s="46"/>
      <c r="AB64" s="11"/>
      <c r="AC64" s="11"/>
      <c r="AD64" s="11"/>
      <c r="AE64" s="11"/>
      <c r="AF64" s="11"/>
      <c r="AG64" s="11"/>
      <c r="AH64" s="11"/>
      <c r="AI64" s="11"/>
      <c r="AJ64" s="11"/>
    </row>
    <row r="65" ht="27.0" customHeight="1">
      <c r="A65" s="11"/>
      <c r="B65" s="56" t="s">
        <v>57</v>
      </c>
      <c r="C65" s="56" t="s">
        <v>57</v>
      </c>
      <c r="D65" s="47" t="s">
        <v>73</v>
      </c>
      <c r="E65" s="47" t="s">
        <v>73</v>
      </c>
      <c r="F65" s="31" t="s">
        <v>59</v>
      </c>
      <c r="G65" s="31" t="s">
        <v>59</v>
      </c>
      <c r="H65" s="68" t="s">
        <v>168</v>
      </c>
      <c r="I65" s="59" t="s">
        <v>149</v>
      </c>
      <c r="J65" s="62"/>
      <c r="K65" s="62"/>
      <c r="L65" s="41" t="s">
        <v>169</v>
      </c>
      <c r="M65" s="62"/>
      <c r="N65" s="11"/>
      <c r="O65" s="46" t="s">
        <v>159</v>
      </c>
      <c r="P65" s="46"/>
      <c r="Q65" s="46"/>
      <c r="R65" s="46"/>
      <c r="T65" s="43"/>
      <c r="U65" s="46"/>
      <c r="V65" s="46"/>
      <c r="W65" s="46"/>
      <c r="X65" s="46"/>
      <c r="Y65" s="46"/>
      <c r="AB65" s="11"/>
      <c r="AC65" s="11"/>
      <c r="AD65" s="11"/>
      <c r="AE65" s="11"/>
      <c r="AF65" s="11"/>
      <c r="AG65" s="11"/>
      <c r="AH65" s="11"/>
      <c r="AI65" s="11"/>
      <c r="AJ65" s="11"/>
    </row>
    <row r="66" ht="13.5" customHeight="1">
      <c r="A66" s="11"/>
      <c r="B66" s="56" t="s">
        <v>57</v>
      </c>
      <c r="C66" s="56" t="s">
        <v>57</v>
      </c>
      <c r="D66" s="47" t="s">
        <v>73</v>
      </c>
      <c r="E66" s="47" t="s">
        <v>73</v>
      </c>
      <c r="F66" s="31" t="s">
        <v>59</v>
      </c>
      <c r="G66" s="31" t="s">
        <v>59</v>
      </c>
      <c r="H66" s="34" t="s">
        <v>170</v>
      </c>
      <c r="I66" s="66" t="s">
        <v>149</v>
      </c>
      <c r="J66" s="53"/>
      <c r="K66" s="53"/>
      <c r="L66" s="41" t="s">
        <v>171</v>
      </c>
      <c r="M66" s="74" t="s">
        <v>172</v>
      </c>
      <c r="N66" s="11"/>
      <c r="O66" s="46" t="s">
        <v>159</v>
      </c>
      <c r="P66" s="46"/>
      <c r="Q66" s="46"/>
      <c r="R66" s="46"/>
      <c r="S66" s="11"/>
      <c r="T66" s="43"/>
      <c r="U66" s="46"/>
      <c r="V66" s="46"/>
      <c r="W66" s="46"/>
      <c r="X66" s="46"/>
      <c r="Y66" s="46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</row>
    <row r="67" ht="13.5" customHeight="1">
      <c r="A67" s="11"/>
      <c r="B67" s="56" t="s">
        <v>57</v>
      </c>
      <c r="C67" s="56" t="s">
        <v>57</v>
      </c>
      <c r="D67" s="47" t="s">
        <v>73</v>
      </c>
      <c r="E67" s="47" t="s">
        <v>73</v>
      </c>
      <c r="F67" s="31" t="s">
        <v>59</v>
      </c>
      <c r="G67" s="31" t="s">
        <v>59</v>
      </c>
      <c r="H67" s="68" t="s">
        <v>173</v>
      </c>
      <c r="I67" s="59" t="s">
        <v>149</v>
      </c>
      <c r="J67" s="41" t="s">
        <v>86</v>
      </c>
      <c r="K67" s="41" t="s">
        <v>174</v>
      </c>
      <c r="L67" s="41" t="s">
        <v>174</v>
      </c>
      <c r="M67" s="62"/>
      <c r="N67" s="11"/>
      <c r="O67" s="46" t="s">
        <v>159</v>
      </c>
      <c r="P67" s="46"/>
      <c r="Q67" s="46"/>
      <c r="R67" s="46"/>
      <c r="S67" s="11"/>
      <c r="T67" s="43"/>
      <c r="U67" s="46"/>
      <c r="V67" s="46"/>
      <c r="W67" s="46"/>
      <c r="X67" s="46"/>
      <c r="Y67" s="46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</row>
    <row r="68" ht="13.5" customHeight="1">
      <c r="A68" s="11"/>
      <c r="B68" s="56" t="s">
        <v>57</v>
      </c>
      <c r="C68" s="49" t="s">
        <v>79</v>
      </c>
      <c r="D68" s="47" t="s">
        <v>73</v>
      </c>
      <c r="E68" s="49" t="s">
        <v>79</v>
      </c>
      <c r="F68" s="31" t="s">
        <v>59</v>
      </c>
      <c r="G68" s="49" t="s">
        <v>79</v>
      </c>
      <c r="H68" s="41" t="s">
        <v>175</v>
      </c>
      <c r="I68" s="75" t="s">
        <v>176</v>
      </c>
      <c r="J68" s="41" t="s">
        <v>86</v>
      </c>
      <c r="K68" s="41" t="s">
        <v>177</v>
      </c>
      <c r="L68" s="41" t="s">
        <v>177</v>
      </c>
      <c r="M68" s="53"/>
      <c r="N68" s="11"/>
      <c r="O68" s="46" t="s">
        <v>159</v>
      </c>
      <c r="P68" s="46"/>
      <c r="Q68" s="46"/>
      <c r="R68" s="46"/>
      <c r="S68" s="11"/>
      <c r="T68" s="43"/>
      <c r="U68" s="46"/>
      <c r="V68" s="46"/>
      <c r="W68" s="46"/>
      <c r="X68" s="46"/>
      <c r="Y68" s="46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 ht="13.5" customHeight="1">
      <c r="A69" s="11"/>
      <c r="B69" s="49" t="s">
        <v>79</v>
      </c>
      <c r="C69" s="56" t="s">
        <v>57</v>
      </c>
      <c r="D69" s="49" t="s">
        <v>79</v>
      </c>
      <c r="E69" s="47" t="s">
        <v>73</v>
      </c>
      <c r="F69" s="49" t="s">
        <v>79</v>
      </c>
      <c r="G69" s="31" t="s">
        <v>59</v>
      </c>
      <c r="H69" s="41" t="s">
        <v>178</v>
      </c>
      <c r="I69" s="66" t="s">
        <v>149</v>
      </c>
      <c r="J69" s="41" t="s">
        <v>86</v>
      </c>
      <c r="K69" s="41" t="s">
        <v>167</v>
      </c>
      <c r="L69" s="64" t="s">
        <v>147</v>
      </c>
      <c r="M69" s="41" t="s">
        <v>167</v>
      </c>
      <c r="N69" s="11"/>
      <c r="O69" s="46"/>
      <c r="P69" s="46"/>
      <c r="Q69" s="46"/>
      <c r="R69" s="46"/>
      <c r="S69" s="11"/>
      <c r="T69" s="46"/>
      <c r="U69" s="46"/>
      <c r="V69" s="46"/>
      <c r="W69" s="46"/>
      <c r="X69" s="46"/>
      <c r="Y69" s="46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</row>
    <row r="70" ht="36.0" customHeight="1">
      <c r="A70" s="11"/>
      <c r="B70" s="49"/>
      <c r="C70" s="49"/>
      <c r="D70" s="47" t="s">
        <v>179</v>
      </c>
      <c r="E70" s="47" t="s">
        <v>179</v>
      </c>
      <c r="F70" s="31" t="s">
        <v>59</v>
      </c>
      <c r="G70" s="31" t="s">
        <v>59</v>
      </c>
      <c r="H70" s="41" t="s">
        <v>180</v>
      </c>
      <c r="I70" s="34" t="s">
        <v>181</v>
      </c>
      <c r="J70" s="41" t="s">
        <v>182</v>
      </c>
      <c r="K70" s="41" t="s">
        <v>71</v>
      </c>
      <c r="L70" s="76">
        <v>64.0</v>
      </c>
      <c r="M70" s="76">
        <v>48.0</v>
      </c>
      <c r="N70" s="11"/>
      <c r="O70" s="48">
        <v>120000.0</v>
      </c>
      <c r="P70" s="46"/>
      <c r="Q70" s="48">
        <v>0.0</v>
      </c>
      <c r="R70" s="48">
        <v>120000.0</v>
      </c>
      <c r="S70" s="11"/>
      <c r="T70" s="34" t="s">
        <v>181</v>
      </c>
      <c r="U70" s="11"/>
      <c r="V70" s="58">
        <v>46077.0</v>
      </c>
      <c r="W70" s="40">
        <v>450000.0</v>
      </c>
      <c r="X70" s="77" t="s">
        <v>183</v>
      </c>
      <c r="Y70" s="38" t="s">
        <v>184</v>
      </c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</row>
    <row r="71" ht="13.5" customHeight="1">
      <c r="A71" s="11"/>
      <c r="B71" s="49"/>
      <c r="C71" s="49"/>
      <c r="D71" s="49"/>
      <c r="E71" s="49"/>
      <c r="F71" s="31" t="s">
        <v>59</v>
      </c>
      <c r="G71" s="31" t="s">
        <v>59</v>
      </c>
      <c r="H71" s="41" t="s">
        <v>185</v>
      </c>
      <c r="I71" s="34" t="s">
        <v>186</v>
      </c>
      <c r="J71" s="41" t="s">
        <v>86</v>
      </c>
      <c r="K71" s="41" t="s">
        <v>187</v>
      </c>
      <c r="L71" s="76">
        <v>63.0</v>
      </c>
      <c r="M71" s="76">
        <v>63.0</v>
      </c>
      <c r="N71" s="11"/>
      <c r="O71" s="48">
        <v>498000.0</v>
      </c>
      <c r="P71" s="46"/>
      <c r="Q71" s="48">
        <v>0.0</v>
      </c>
      <c r="R71" s="48">
        <v>498000.0</v>
      </c>
      <c r="S71" s="11"/>
      <c r="T71" s="46"/>
      <c r="U71" s="46"/>
      <c r="V71" s="46"/>
      <c r="W71" s="46"/>
      <c r="X71" s="46"/>
      <c r="Y71" s="46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</row>
    <row r="72" ht="13.5" customHeight="1">
      <c r="A72" s="11"/>
      <c r="B72" s="56" t="s">
        <v>57</v>
      </c>
      <c r="C72" s="56" t="s">
        <v>57</v>
      </c>
      <c r="D72" s="47" t="s">
        <v>188</v>
      </c>
      <c r="E72" s="47" t="s">
        <v>188</v>
      </c>
      <c r="F72" s="31" t="s">
        <v>59</v>
      </c>
      <c r="G72" s="31" t="s">
        <v>59</v>
      </c>
      <c r="H72" s="41" t="s">
        <v>189</v>
      </c>
      <c r="I72" s="34" t="s">
        <v>190</v>
      </c>
      <c r="J72" s="41" t="s">
        <v>86</v>
      </c>
      <c r="K72" s="41" t="s">
        <v>191</v>
      </c>
      <c r="L72" s="41" t="s">
        <v>191</v>
      </c>
      <c r="M72" s="41" t="s">
        <v>191</v>
      </c>
      <c r="N72" s="11"/>
      <c r="O72" s="65">
        <v>180000.0</v>
      </c>
      <c r="P72" s="65">
        <v>180000.0</v>
      </c>
      <c r="Q72" s="65">
        <f t="shared" ref="Q72:Q73" si="5">(O72+P72)*4%</f>
        <v>14400</v>
      </c>
      <c r="R72" s="65">
        <f t="shared" ref="R72:R73" si="6">(O72+P72)-Q72</f>
        <v>345600</v>
      </c>
      <c r="S72" s="11"/>
      <c r="T72" s="38" t="s">
        <v>192</v>
      </c>
      <c r="U72" s="11"/>
      <c r="V72" s="58">
        <v>46077.0</v>
      </c>
      <c r="W72" s="40">
        <v>345600.0</v>
      </c>
      <c r="X72" s="38" t="s">
        <v>193</v>
      </c>
      <c r="Y72" s="38" t="s">
        <v>63</v>
      </c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</row>
    <row r="73" ht="13.5" customHeight="1">
      <c r="A73" s="11"/>
      <c r="B73" s="56" t="s">
        <v>57</v>
      </c>
      <c r="C73" s="56" t="s">
        <v>57</v>
      </c>
      <c r="D73" s="47" t="s">
        <v>194</v>
      </c>
      <c r="E73" s="47" t="s">
        <v>194</v>
      </c>
      <c r="F73" s="31" t="s">
        <v>59</v>
      </c>
      <c r="G73" s="31" t="s">
        <v>59</v>
      </c>
      <c r="H73" s="41" t="s">
        <v>195</v>
      </c>
      <c r="I73" s="34" t="s">
        <v>196</v>
      </c>
      <c r="J73" s="41" t="s">
        <v>86</v>
      </c>
      <c r="K73" s="41" t="s">
        <v>174</v>
      </c>
      <c r="L73" s="41" t="s">
        <v>174</v>
      </c>
      <c r="M73" s="41" t="s">
        <v>174</v>
      </c>
      <c r="N73" s="11"/>
      <c r="O73" s="65">
        <v>270000.0</v>
      </c>
      <c r="P73" s="65">
        <v>270000.0</v>
      </c>
      <c r="Q73" s="65">
        <f t="shared" si="5"/>
        <v>21600</v>
      </c>
      <c r="R73" s="48">
        <f t="shared" si="6"/>
        <v>518400</v>
      </c>
      <c r="S73" s="11"/>
      <c r="T73" s="38" t="s">
        <v>197</v>
      </c>
      <c r="U73" s="11"/>
      <c r="V73" s="58">
        <v>46077.0</v>
      </c>
      <c r="W73" s="40">
        <v>518400.0</v>
      </c>
      <c r="X73" s="38" t="s">
        <v>193</v>
      </c>
      <c r="Y73" s="38" t="s">
        <v>63</v>
      </c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</row>
    <row r="74" ht="13.5" customHeight="1">
      <c r="A74" s="11"/>
      <c r="B74" s="49"/>
      <c r="C74" s="49"/>
      <c r="D74" s="49"/>
      <c r="E74" s="47" t="s">
        <v>179</v>
      </c>
      <c r="F74" s="49"/>
      <c r="G74" s="49"/>
      <c r="H74" s="41" t="s">
        <v>198</v>
      </c>
      <c r="I74" s="34" t="s">
        <v>181</v>
      </c>
      <c r="J74" s="11"/>
      <c r="K74" s="11"/>
      <c r="L74" s="78"/>
      <c r="M74" s="78"/>
      <c r="N74" s="11"/>
      <c r="O74" s="11"/>
      <c r="P74" s="11"/>
      <c r="Q74" s="11"/>
      <c r="R74" s="11"/>
      <c r="S74" s="11"/>
      <c r="T74" s="38" t="s">
        <v>199</v>
      </c>
      <c r="U74" s="11"/>
      <c r="V74" s="58">
        <v>46070.0</v>
      </c>
      <c r="W74" s="40">
        <v>200000.0</v>
      </c>
      <c r="X74" s="38" t="s">
        <v>89</v>
      </c>
      <c r="Y74" s="38" t="s">
        <v>63</v>
      </c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</row>
    <row r="75" ht="13.5" customHeight="1">
      <c r="A75" s="11"/>
      <c r="B75" s="11"/>
      <c r="C75" s="11"/>
      <c r="D75" s="11"/>
      <c r="E75" s="11"/>
      <c r="F75" s="11"/>
      <c r="G75" s="11"/>
      <c r="H75" s="78" t="s">
        <v>200</v>
      </c>
      <c r="I75" s="79"/>
      <c r="J75" s="11"/>
      <c r="K75" s="11"/>
      <c r="L75" s="78"/>
      <c r="M75" s="78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ht="13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 ht="13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 ht="13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</row>
    <row r="79" ht="13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ht="13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</row>
    <row r="81" ht="13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 ht="13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</row>
  </sheetData>
  <mergeCells count="1">
    <mergeCell ref="T3:W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25"/>
    <col customWidth="1" min="2" max="2" width="24.0"/>
    <col customWidth="1" min="3" max="3" width="24.13"/>
    <col customWidth="1" min="4" max="4" width="24.38"/>
    <col customWidth="1" min="6" max="6" width="18.13"/>
    <col customWidth="1" min="7" max="7" width="14.38"/>
    <col customWidth="1" min="8" max="8" width="5.0"/>
    <col customWidth="1" min="9" max="9" width="58.25"/>
  </cols>
  <sheetData>
    <row r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</row>
    <row r="2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</row>
    <row r="3" ht="34.5" customHeight="1">
      <c r="A3" s="80"/>
      <c r="B3" s="81" t="s">
        <v>201</v>
      </c>
      <c r="C3" s="81" t="s">
        <v>202</v>
      </c>
      <c r="D3" s="82" t="s">
        <v>41</v>
      </c>
      <c r="E3" s="82" t="s">
        <v>203</v>
      </c>
      <c r="F3" s="82" t="s">
        <v>204</v>
      </c>
      <c r="G3" s="83" t="s">
        <v>205</v>
      </c>
      <c r="H3" s="81"/>
      <c r="I3" s="82" t="s">
        <v>206</v>
      </c>
      <c r="J3" s="84"/>
      <c r="K3" s="84"/>
      <c r="L3" s="84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</row>
    <row r="4">
      <c r="A4" s="80"/>
      <c r="B4" s="80"/>
      <c r="C4" s="80"/>
      <c r="D4" s="85"/>
      <c r="E4" s="85"/>
      <c r="F4" s="85"/>
      <c r="G4" s="86" t="s">
        <v>207</v>
      </c>
      <c r="H4" s="87" t="s">
        <v>208</v>
      </c>
      <c r="I4" s="85" t="s">
        <v>209</v>
      </c>
      <c r="J4" s="88" t="s">
        <v>210</v>
      </c>
      <c r="K4" s="88" t="s">
        <v>211</v>
      </c>
      <c r="L4" s="88" t="s">
        <v>212</v>
      </c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</row>
    <row r="5">
      <c r="A5" s="80"/>
      <c r="B5" s="80"/>
      <c r="C5" s="80"/>
      <c r="D5" s="85"/>
      <c r="E5" s="85"/>
      <c r="F5" s="85"/>
      <c r="G5" s="89"/>
      <c r="H5" s="90">
        <v>1.0</v>
      </c>
      <c r="I5" s="90" t="s">
        <v>213</v>
      </c>
      <c r="J5" s="88"/>
      <c r="K5" s="88"/>
      <c r="L5" s="88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</row>
    <row r="6">
      <c r="A6" s="80"/>
      <c r="B6" s="80"/>
      <c r="C6" s="91"/>
      <c r="D6" s="85"/>
      <c r="E6" s="85"/>
      <c r="F6" s="85"/>
      <c r="G6" s="89"/>
      <c r="H6" s="90">
        <v>2.0</v>
      </c>
      <c r="I6" s="92">
        <v>46069.0</v>
      </c>
      <c r="J6" s="92"/>
      <c r="K6" s="92"/>
      <c r="L6" s="92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</row>
    <row r="7">
      <c r="A7" s="80"/>
      <c r="B7" s="80"/>
      <c r="C7" s="91"/>
      <c r="D7" s="93"/>
      <c r="E7" s="94"/>
      <c r="F7" s="93"/>
      <c r="G7" s="95"/>
      <c r="H7" s="96"/>
      <c r="I7" s="97" t="s">
        <v>214</v>
      </c>
      <c r="J7" s="93"/>
      <c r="K7" s="93"/>
      <c r="L7" s="93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</row>
    <row r="8">
      <c r="A8" s="80"/>
      <c r="B8" s="80" t="s">
        <v>215</v>
      </c>
      <c r="C8" s="80" t="s">
        <v>216</v>
      </c>
      <c r="D8" s="75" t="s">
        <v>85</v>
      </c>
      <c r="E8" s="98" t="s">
        <v>217</v>
      </c>
      <c r="F8" s="99" t="s">
        <v>59</v>
      </c>
      <c r="G8" s="97" t="s">
        <v>218</v>
      </c>
      <c r="H8" s="96"/>
      <c r="I8" s="59" t="s">
        <v>219</v>
      </c>
      <c r="J8" s="93"/>
      <c r="K8" s="93"/>
      <c r="L8" s="93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</row>
    <row r="9">
      <c r="A9" s="80"/>
      <c r="B9" s="80"/>
      <c r="C9" s="91"/>
      <c r="D9" s="93"/>
      <c r="E9" s="94"/>
      <c r="F9" s="93"/>
      <c r="G9" s="95"/>
      <c r="H9" s="96"/>
      <c r="I9" s="96" t="s">
        <v>220</v>
      </c>
      <c r="J9" s="93"/>
      <c r="K9" s="93"/>
      <c r="L9" s="93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</row>
    <row r="10">
      <c r="A10" s="80"/>
      <c r="B10" s="80"/>
      <c r="C10" s="91"/>
      <c r="D10" s="85"/>
      <c r="E10" s="85"/>
      <c r="F10" s="85"/>
      <c r="G10" s="89"/>
      <c r="H10" s="90">
        <v>3.0</v>
      </c>
      <c r="I10" s="92">
        <v>46070.0</v>
      </c>
      <c r="J10" s="92"/>
      <c r="K10" s="92"/>
      <c r="L10" s="92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</row>
    <row r="11">
      <c r="A11" s="80"/>
      <c r="B11" s="80"/>
      <c r="C11" s="91"/>
      <c r="D11" s="93"/>
      <c r="E11" s="94" t="s">
        <v>2</v>
      </c>
      <c r="F11" s="93"/>
      <c r="G11" s="95"/>
      <c r="H11" s="96"/>
      <c r="I11" s="66" t="s">
        <v>221</v>
      </c>
      <c r="J11" s="93"/>
      <c r="K11" s="93"/>
      <c r="L11" s="93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</row>
    <row r="12">
      <c r="A12" s="80"/>
      <c r="B12" s="80"/>
      <c r="C12" s="91"/>
      <c r="D12" s="93"/>
      <c r="E12" s="94"/>
      <c r="F12" s="94"/>
      <c r="G12" s="96"/>
      <c r="H12" s="96"/>
      <c r="I12" s="100" t="s">
        <v>180</v>
      </c>
      <c r="J12" s="93"/>
      <c r="K12" s="93"/>
      <c r="L12" s="93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</row>
    <row r="13">
      <c r="A13" s="80"/>
      <c r="C13" s="80" t="s">
        <v>222</v>
      </c>
      <c r="D13" s="101" t="s">
        <v>176</v>
      </c>
      <c r="E13" s="94" t="s">
        <v>2</v>
      </c>
      <c r="F13" s="99" t="s">
        <v>59</v>
      </c>
      <c r="G13" s="96" t="s">
        <v>223</v>
      </c>
      <c r="H13" s="102"/>
      <c r="I13" s="42" t="s">
        <v>166</v>
      </c>
      <c r="J13" s="93"/>
      <c r="K13" s="93"/>
      <c r="L13" s="93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</row>
    <row r="14">
      <c r="A14" s="80"/>
      <c r="D14" s="103"/>
      <c r="E14" s="94" t="s">
        <v>3</v>
      </c>
      <c r="F14" s="99" t="s">
        <v>59</v>
      </c>
      <c r="G14" s="96"/>
      <c r="H14" s="96"/>
      <c r="I14" s="42" t="s">
        <v>166</v>
      </c>
      <c r="J14" s="93"/>
      <c r="K14" s="93"/>
      <c r="L14" s="93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</row>
    <row r="15">
      <c r="A15" s="80"/>
      <c r="D15" s="103"/>
      <c r="E15" s="94" t="s">
        <v>3</v>
      </c>
      <c r="F15" s="99" t="s">
        <v>59</v>
      </c>
      <c r="G15" s="96" t="s">
        <v>223</v>
      </c>
      <c r="H15" s="96"/>
      <c r="I15" s="104" t="s">
        <v>224</v>
      </c>
      <c r="J15" s="93"/>
      <c r="K15" s="93"/>
      <c r="L15" s="93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</row>
    <row r="16">
      <c r="A16" s="80"/>
      <c r="B16" s="105"/>
      <c r="D16" s="103"/>
      <c r="E16" s="94" t="s">
        <v>2</v>
      </c>
      <c r="F16" s="99" t="s">
        <v>59</v>
      </c>
      <c r="G16" s="96"/>
      <c r="H16" s="96"/>
      <c r="I16" s="104" t="s">
        <v>224</v>
      </c>
      <c r="J16" s="93"/>
      <c r="K16" s="93"/>
      <c r="L16" s="93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</row>
    <row r="17">
      <c r="A17" s="80"/>
      <c r="B17" s="105"/>
      <c r="D17" s="103"/>
      <c r="E17" s="94" t="s">
        <v>2</v>
      </c>
      <c r="F17" s="99" t="s">
        <v>59</v>
      </c>
      <c r="G17" s="96" t="s">
        <v>225</v>
      </c>
      <c r="H17" s="96"/>
      <c r="I17" s="59" t="s">
        <v>226</v>
      </c>
      <c r="J17" s="93"/>
      <c r="K17" s="93"/>
      <c r="L17" s="93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</row>
    <row r="18">
      <c r="A18" s="80"/>
      <c r="B18" s="105"/>
      <c r="D18" s="103"/>
      <c r="E18" s="94" t="s">
        <v>3</v>
      </c>
      <c r="F18" s="99" t="s">
        <v>59</v>
      </c>
      <c r="G18" s="96" t="s">
        <v>227</v>
      </c>
      <c r="H18" s="96"/>
      <c r="I18" s="59" t="s">
        <v>226</v>
      </c>
      <c r="J18" s="93"/>
      <c r="K18" s="93"/>
      <c r="L18" s="93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</row>
    <row r="19">
      <c r="A19" s="80"/>
      <c r="B19" s="105"/>
      <c r="D19" s="103"/>
      <c r="E19" s="94" t="s">
        <v>3</v>
      </c>
      <c r="F19" s="99" t="s">
        <v>59</v>
      </c>
      <c r="G19" s="96" t="s">
        <v>228</v>
      </c>
      <c r="H19" s="96"/>
      <c r="I19" s="104" t="s">
        <v>170</v>
      </c>
      <c r="J19" s="93"/>
      <c r="K19" s="93"/>
      <c r="L19" s="93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</row>
    <row r="20">
      <c r="A20" s="80"/>
      <c r="B20" s="105"/>
      <c r="D20" s="103"/>
      <c r="E20" s="94" t="s">
        <v>2</v>
      </c>
      <c r="F20" s="99" t="s">
        <v>59</v>
      </c>
      <c r="G20" s="96" t="s">
        <v>229</v>
      </c>
      <c r="H20" s="96"/>
      <c r="I20" s="104" t="s">
        <v>170</v>
      </c>
      <c r="J20" s="93"/>
      <c r="K20" s="93"/>
      <c r="L20" s="93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</row>
    <row r="21">
      <c r="A21" s="80"/>
      <c r="D21" s="103"/>
      <c r="E21" s="94" t="s">
        <v>2</v>
      </c>
      <c r="F21" s="99" t="s">
        <v>59</v>
      </c>
      <c r="G21" s="96"/>
      <c r="H21" s="96"/>
      <c r="I21" s="42" t="s">
        <v>154</v>
      </c>
      <c r="J21" s="93"/>
      <c r="K21" s="93"/>
      <c r="L21" s="93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</row>
    <row r="22">
      <c r="A22" s="80"/>
      <c r="D22" s="103"/>
      <c r="E22" s="94" t="s">
        <v>3</v>
      </c>
      <c r="F22" s="99" t="s">
        <v>59</v>
      </c>
      <c r="G22" s="96"/>
      <c r="H22" s="102"/>
      <c r="I22" s="42" t="s">
        <v>154</v>
      </c>
      <c r="J22" s="93"/>
      <c r="K22" s="93"/>
      <c r="L22" s="93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</row>
    <row r="23">
      <c r="A23" s="80"/>
      <c r="D23" s="103"/>
      <c r="E23" s="94" t="s">
        <v>3</v>
      </c>
      <c r="F23" s="99" t="s">
        <v>59</v>
      </c>
      <c r="G23" s="96"/>
      <c r="H23" s="102"/>
      <c r="I23" s="104" t="s">
        <v>157</v>
      </c>
      <c r="J23" s="93"/>
      <c r="K23" s="93"/>
      <c r="L23" s="93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</row>
    <row r="24">
      <c r="A24" s="80"/>
      <c r="D24" s="103"/>
      <c r="E24" s="94" t="s">
        <v>2</v>
      </c>
      <c r="F24" s="99" t="s">
        <v>59</v>
      </c>
      <c r="G24" s="96"/>
      <c r="H24" s="102"/>
      <c r="I24" s="104" t="s">
        <v>157</v>
      </c>
      <c r="J24" s="93"/>
      <c r="K24" s="93"/>
      <c r="L24" s="93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</row>
    <row r="25">
      <c r="A25" s="80"/>
      <c r="D25" s="103"/>
      <c r="E25" s="94" t="s">
        <v>3</v>
      </c>
      <c r="F25" s="99" t="s">
        <v>59</v>
      </c>
      <c r="G25" s="96"/>
      <c r="H25" s="96"/>
      <c r="I25" s="104" t="s">
        <v>160</v>
      </c>
      <c r="J25" s="93"/>
      <c r="K25" s="93"/>
      <c r="L25" s="93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</row>
    <row r="26">
      <c r="A26" s="80"/>
      <c r="D26" s="106"/>
      <c r="E26" s="94" t="s">
        <v>3</v>
      </c>
      <c r="F26" s="99" t="s">
        <v>59</v>
      </c>
      <c r="G26" s="96"/>
      <c r="H26" s="96"/>
      <c r="I26" s="104" t="s">
        <v>161</v>
      </c>
      <c r="J26" s="93"/>
      <c r="K26" s="93"/>
      <c r="L26" s="93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</row>
    <row r="27">
      <c r="A27" s="80"/>
      <c r="C27" s="80"/>
      <c r="D27" s="93"/>
      <c r="E27" s="94" t="s">
        <v>3</v>
      </c>
      <c r="F27" s="99" t="s">
        <v>59</v>
      </c>
      <c r="G27" s="96"/>
      <c r="H27" s="96"/>
      <c r="I27" s="104" t="s">
        <v>230</v>
      </c>
      <c r="J27" s="93"/>
      <c r="K27" s="93"/>
      <c r="L27" s="93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</row>
    <row r="28">
      <c r="A28" s="80"/>
      <c r="C28" s="80"/>
      <c r="D28" s="93"/>
      <c r="E28" s="94"/>
      <c r="F28" s="94"/>
      <c r="G28" s="96"/>
      <c r="H28" s="96"/>
      <c r="I28" s="107" t="s">
        <v>231</v>
      </c>
      <c r="J28" s="93"/>
      <c r="K28" s="93"/>
      <c r="L28" s="93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</row>
    <row r="29">
      <c r="A29" s="80"/>
      <c r="C29" s="80"/>
      <c r="D29" s="93"/>
      <c r="E29" s="94"/>
      <c r="F29" s="94"/>
      <c r="G29" s="96"/>
      <c r="H29" s="96"/>
      <c r="I29" s="96" t="s">
        <v>232</v>
      </c>
      <c r="J29" s="93"/>
      <c r="K29" s="93"/>
      <c r="L29" s="93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</row>
    <row r="30">
      <c r="A30" s="80"/>
      <c r="C30" s="80" t="s">
        <v>222</v>
      </c>
      <c r="D30" s="75" t="s">
        <v>176</v>
      </c>
      <c r="E30" s="94" t="s">
        <v>2</v>
      </c>
      <c r="F30" s="99" t="s">
        <v>59</v>
      </c>
      <c r="G30" s="96" t="s">
        <v>233</v>
      </c>
      <c r="H30" s="102"/>
      <c r="I30" s="104" t="s">
        <v>175</v>
      </c>
      <c r="J30" s="93"/>
      <c r="K30" s="93"/>
      <c r="L30" s="93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</row>
    <row r="31">
      <c r="A31" s="80"/>
      <c r="D31" s="108"/>
      <c r="E31" s="94" t="s">
        <v>3</v>
      </c>
      <c r="F31" s="99" t="s">
        <v>59</v>
      </c>
      <c r="G31" s="96"/>
      <c r="H31" s="96"/>
      <c r="I31" s="104" t="s">
        <v>178</v>
      </c>
      <c r="J31" s="93"/>
      <c r="K31" s="93"/>
      <c r="L31" s="93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</row>
    <row r="32">
      <c r="A32" s="80"/>
      <c r="D32" s="108"/>
      <c r="E32" s="94" t="s">
        <v>3</v>
      </c>
      <c r="F32" s="99" t="s">
        <v>59</v>
      </c>
      <c r="G32" s="96"/>
      <c r="H32" s="96"/>
      <c r="I32" s="104" t="s">
        <v>173</v>
      </c>
      <c r="J32" s="93"/>
      <c r="K32" s="93"/>
      <c r="L32" s="93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</row>
    <row r="33">
      <c r="A33" s="80"/>
      <c r="D33" s="108"/>
      <c r="E33" s="94" t="s">
        <v>2</v>
      </c>
      <c r="F33" s="99" t="s">
        <v>59</v>
      </c>
      <c r="G33" s="96"/>
      <c r="H33" s="96"/>
      <c r="I33" s="104" t="s">
        <v>173</v>
      </c>
      <c r="J33" s="93"/>
      <c r="K33" s="93"/>
      <c r="L33" s="93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</row>
    <row r="34">
      <c r="A34" s="80"/>
      <c r="B34" s="80"/>
      <c r="C34" s="91"/>
      <c r="D34" s="93"/>
      <c r="F34" s="94"/>
      <c r="G34" s="94"/>
      <c r="H34" s="94"/>
      <c r="I34" s="107" t="s">
        <v>234</v>
      </c>
      <c r="J34" s="94"/>
      <c r="K34" s="94"/>
      <c r="L34" s="94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</row>
    <row r="35">
      <c r="A35" s="80"/>
      <c r="B35" s="80"/>
      <c r="C35" s="91"/>
      <c r="D35" s="85"/>
      <c r="E35" s="85"/>
      <c r="F35" s="85"/>
      <c r="G35" s="89"/>
      <c r="H35" s="90">
        <v>4.0</v>
      </c>
      <c r="I35" s="92">
        <v>46071.0</v>
      </c>
      <c r="J35" s="92"/>
      <c r="K35" s="92"/>
      <c r="L35" s="92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</row>
    <row r="36">
      <c r="A36" s="80"/>
      <c r="B36" s="80"/>
      <c r="C36" s="80"/>
      <c r="D36" s="94"/>
      <c r="E36" s="94"/>
      <c r="F36" s="94"/>
      <c r="G36" s="94"/>
      <c r="H36" s="94"/>
      <c r="I36" s="108" t="s">
        <v>232</v>
      </c>
      <c r="J36" s="94"/>
      <c r="K36" s="94"/>
      <c r="L36" s="94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</row>
    <row r="37">
      <c r="A37" s="80"/>
      <c r="B37" s="80"/>
      <c r="C37" s="80"/>
      <c r="D37" s="94"/>
      <c r="E37" s="94"/>
      <c r="F37" s="94"/>
      <c r="G37" s="94"/>
      <c r="H37" s="94"/>
      <c r="I37" s="100" t="s">
        <v>180</v>
      </c>
      <c r="J37" s="94"/>
      <c r="K37" s="94"/>
      <c r="L37" s="94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</row>
    <row r="38">
      <c r="A38" s="80"/>
      <c r="B38" s="80"/>
      <c r="C38" s="80" t="s">
        <v>222</v>
      </c>
      <c r="D38" s="75" t="s">
        <v>176</v>
      </c>
      <c r="E38" s="94" t="s">
        <v>3</v>
      </c>
      <c r="F38" s="99" t="s">
        <v>59</v>
      </c>
      <c r="G38" s="94" t="s">
        <v>235</v>
      </c>
      <c r="H38" s="94"/>
      <c r="I38" s="104" t="s">
        <v>236</v>
      </c>
      <c r="J38" s="94"/>
      <c r="K38" s="94"/>
      <c r="L38" s="94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</row>
    <row r="39">
      <c r="A39" s="80"/>
      <c r="B39" s="80"/>
      <c r="C39" s="80"/>
      <c r="D39" s="94"/>
      <c r="E39" s="94"/>
      <c r="F39" s="94"/>
      <c r="G39" s="94"/>
      <c r="H39" s="94"/>
      <c r="I39" s="107" t="s">
        <v>234</v>
      </c>
      <c r="J39" s="94"/>
      <c r="K39" s="94"/>
      <c r="L39" s="94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</row>
    <row r="40">
      <c r="A40" s="80"/>
      <c r="B40" s="80"/>
      <c r="C40" s="80"/>
      <c r="D40" s="94"/>
      <c r="E40" s="94"/>
      <c r="F40" s="94"/>
      <c r="G40" s="94"/>
      <c r="H40" s="94"/>
      <c r="I40" s="94" t="s">
        <v>220</v>
      </c>
      <c r="J40" s="94"/>
      <c r="K40" s="94"/>
      <c r="L40" s="94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</row>
    <row r="41">
      <c r="A41" s="80"/>
      <c r="B41" s="80"/>
      <c r="C41" s="80"/>
      <c r="D41" s="85"/>
      <c r="E41" s="85"/>
      <c r="F41" s="85"/>
      <c r="G41" s="89"/>
      <c r="H41" s="90">
        <v>5.0</v>
      </c>
      <c r="I41" s="92">
        <v>46072.0</v>
      </c>
      <c r="J41" s="92"/>
      <c r="K41" s="92"/>
      <c r="L41" s="92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</row>
    <row r="42">
      <c r="A42" s="80"/>
      <c r="B42" s="80"/>
      <c r="C42" s="80"/>
      <c r="D42" s="102"/>
      <c r="E42" s="102"/>
      <c r="F42" s="102"/>
      <c r="G42" s="102"/>
      <c r="H42" s="102"/>
      <c r="I42" s="102"/>
      <c r="J42" s="102"/>
      <c r="K42" s="102"/>
      <c r="L42" s="102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</row>
    <row r="43">
      <c r="A43" s="80"/>
      <c r="B43" s="80"/>
      <c r="C43" s="80" t="s">
        <v>222</v>
      </c>
      <c r="D43" s="75" t="s">
        <v>176</v>
      </c>
      <c r="E43" s="94" t="s">
        <v>3</v>
      </c>
      <c r="F43" s="99" t="s">
        <v>59</v>
      </c>
      <c r="G43" s="102"/>
      <c r="H43" s="102"/>
      <c r="I43" s="104" t="s">
        <v>236</v>
      </c>
      <c r="J43" s="102"/>
      <c r="K43" s="102"/>
      <c r="L43" s="102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</row>
    <row r="44">
      <c r="A44" s="80"/>
      <c r="B44" s="80"/>
      <c r="C44" s="109"/>
      <c r="D44" s="102"/>
      <c r="E44" s="102"/>
      <c r="F44" s="102"/>
      <c r="G44" s="102"/>
      <c r="H44" s="102"/>
      <c r="I44" s="102"/>
      <c r="J44" s="102"/>
      <c r="K44" s="102"/>
      <c r="L44" s="102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</row>
    <row r="45">
      <c r="A45" s="80"/>
      <c r="B45" s="80"/>
      <c r="D45" s="102"/>
      <c r="E45" s="102"/>
      <c r="F45" s="102"/>
      <c r="G45" s="102"/>
      <c r="H45" s="102"/>
      <c r="I45" s="102"/>
      <c r="J45" s="102"/>
      <c r="K45" s="102"/>
      <c r="L45" s="102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</row>
    <row r="46">
      <c r="A46" s="80"/>
      <c r="B46" s="80"/>
      <c r="C46" s="80"/>
      <c r="D46" s="85"/>
      <c r="E46" s="85"/>
      <c r="F46" s="85"/>
      <c r="G46" s="89"/>
      <c r="H46" s="90">
        <v>6.0</v>
      </c>
      <c r="I46" s="92">
        <v>46073.0</v>
      </c>
      <c r="J46" s="92"/>
      <c r="K46" s="92"/>
      <c r="L46" s="92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</row>
    <row r="47">
      <c r="A47" s="80"/>
      <c r="B47" s="80"/>
      <c r="C47" s="80"/>
      <c r="D47" s="80"/>
      <c r="E47" s="80"/>
      <c r="F47" s="80"/>
      <c r="G47" s="80"/>
      <c r="H47" s="80"/>
      <c r="I47" s="105" t="s">
        <v>237</v>
      </c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</row>
    <row r="48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</row>
    <row r="49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</row>
    <row r="50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</row>
    <row r="51">
      <c r="A51" s="80"/>
      <c r="B51" s="80"/>
      <c r="C51" s="80"/>
      <c r="D51" s="80"/>
      <c r="E51" s="94" t="s">
        <v>3</v>
      </c>
      <c r="F51" s="102"/>
      <c r="G51" s="102"/>
      <c r="H51" s="102"/>
      <c r="I51" s="104" t="s">
        <v>238</v>
      </c>
      <c r="J51" s="102"/>
      <c r="K51" s="102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</row>
    <row r="52">
      <c r="A52" s="80"/>
      <c r="B52" s="80"/>
      <c r="C52" s="80"/>
      <c r="D52" s="80"/>
      <c r="E52" s="94" t="s">
        <v>2</v>
      </c>
      <c r="F52" s="102"/>
      <c r="G52" s="102"/>
      <c r="H52" s="102"/>
      <c r="I52" s="104" t="s">
        <v>238</v>
      </c>
      <c r="J52" s="102"/>
      <c r="K52" s="102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</row>
    <row r="5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</row>
    <row r="54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</row>
    <row r="5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</row>
    <row r="56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</row>
    <row r="57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</row>
    <row r="58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</row>
    <row r="59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</row>
    <row r="60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</row>
    <row r="6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</row>
    <row r="6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</row>
    <row r="6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</row>
    <row r="64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</row>
    <row r="6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</row>
    <row r="66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</row>
    <row r="67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</row>
    <row r="68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</row>
    <row r="69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</row>
    <row r="70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</row>
    <row r="7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</row>
  </sheetData>
  <mergeCells count="3">
    <mergeCell ref="C13:C26"/>
    <mergeCell ref="D13:D26"/>
    <mergeCell ref="C44:C4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>
      <c r="A10" s="110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>
      <c r="A12" s="110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110"/>
      <c r="B20" s="111"/>
      <c r="C20" s="111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>
      <c r="A10" s="110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>
      <c r="A12" s="110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110"/>
      <c r="B20" s="111"/>
      <c r="C20" s="111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drawing r:id="rId1"/>
</worksheet>
</file>