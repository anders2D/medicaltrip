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" sheetId="4" r:id="rId7"/>
    <sheet state="visible" name="VUELO" sheetId="5" r:id="rId8"/>
  </sheets>
  <definedNames/>
  <calcPr/>
  <extLst>
    <ext uri="GoogleSheetsCustomDataVersion2">
      <go:sheetsCustomData xmlns:go="http://customooxmlschemas.google.com/" r:id="rId9" roundtripDataChecksum="7WTQjECQ4EvgVN3OIMxE7jr5PJPC9CTBZ4DW49KTrI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9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iLkYW7OHY6ia3zH4V4cy11NXfygw=="/>
    </ext>
  </extLst>
</comments>
</file>

<file path=xl/sharedStrings.xml><?xml version="1.0" encoding="utf-8"?>
<sst xmlns="http://schemas.openxmlformats.org/spreadsheetml/2006/main" count="314" uniqueCount="188">
  <si>
    <t>PACIENTE</t>
  </si>
  <si>
    <t xml:space="preserve">ACOMPAÑANTE </t>
  </si>
  <si>
    <t>Nombre</t>
  </si>
  <si>
    <t>Geraldine</t>
  </si>
  <si>
    <t xml:space="preserve">Viviana </t>
  </si>
  <si>
    <t>Emilia</t>
  </si>
  <si>
    <t xml:space="preserve">Filomena </t>
  </si>
  <si>
    <t>Apellido</t>
  </si>
  <si>
    <t>Isenia</t>
  </si>
  <si>
    <t>Cathalina</t>
  </si>
  <si>
    <t>Genero</t>
  </si>
  <si>
    <t>Femenino</t>
  </si>
  <si>
    <t xml:space="preserve">Pasaporte </t>
  </si>
  <si>
    <t>NTP8BBJ93</t>
  </si>
  <si>
    <t>NUKPK1DP3</t>
  </si>
  <si>
    <t>Fecha de nacimiento</t>
  </si>
  <si>
    <t>Edad</t>
  </si>
  <si>
    <t>Estado civil</t>
  </si>
  <si>
    <t>Soltera</t>
  </si>
  <si>
    <t>Viuda</t>
  </si>
  <si>
    <t>Dirección</t>
  </si>
  <si>
    <t xml:space="preserve"> Kaya O C Bernabela 7A</t>
  </si>
  <si>
    <t>kaya Hoslit 9. Curacao</t>
  </si>
  <si>
    <t>País</t>
  </si>
  <si>
    <t>Holandesa</t>
  </si>
  <si>
    <t>Email:</t>
  </si>
  <si>
    <t>No tienes</t>
  </si>
  <si>
    <t>viviancantonia@gmail.com</t>
  </si>
  <si>
    <t>Teléfono</t>
  </si>
  <si>
    <t>599 9 671 0565</t>
  </si>
  <si>
    <t>599 9 667 3453</t>
  </si>
  <si>
    <t xml:space="preserve">Profesión </t>
  </si>
  <si>
    <t>Pensionada</t>
  </si>
  <si>
    <t>RH</t>
  </si>
  <si>
    <t>Incluir en el costeo</t>
  </si>
  <si>
    <t xml:space="preserve">AB positivo </t>
  </si>
  <si>
    <t>Seguro</t>
  </si>
  <si>
    <t xml:space="preserve">De viaje </t>
  </si>
  <si>
    <t>Peso</t>
  </si>
  <si>
    <t>Altura</t>
  </si>
  <si>
    <t>1,60</t>
  </si>
  <si>
    <t>1, 66</t>
  </si>
  <si>
    <t>Idioma</t>
  </si>
  <si>
    <t>papiamento- Español</t>
  </si>
  <si>
    <t>papiamento, hulandes. Comprendo español, ingles</t>
  </si>
  <si>
    <t>Salud</t>
  </si>
  <si>
    <t>DOLOR DE PIE</t>
  </si>
  <si>
    <t xml:space="preserve">Estadia </t>
  </si>
  <si>
    <t>HTA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</si>
  <si>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</si>
  <si>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</si>
  <si>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</si>
  <si>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</si>
  <si>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</si>
  <si>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</si>
  <si>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</si>
  <si>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>FECHAS: 9 al 16 de Mayo 2026</t>
  </si>
  <si>
    <t>Tras</t>
  </si>
  <si>
    <t>DIA/HORA</t>
  </si>
  <si>
    <t>Actividad</t>
  </si>
  <si>
    <t>ACP horas</t>
  </si>
  <si>
    <t>Traslado cerca</t>
  </si>
  <si>
    <t>Traslado lejos</t>
  </si>
  <si>
    <t xml:space="preserve">SABADO 9 de Mayo </t>
  </si>
  <si>
    <t>Vuelo Curazao - Medellín</t>
  </si>
  <si>
    <t>AEROTUREX</t>
  </si>
  <si>
    <t>Traslado a aeropuerto -Hotel</t>
  </si>
  <si>
    <t xml:space="preserve">INNTU </t>
  </si>
  <si>
    <t>Alojamiento</t>
  </si>
  <si>
    <t xml:space="preserve">DOMINGO 10 de Mayo </t>
  </si>
  <si>
    <t>Dia Libre</t>
  </si>
  <si>
    <t xml:space="preserve">LUNES 11 de Mayo </t>
  </si>
  <si>
    <t>No desayunar - No tomar agua</t>
  </si>
  <si>
    <t>ECHAVARRIA</t>
  </si>
  <si>
    <t>05:40 am</t>
  </si>
  <si>
    <t xml:space="preserve">Toma de muestra de laboratorios-A domicilio en el hotel </t>
  </si>
  <si>
    <t>Iniciar a tomar agua - vejiga llena - No desayunar</t>
  </si>
  <si>
    <t xml:space="preserve">Traslado Hotel- Centro medico </t>
  </si>
  <si>
    <t>IVS</t>
  </si>
  <si>
    <t>Ecografía de tiroides y paratiroides</t>
  </si>
  <si>
    <t>Ecografia de abdomen y pelvis</t>
  </si>
  <si>
    <t>Radiografia de torax</t>
  </si>
  <si>
    <t>Urografia por TC (Sin contraste)</t>
  </si>
  <si>
    <t>Traslado centro médico - Hotel</t>
  </si>
  <si>
    <t>Tiempo para desayunar</t>
  </si>
  <si>
    <t xml:space="preserve">Traslado Hotel  - Centro medico </t>
  </si>
  <si>
    <t>MEDIALFA</t>
  </si>
  <si>
    <t>IRM Bilateral de las rodillas ( Sin contraste)</t>
  </si>
  <si>
    <t>Traslado Centro medico - Hotel</t>
  </si>
  <si>
    <t>Tarde Libre</t>
  </si>
  <si>
    <t xml:space="preserve">MARTES 12 de Mayo </t>
  </si>
  <si>
    <t xml:space="preserve">Tiempo para desayunar- evitar bebidas oscuras y energizantes </t>
  </si>
  <si>
    <t>INCARE-CIMA</t>
  </si>
  <si>
    <t>PE Prueba de esfuerzo
Opcional</t>
  </si>
  <si>
    <t>ETT Ecocardiograma Transtorácico
Opcional</t>
  </si>
  <si>
    <t xml:space="preserve">Electrocardiograma </t>
  </si>
  <si>
    <t xml:space="preserve">MIERCOLES 13 de Mayo </t>
  </si>
  <si>
    <t xml:space="preserve">Tiempo para desayunar </t>
  </si>
  <si>
    <t>Consulta con especialista medicina interna- NEFROLOGO</t>
  </si>
  <si>
    <t>Consulta con especialista en UROLOGÍA</t>
  </si>
  <si>
    <t>Consulta con especialista en CARDIOLOGÍA</t>
  </si>
  <si>
    <t xml:space="preserve">JUEVES 14 de Mayo </t>
  </si>
  <si>
    <t>Consulta con especialista en ORTOPEDIA</t>
  </si>
  <si>
    <t>Consulta con especialista en FISIATRÍA</t>
  </si>
  <si>
    <t xml:space="preserve">VIERNES 15 de Mayo </t>
  </si>
  <si>
    <t xml:space="preserve">SABADO 16 de Mayo </t>
  </si>
  <si>
    <t>PAQUETE INCLUYE ACOMP-TRASL</t>
  </si>
  <si>
    <t>TOTAL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</si>
  <si>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</si>
  <si>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</si>
  <si>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</si>
  <si>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</si>
  <si>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</si>
  <si>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</si>
  <si>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</si>
  <si>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</si>
  <si>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</si>
  <si>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</si>
  <si>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</si>
  <si>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</si>
  <si>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</si>
  <si>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</si>
  <si>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</si>
  <si>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</si>
  <si>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</si>
  <si>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</si>
  <si>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Póliza de asistencia médica al viajero</t>
  </si>
  <si>
    <t>Colasistencia</t>
  </si>
  <si>
    <t>2,00 Unidades</t>
  </si>
  <si>
    <t>$ 8,00</t>
  </si>
  <si>
    <t>$ 16,00</t>
  </si>
  <si>
    <t>Pendiente</t>
  </si>
  <si>
    <t>DMS 380</t>
  </si>
  <si>
    <t>Confirmada</t>
  </si>
  <si>
    <t>Entrevista con Medicina Funcional de primera vez virtual de control Dr. Marcos</t>
  </si>
  <si>
    <t>Dr. Marcos</t>
  </si>
  <si>
    <t>1,00 Unidades</t>
  </si>
  <si>
    <t>$ 60,00</t>
  </si>
  <si>
    <t xml:space="preserve">JURIDICA BANCOLOMBIA </t>
  </si>
  <si>
    <t>TRANSFERENCIA BANCARIA</t>
  </si>
  <si>
    <t>ok</t>
  </si>
  <si>
    <t>CHEQUEO MÉDICO EJECUTIVO PREVENTIVO- MUJER</t>
  </si>
  <si>
    <t xml:space="preserve">Echavarria </t>
  </si>
  <si>
    <t>$ 520,00</t>
  </si>
  <si>
    <t>Hemoclasificación Grupo ABO y factor RH</t>
  </si>
  <si>
    <t>Hormona Paratoidea</t>
  </si>
  <si>
    <t>$ 28,00</t>
  </si>
  <si>
    <t>e-GFR-Eritrosedimentación (velocidad de sedimentación globular VSG</t>
  </si>
  <si>
    <t>$ 5,00</t>
  </si>
  <si>
    <t>Proteina en orina 24 horas, Incluye tarro de orina</t>
  </si>
  <si>
    <t>$ 10,00</t>
  </si>
  <si>
    <t>$ 37,00</t>
  </si>
  <si>
    <t>$ 235,00</t>
  </si>
  <si>
    <t>$ 470,00</t>
  </si>
  <si>
    <t>$ 82,00</t>
  </si>
  <si>
    <t>Radiografía bilateral de rodillas con soporte de peso</t>
  </si>
  <si>
    <t>$ 99,00</t>
  </si>
  <si>
    <t>$ 93,00</t>
  </si>
  <si>
    <t>$ 90,00</t>
  </si>
  <si>
    <t>$ 86,00</t>
  </si>
  <si>
    <t>Consulta con especialista en NUTRIOLOGÍA VIRTUAL Dra Marlen Villalba</t>
  </si>
  <si>
    <t>Dra. Marlen</t>
  </si>
  <si>
    <t>$ 88,00</t>
  </si>
  <si>
    <t>Consulta de CONTROL con Médico Funcional virtual</t>
  </si>
  <si>
    <t xml:space="preserve">Dr. Marcos </t>
  </si>
  <si>
    <t>Servicio Medical Trip Colombia - Acompañamiento virtual y presencial en español para citas y exámenes para 8 horas diurnas</t>
  </si>
  <si>
    <t>Jennifer</t>
  </si>
  <si>
    <t>0,85 Unidades</t>
  </si>
  <si>
    <t>$ 63,00</t>
  </si>
  <si>
    <t>$ 53,55</t>
  </si>
  <si>
    <t>Servicios Medical Trip Colombia Traslados Hotel-Clínica por trayectos cortos</t>
  </si>
  <si>
    <t>Yenny</t>
  </si>
  <si>
    <t>5,00 Unidades</t>
  </si>
  <si>
    <t>$ 12,00</t>
  </si>
  <si>
    <t>Traslado- Aeropuerto -Hotel en carro diurno conductor de habla español</t>
  </si>
  <si>
    <t>Aeroturex</t>
  </si>
  <si>
    <t>$ 50,00</t>
  </si>
  <si>
    <t>$ 100,00</t>
  </si>
  <si>
    <t>Vitamina B12
Opcional</t>
  </si>
  <si>
    <t>$ 29,00</t>
  </si>
  <si>
    <t>HCYSP-Homocisteína sérica
Opcional</t>
  </si>
  <si>
    <t>$ 35,00</t>
  </si>
  <si>
    <t>Ionograma: Cloro - Sodio - Potasio - Calcio
Opcional</t>
  </si>
  <si>
    <t>$ 20,00</t>
  </si>
  <si>
    <t>$ 92,00</t>
  </si>
  <si>
    <t>INCARE- CIMA</t>
  </si>
  <si>
    <t>$ 141,00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</si>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</sst>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d/mm/yyyy"/>
    <numFmt numFmtId="166" formatCode="d/M/yyyy"/>
    <numFmt numFmtId="167" formatCode="d/m/yyyy"/>
    <numFmt numFmtId="168" formatCode="dd mmmm"/>
    <numFmt numFmtId="169" formatCode="[$$]#,##0.00"/>
    <numFmt numFmtId="170" formatCode="[$cop]#,##0"/>
    <numFmt numFmtId="171" formatCode="d/MM/yyyy"/>
    <numFmt numFmtId="172" formatCode="&quot;$&quot;#,##0"/>
  </numFmts>
  <fonts count="14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10.0"/>
      <color theme="1"/>
      <name val="Lexend"/>
    </font>
    <font>
      <b/>
      <sz val="10.0"/>
      <color rgb="FFFFFFFF"/>
      <name val="Lexend"/>
    </font>
    <font>
      <b/>
      <sz val="10.0"/>
      <color theme="1"/>
      <name val="Lexend"/>
    </font>
    <font>
      <sz val="10.0"/>
      <color rgb="FF212529"/>
      <name val="Lexend"/>
    </font>
    <font>
      <sz val="8.0"/>
      <color theme="1"/>
      <name val="Lexend"/>
    </font>
    <font>
      <b/>
      <sz val="8.0"/>
      <color rgb="FFFFFFFF"/>
      <name val="Lexend"/>
    </font>
    <font/>
    <font>
      <b/>
      <sz val="10.0"/>
      <color rgb="FF212529"/>
      <name val="Lexend"/>
    </font>
    <font>
      <b/>
      <sz val="10.0"/>
      <color rgb="FF111827"/>
      <name val="Lexend"/>
    </font>
    <font>
      <color theme="1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vertical="center"/>
    </xf>
    <xf borderId="0" fillId="3" fontId="1" numFmtId="0" xfId="0" applyAlignment="1" applyFill="1" applyFont="1">
      <alignment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" fillId="5" fontId="6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5" fontId="4" numFmtId="167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168" xfId="0" applyAlignment="1" applyBorder="1" applyFont="1" applyNumberFormat="1">
      <alignment horizontal="center" vertical="center"/>
    </xf>
    <xf borderId="3" fillId="0" fontId="4" numFmtId="168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vertical="center"/>
    </xf>
    <xf borderId="0" fillId="8" fontId="4" numFmtId="0" xfId="0" applyAlignment="1" applyFill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8" fontId="6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readingOrder="0" vertical="center"/>
    </xf>
    <xf borderId="2" fillId="8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readingOrder="0" vertical="center"/>
    </xf>
    <xf borderId="1" fillId="8" fontId="6" numFmtId="0" xfId="0" applyAlignment="1" applyBorder="1" applyFont="1">
      <alignment horizontal="center" readingOrder="0" vertical="center"/>
    </xf>
    <xf borderId="1" fillId="9" fontId="4" numFmtId="0" xfId="0" applyAlignment="1" applyBorder="1" applyFill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4" fillId="8" fontId="4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readingOrder="0" shrinkToFit="0" vertical="center" wrapText="1"/>
    </xf>
    <xf borderId="0" fillId="8" fontId="6" numFmtId="0" xfId="0" applyAlignment="1" applyFont="1">
      <alignment horizontal="center" readingOrder="0" vertical="center"/>
    </xf>
    <xf borderId="0" fillId="8" fontId="4" numFmtId="0" xfId="0" applyAlignment="1" applyFont="1">
      <alignment horizontal="center" readingOrder="0" vertical="center"/>
    </xf>
    <xf borderId="0" fillId="0" fontId="4" numFmtId="169" xfId="0" applyAlignment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5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0" fillId="0" fontId="8" numFmtId="170" xfId="0" applyAlignment="1" applyFont="1" applyNumberForma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4" fillId="4" fontId="9" numFmtId="170" xfId="0" applyAlignment="1" applyBorder="1" applyFont="1" applyNumberFormat="1">
      <alignment horizontal="center" shrinkToFit="0" vertical="center" wrapText="1"/>
    </xf>
    <xf borderId="4" fillId="0" fontId="10" numFmtId="0" xfId="0" applyBorder="1" applyFont="1"/>
    <xf borderId="4" fillId="4" fontId="8" numFmtId="171" xfId="0" applyAlignment="1" applyBorder="1" applyFont="1" applyNumberFormat="1">
      <alignment horizontal="center" vertical="center"/>
    </xf>
    <xf borderId="4" fillId="4" fontId="8" numFmtId="166" xfId="0" applyAlignment="1" applyBorder="1" applyFont="1" applyNumberFormat="1">
      <alignment horizontal="center" vertical="center"/>
    </xf>
    <xf borderId="1" fillId="5" fontId="4" numFmtId="170" xfId="0" applyAlignment="1" applyBorder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6" fillId="10" fontId="5" numFmtId="170" xfId="0" applyAlignment="1" applyBorder="1" applyFill="1" applyFont="1" applyNumberFormat="1">
      <alignment horizontal="center" shrinkToFit="0" vertical="center" wrapText="1"/>
    </xf>
    <xf borderId="6" fillId="10" fontId="5" numFmtId="171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11" fontId="4" numFmtId="172" xfId="0" applyAlignment="1" applyFill="1" applyFont="1" applyNumberForma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12" fontId="4" numFmtId="0" xfId="0" applyAlignment="1" applyBorder="1" applyFill="1" applyFont="1">
      <alignment horizontal="center" readingOrder="0" vertical="center"/>
    </xf>
    <xf borderId="1" fillId="13" fontId="7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11" fontId="4" numFmtId="172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4" numFmtId="172" xfId="0" applyAlignment="1" applyFont="1" applyNumberFormat="1">
      <alignment horizontal="center" readingOrder="0" vertical="center"/>
    </xf>
    <xf borderId="0" fillId="11" fontId="4" numFmtId="0" xfId="0" applyAlignment="1" applyFont="1">
      <alignment horizontal="center" vertical="center"/>
    </xf>
    <xf borderId="4" fillId="14" fontId="7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8" fontId="12" numFmtId="0" xfId="0" applyAlignment="1" applyFont="1">
      <alignment horizontal="center" readingOrder="0" shrinkToFit="0" vertical="center" wrapText="0"/>
    </xf>
    <xf borderId="0" fillId="8" fontId="7" numFmtId="0" xfId="0" applyAlignment="1" applyFont="1">
      <alignment horizontal="center" vertical="center"/>
    </xf>
    <xf borderId="0" fillId="0" fontId="13" numFmtId="0" xfId="0" applyFont="1"/>
    <xf borderId="0" fillId="8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1</xdr:row>
      <xdr:rowOff>142875</xdr:rowOff>
    </xdr:from>
    <xdr:ext cx="5772150" cy="41338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142875</xdr:rowOff>
    </xdr:from>
    <xdr:ext cx="5381625" cy="37623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49</xdr:row>
      <xdr:rowOff>19050</xdr:rowOff>
    </xdr:from>
    <xdr:ext cx="4191000" cy="171450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23.0"/>
    <col customWidth="1" min="4" max="4" width="3.5"/>
    <col customWidth="1" min="5" max="5" width="19.63"/>
    <col customWidth="1" min="6" max="6" width="52.63"/>
    <col customWidth="1" min="7" max="7" width="22.75"/>
    <col customWidth="1" min="8" max="8" width="46.0"/>
    <col customWidth="1" min="11" max="11" width="22.38"/>
  </cols>
  <sheetData>
    <row r="1" ht="13.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2"/>
      <c r="E22" s="1"/>
      <c r="F22" s="1"/>
      <c r="G22" s="1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4" t="s">
        <v>0</v>
      </c>
      <c r="B26" s="1"/>
      <c r="C26" s="1"/>
      <c r="D26" s="2"/>
      <c r="E26" s="4" t="s">
        <v>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2"/>
      <c r="E28" s="5"/>
      <c r="F28" s="3"/>
      <c r="G28" s="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2</v>
      </c>
      <c r="B29" s="6" t="s">
        <v>3</v>
      </c>
      <c r="C29" s="1"/>
      <c r="D29" s="2"/>
      <c r="E29" s="1" t="s">
        <v>2</v>
      </c>
      <c r="F29" s="6" t="s">
        <v>4</v>
      </c>
      <c r="G29" s="5"/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2</v>
      </c>
      <c r="B30" s="6" t="s">
        <v>5</v>
      </c>
      <c r="C30" s="1"/>
      <c r="D30" s="2"/>
      <c r="E30" s="1" t="s">
        <v>2</v>
      </c>
      <c r="F30" s="6" t="s">
        <v>6</v>
      </c>
      <c r="G30" s="5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7</v>
      </c>
      <c r="B31" s="7" t="s">
        <v>8</v>
      </c>
      <c r="C31" s="1"/>
      <c r="D31" s="2"/>
      <c r="E31" s="1" t="s">
        <v>7</v>
      </c>
      <c r="F31" s="7" t="s">
        <v>9</v>
      </c>
      <c r="G31" s="5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10</v>
      </c>
      <c r="B32" s="7" t="s">
        <v>11</v>
      </c>
      <c r="C32" s="1"/>
      <c r="D32" s="2"/>
      <c r="E32" s="1" t="s">
        <v>10</v>
      </c>
      <c r="F32" s="6" t="s">
        <v>11</v>
      </c>
      <c r="G32" s="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12</v>
      </c>
      <c r="B33" s="6" t="s">
        <v>13</v>
      </c>
      <c r="C33" s="1"/>
      <c r="D33" s="2"/>
      <c r="E33" s="1" t="s">
        <v>12</v>
      </c>
      <c r="F33" s="6" t="s">
        <v>14</v>
      </c>
      <c r="G33" s="5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15</v>
      </c>
      <c r="B34" s="8">
        <v>15650.0</v>
      </c>
      <c r="C34" s="1"/>
      <c r="D34" s="2"/>
      <c r="E34" s="1" t="s">
        <v>15</v>
      </c>
      <c r="F34" s="9">
        <v>18662.0</v>
      </c>
      <c r="G34" s="5"/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16</v>
      </c>
      <c r="B35" s="3">
        <f>2026-1942</f>
        <v>84</v>
      </c>
      <c r="C35" s="1"/>
      <c r="D35" s="2"/>
      <c r="E35" s="1" t="s">
        <v>16</v>
      </c>
      <c r="F35" s="3">
        <f>2026-1951</f>
        <v>75</v>
      </c>
      <c r="G35" s="5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17</v>
      </c>
      <c r="B36" s="7" t="s">
        <v>18</v>
      </c>
      <c r="C36" s="1"/>
      <c r="D36" s="2"/>
      <c r="E36" s="1" t="s">
        <v>17</v>
      </c>
      <c r="F36" s="7" t="s">
        <v>19</v>
      </c>
      <c r="G36" s="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20</v>
      </c>
      <c r="B37" s="7" t="s">
        <v>21</v>
      </c>
      <c r="C37" s="1"/>
      <c r="D37" s="2"/>
      <c r="E37" s="1" t="s">
        <v>20</v>
      </c>
      <c r="F37" s="7" t="s">
        <v>22</v>
      </c>
      <c r="G37" s="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23</v>
      </c>
      <c r="B38" s="7" t="s">
        <v>24</v>
      </c>
      <c r="C38" s="1"/>
      <c r="D38" s="2"/>
      <c r="E38" s="1" t="s">
        <v>23</v>
      </c>
      <c r="F38" s="6" t="s">
        <v>24</v>
      </c>
      <c r="G38" s="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25</v>
      </c>
      <c r="B39" s="6" t="s">
        <v>26</v>
      </c>
      <c r="C39" s="1"/>
      <c r="D39" s="2"/>
      <c r="E39" s="1" t="s">
        <v>25</v>
      </c>
      <c r="F39" s="6" t="s">
        <v>27</v>
      </c>
      <c r="G39" s="5"/>
      <c r="H39" s="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28</v>
      </c>
      <c r="B40" s="7" t="s">
        <v>29</v>
      </c>
      <c r="C40" s="1"/>
      <c r="D40" s="2"/>
      <c r="E40" s="1" t="s">
        <v>28</v>
      </c>
      <c r="F40" s="7" t="s">
        <v>30</v>
      </c>
      <c r="G40" s="5"/>
      <c r="H40" s="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 t="s">
        <v>31</v>
      </c>
      <c r="B41" s="7" t="s">
        <v>32</v>
      </c>
      <c r="C41" s="1"/>
      <c r="D41" s="2"/>
      <c r="E41" s="1" t="s">
        <v>31</v>
      </c>
      <c r="F41" s="7" t="s">
        <v>32</v>
      </c>
      <c r="G41" s="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 t="s">
        <v>33</v>
      </c>
      <c r="B42" s="7" t="s">
        <v>34</v>
      </c>
      <c r="C42" s="1"/>
      <c r="D42" s="2"/>
      <c r="E42" s="1" t="s">
        <v>33</v>
      </c>
      <c r="F42" s="7" t="s">
        <v>35</v>
      </c>
      <c r="G42" s="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 t="s">
        <v>36</v>
      </c>
      <c r="B43" s="7" t="s">
        <v>37</v>
      </c>
      <c r="C43" s="1"/>
      <c r="D43" s="2"/>
      <c r="E43" s="1" t="s">
        <v>36</v>
      </c>
      <c r="F43" s="7" t="s">
        <v>37</v>
      </c>
      <c r="G43" s="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 t="s">
        <v>38</v>
      </c>
      <c r="B44" s="6">
        <v>90.0</v>
      </c>
      <c r="C44" s="1"/>
      <c r="D44" s="2"/>
      <c r="E44" s="1" t="s">
        <v>38</v>
      </c>
      <c r="F44" s="11"/>
      <c r="G44" s="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 t="s">
        <v>39</v>
      </c>
      <c r="B45" s="7" t="s">
        <v>40</v>
      </c>
      <c r="C45" s="1"/>
      <c r="D45" s="2"/>
      <c r="E45" s="1" t="s">
        <v>39</v>
      </c>
      <c r="F45" s="7" t="s">
        <v>41</v>
      </c>
      <c r="G45" s="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 t="s">
        <v>42</v>
      </c>
      <c r="B46" s="7" t="s">
        <v>43</v>
      </c>
      <c r="C46" s="1"/>
      <c r="D46" s="2"/>
      <c r="E46" s="1" t="s">
        <v>42</v>
      </c>
      <c r="F46" s="7" t="s">
        <v>44</v>
      </c>
      <c r="G46" s="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 t="s">
        <v>45</v>
      </c>
      <c r="B48" s="7" t="s">
        <v>46</v>
      </c>
      <c r="C48" s="1"/>
      <c r="D48" s="2"/>
      <c r="E48" s="1" t="s">
        <v>45</v>
      </c>
      <c r="F48" s="1"/>
      <c r="G48" s="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 t="s">
        <v>47</v>
      </c>
      <c r="B49" s="4" t="s">
        <v>48</v>
      </c>
      <c r="C49" s="1"/>
      <c r="D49" s="2"/>
      <c r="E49" s="1" t="s">
        <v>47</v>
      </c>
      <c r="F49" s="12"/>
      <c r="G49" s="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 t="s">
        <v>49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>
      <c r="A1008" s="1"/>
      <c r="B1008" s="1"/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>
      <c r="A1009" s="1"/>
      <c r="B1009" s="1"/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>
      <c r="A1010" s="1"/>
      <c r="B1010" s="1"/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>
      <c r="A1011" s="1"/>
      <c r="B1011" s="1"/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2.38"/>
    <col customWidth="1" min="3" max="3" width="17.38"/>
    <col customWidth="1" min="4" max="4" width="12.75"/>
    <col customWidth="1" min="5" max="5" width="11.0"/>
    <col customWidth="1" min="6" max="6" width="17.13"/>
    <col customWidth="1" min="7" max="7" width="11.38"/>
    <col customWidth="1" min="8" max="8" width="10.63"/>
    <col customWidth="1" min="9" max="9" width="46.88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3"/>
      <c r="B3" s="13"/>
      <c r="C3" s="14" t="s">
        <v>50</v>
      </c>
      <c r="D3" s="14" t="s">
        <v>51</v>
      </c>
      <c r="E3" s="14" t="s">
        <v>52</v>
      </c>
      <c r="F3" s="14" t="s">
        <v>53</v>
      </c>
      <c r="G3" s="14" t="s">
        <v>54</v>
      </c>
      <c r="H3" s="14" t="s">
        <v>55</v>
      </c>
      <c r="I3" s="15" t="s">
        <v>56</v>
      </c>
      <c r="J3" s="16"/>
      <c r="K3" s="16"/>
      <c r="L3" s="16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7" t="s">
        <v>57</v>
      </c>
      <c r="B4" s="13"/>
      <c r="C4" s="18"/>
      <c r="D4" s="19"/>
      <c r="E4" s="19"/>
      <c r="F4" s="19"/>
      <c r="G4" s="19"/>
      <c r="H4" s="20" t="s">
        <v>58</v>
      </c>
      <c r="I4" s="21" t="s">
        <v>59</v>
      </c>
      <c r="J4" s="22" t="s">
        <v>60</v>
      </c>
      <c r="K4" s="22" t="s">
        <v>61</v>
      </c>
      <c r="L4" s="22" t="s">
        <v>62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23"/>
      <c r="D5" s="19"/>
      <c r="E5" s="23"/>
      <c r="F5" s="23"/>
      <c r="G5" s="19"/>
      <c r="H5" s="20">
        <v>1.0</v>
      </c>
      <c r="I5" s="24" t="s">
        <v>63</v>
      </c>
      <c r="J5" s="19"/>
      <c r="K5" s="25"/>
      <c r="L5" s="2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/>
      <c r="B6" s="13"/>
      <c r="C6" s="26"/>
      <c r="D6" s="26"/>
      <c r="E6" s="26"/>
      <c r="F6" s="26"/>
      <c r="G6" s="26"/>
      <c r="H6" s="26"/>
      <c r="I6" s="26" t="s">
        <v>64</v>
      </c>
      <c r="J6" s="27"/>
      <c r="K6" s="28"/>
      <c r="L6" s="2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/>
      <c r="B7" s="13"/>
      <c r="C7" s="26"/>
      <c r="D7" s="26"/>
      <c r="E7" s="26"/>
      <c r="F7" s="29" t="s">
        <v>65</v>
      </c>
      <c r="G7" s="26"/>
      <c r="H7" s="26"/>
      <c r="I7" s="30" t="s">
        <v>66</v>
      </c>
      <c r="J7" s="27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/>
      <c r="B8" s="13"/>
      <c r="C8" s="26"/>
      <c r="D8" s="26"/>
      <c r="E8" s="26"/>
      <c r="F8" s="31" t="s">
        <v>67</v>
      </c>
      <c r="G8" s="26"/>
      <c r="H8" s="26"/>
      <c r="I8" s="32" t="s">
        <v>68</v>
      </c>
      <c r="J8" s="26"/>
      <c r="K8" s="26"/>
      <c r="L8" s="26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/>
      <c r="B9" s="13"/>
      <c r="C9" s="19"/>
      <c r="D9" s="19"/>
      <c r="E9" s="19"/>
      <c r="F9" s="19"/>
      <c r="G9" s="19"/>
      <c r="H9" s="20">
        <v>2.0</v>
      </c>
      <c r="I9" s="24" t="s">
        <v>69</v>
      </c>
      <c r="J9" s="19"/>
      <c r="K9" s="25"/>
      <c r="L9" s="2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33"/>
      <c r="B10" s="33"/>
      <c r="C10" s="34"/>
      <c r="D10" s="34"/>
      <c r="E10" s="34"/>
      <c r="F10" s="34"/>
      <c r="G10" s="34"/>
      <c r="H10" s="35"/>
      <c r="I10" s="36" t="s">
        <v>70</v>
      </c>
      <c r="J10" s="34"/>
      <c r="K10" s="37"/>
      <c r="L10" s="37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13"/>
      <c r="B11" s="13"/>
      <c r="C11" s="19"/>
      <c r="D11" s="19"/>
      <c r="E11" s="19"/>
      <c r="F11" s="19"/>
      <c r="G11" s="19"/>
      <c r="H11" s="24">
        <v>3.0</v>
      </c>
      <c r="I11" s="24" t="s">
        <v>71</v>
      </c>
      <c r="J11" s="19"/>
      <c r="K11" s="19"/>
      <c r="L11" s="19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9.5" customHeight="1">
      <c r="A12" s="13"/>
      <c r="B12" s="13"/>
      <c r="C12" s="34"/>
      <c r="D12" s="34"/>
      <c r="E12" s="34"/>
      <c r="F12" s="38"/>
      <c r="G12" s="34"/>
      <c r="H12" s="39"/>
      <c r="I12" s="36" t="s">
        <v>72</v>
      </c>
      <c r="J12" s="34"/>
      <c r="K12" s="34"/>
      <c r="L12" s="3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32.25" customHeight="1">
      <c r="A13" s="13"/>
      <c r="B13" s="13"/>
      <c r="C13" s="34"/>
      <c r="D13" s="34"/>
      <c r="E13" s="34"/>
      <c r="F13" s="38" t="s">
        <v>73</v>
      </c>
      <c r="G13" s="34"/>
      <c r="H13" s="39" t="s">
        <v>74</v>
      </c>
      <c r="I13" s="40" t="s">
        <v>75</v>
      </c>
      <c r="J13" s="34"/>
      <c r="K13" s="34"/>
      <c r="L13" s="3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4"/>
      <c r="D14" s="34"/>
      <c r="E14" s="34"/>
      <c r="F14" s="34"/>
      <c r="G14" s="34"/>
      <c r="H14" s="39"/>
      <c r="I14" s="36" t="s">
        <v>76</v>
      </c>
      <c r="J14" s="38"/>
      <c r="K14" s="38"/>
      <c r="L14" s="3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4"/>
      <c r="D15" s="34"/>
      <c r="E15" s="34"/>
      <c r="F15" s="34"/>
      <c r="G15" s="34"/>
      <c r="H15" s="39"/>
      <c r="I15" s="30" t="s">
        <v>77</v>
      </c>
      <c r="J15" s="38">
        <v>0.75</v>
      </c>
      <c r="K15" s="38">
        <v>1.0</v>
      </c>
      <c r="L15" s="3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4"/>
      <c r="D16" s="34"/>
      <c r="E16" s="34"/>
      <c r="F16" s="41" t="s">
        <v>78</v>
      </c>
      <c r="G16" s="34"/>
      <c r="H16" s="39"/>
      <c r="I16" s="42" t="s">
        <v>79</v>
      </c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4"/>
      <c r="D17" s="34"/>
      <c r="E17" s="34"/>
      <c r="F17" s="41" t="s">
        <v>78</v>
      </c>
      <c r="G17" s="34"/>
      <c r="H17" s="39"/>
      <c r="I17" s="42" t="s">
        <v>80</v>
      </c>
      <c r="J17" s="34"/>
      <c r="K17" s="34"/>
      <c r="L17" s="3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4"/>
      <c r="D18" s="34"/>
      <c r="E18" s="34"/>
      <c r="F18" s="41" t="s">
        <v>78</v>
      </c>
      <c r="G18" s="34"/>
      <c r="H18" s="39"/>
      <c r="I18" s="42" t="s">
        <v>81</v>
      </c>
      <c r="J18" s="34"/>
      <c r="K18" s="34"/>
      <c r="L18" s="3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4"/>
      <c r="D19" s="34"/>
      <c r="E19" s="34"/>
      <c r="F19" s="41" t="s">
        <v>78</v>
      </c>
      <c r="G19" s="34"/>
      <c r="H19" s="39"/>
      <c r="I19" s="42" t="s">
        <v>82</v>
      </c>
      <c r="J19" s="34"/>
      <c r="K19" s="34"/>
      <c r="L19" s="3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4"/>
      <c r="D20" s="34"/>
      <c r="E20" s="34"/>
      <c r="F20" s="41"/>
      <c r="G20" s="34"/>
      <c r="H20" s="39"/>
      <c r="I20" s="30" t="s">
        <v>83</v>
      </c>
      <c r="J20" s="34"/>
      <c r="K20" s="38">
        <v>1.0</v>
      </c>
      <c r="L20" s="3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4"/>
      <c r="D21" s="34"/>
      <c r="E21" s="34"/>
      <c r="F21" s="41"/>
      <c r="G21" s="34"/>
      <c r="H21" s="39"/>
      <c r="I21" s="36" t="s">
        <v>84</v>
      </c>
      <c r="J21" s="34"/>
      <c r="K21" s="38"/>
      <c r="L21" s="3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4"/>
      <c r="D22" s="34"/>
      <c r="E22" s="34"/>
      <c r="F22" s="43"/>
      <c r="G22" s="34"/>
      <c r="H22" s="39"/>
      <c r="I22" s="30" t="s">
        <v>85</v>
      </c>
      <c r="J22" s="34"/>
      <c r="K22" s="38">
        <v>1.0</v>
      </c>
      <c r="L22" s="3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4"/>
      <c r="D23" s="34"/>
      <c r="E23" s="34"/>
      <c r="F23" s="38" t="s">
        <v>86</v>
      </c>
      <c r="G23" s="34"/>
      <c r="H23" s="39"/>
      <c r="I23" s="42" t="s">
        <v>87</v>
      </c>
      <c r="J23" s="34"/>
      <c r="K23" s="34"/>
      <c r="L23" s="3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4"/>
      <c r="D24" s="34"/>
      <c r="E24" s="34"/>
      <c r="F24" s="43"/>
      <c r="G24" s="34"/>
      <c r="H24" s="39"/>
      <c r="I24" s="30" t="s">
        <v>88</v>
      </c>
      <c r="J24" s="34"/>
      <c r="K24" s="38">
        <v>1.0</v>
      </c>
      <c r="L24" s="3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4"/>
      <c r="D25" s="34"/>
      <c r="E25" s="34"/>
      <c r="F25" s="43"/>
      <c r="G25" s="34"/>
      <c r="H25" s="39"/>
      <c r="I25" s="38" t="s">
        <v>89</v>
      </c>
      <c r="J25" s="34"/>
      <c r="K25" s="34"/>
      <c r="L25" s="3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19"/>
      <c r="D26" s="19"/>
      <c r="E26" s="19"/>
      <c r="F26" s="19"/>
      <c r="G26" s="19"/>
      <c r="H26" s="24">
        <v>4.0</v>
      </c>
      <c r="I26" s="24" t="s">
        <v>90</v>
      </c>
      <c r="J26" s="19"/>
      <c r="K26" s="19"/>
      <c r="L26" s="19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4"/>
      <c r="D27" s="34"/>
      <c r="E27" s="34"/>
      <c r="F27" s="34"/>
      <c r="G27" s="34"/>
      <c r="H27" s="39"/>
      <c r="I27" s="44" t="s">
        <v>91</v>
      </c>
      <c r="J27" s="34"/>
      <c r="K27" s="34"/>
      <c r="L27" s="3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4"/>
      <c r="D28" s="34"/>
      <c r="E28" s="34"/>
      <c r="F28" s="34"/>
      <c r="G28" s="34"/>
      <c r="H28" s="39"/>
      <c r="I28" s="30" t="s">
        <v>77</v>
      </c>
      <c r="J28" s="38">
        <v>0.5</v>
      </c>
      <c r="K28" s="38">
        <v>1.0</v>
      </c>
      <c r="L28" s="3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4"/>
      <c r="D29" s="34"/>
      <c r="E29" s="34"/>
      <c r="F29" s="41" t="s">
        <v>92</v>
      </c>
      <c r="G29" s="34"/>
      <c r="H29" s="39"/>
      <c r="I29" s="42" t="s">
        <v>93</v>
      </c>
      <c r="J29" s="34"/>
      <c r="K29" s="34"/>
      <c r="L29" s="3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4"/>
      <c r="D30" s="34"/>
      <c r="E30" s="34"/>
      <c r="F30" s="41" t="s">
        <v>92</v>
      </c>
      <c r="G30" s="34"/>
      <c r="H30" s="39"/>
      <c r="I30" s="42" t="s">
        <v>94</v>
      </c>
      <c r="J30" s="34"/>
      <c r="K30" s="34"/>
      <c r="L30" s="3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4"/>
      <c r="D31" s="34"/>
      <c r="E31" s="34"/>
      <c r="F31" s="41"/>
      <c r="G31" s="34"/>
      <c r="H31" s="39"/>
      <c r="I31" s="42" t="s">
        <v>95</v>
      </c>
      <c r="J31" s="34"/>
      <c r="K31" s="34"/>
      <c r="L31" s="3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4"/>
      <c r="D32" s="34"/>
      <c r="E32" s="34"/>
      <c r="F32" s="34"/>
      <c r="G32" s="34"/>
      <c r="H32" s="39"/>
      <c r="I32" s="30" t="s">
        <v>88</v>
      </c>
      <c r="J32" s="34"/>
      <c r="K32" s="38">
        <v>1.0</v>
      </c>
      <c r="L32" s="3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33"/>
      <c r="B33" s="33"/>
      <c r="C33" s="34"/>
      <c r="D33" s="34"/>
      <c r="E33" s="34"/>
      <c r="F33" s="34"/>
      <c r="G33" s="34"/>
      <c r="H33" s="39"/>
      <c r="I33" s="38" t="s">
        <v>89</v>
      </c>
      <c r="J33" s="34"/>
      <c r="K33" s="34"/>
      <c r="L33" s="34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13"/>
      <c r="B34" s="13"/>
      <c r="C34" s="19"/>
      <c r="D34" s="19"/>
      <c r="E34" s="19"/>
      <c r="F34" s="19"/>
      <c r="G34" s="19"/>
      <c r="H34" s="24">
        <v>5.0</v>
      </c>
      <c r="I34" s="24" t="s">
        <v>96</v>
      </c>
      <c r="J34" s="19"/>
      <c r="K34" s="19"/>
      <c r="L34" s="1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4"/>
      <c r="D35" s="34"/>
      <c r="E35" s="34"/>
      <c r="F35" s="34"/>
      <c r="G35" s="34"/>
      <c r="H35" s="39"/>
      <c r="I35" s="36" t="s">
        <v>97</v>
      </c>
      <c r="J35" s="34"/>
      <c r="K35" s="34"/>
      <c r="L35" s="34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4"/>
      <c r="D36" s="34"/>
      <c r="E36" s="34"/>
      <c r="F36" s="34"/>
      <c r="G36" s="34"/>
      <c r="H36" s="39"/>
      <c r="I36" s="30" t="s">
        <v>77</v>
      </c>
      <c r="J36" s="38">
        <v>0.5</v>
      </c>
      <c r="K36" s="38"/>
      <c r="L36" s="38">
        <v>2.0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4"/>
      <c r="D37" s="34"/>
      <c r="E37" s="34"/>
      <c r="F37" s="34"/>
      <c r="G37" s="34"/>
      <c r="H37" s="39"/>
      <c r="I37" s="42" t="s">
        <v>98</v>
      </c>
      <c r="J37" s="34"/>
      <c r="K37" s="34"/>
      <c r="L37" s="3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4"/>
      <c r="D38" s="34"/>
      <c r="E38" s="34"/>
      <c r="F38" s="34"/>
      <c r="G38" s="34"/>
      <c r="H38" s="39"/>
      <c r="I38" s="42" t="s">
        <v>99</v>
      </c>
      <c r="J38" s="34"/>
      <c r="K38" s="34"/>
      <c r="L38" s="34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4"/>
      <c r="D39" s="34"/>
      <c r="E39" s="34"/>
      <c r="F39" s="34"/>
      <c r="G39" s="34"/>
      <c r="H39" s="39"/>
      <c r="I39" s="42" t="s">
        <v>100</v>
      </c>
      <c r="J39" s="34"/>
      <c r="K39" s="34"/>
      <c r="L39" s="3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4"/>
      <c r="D40" s="34"/>
      <c r="E40" s="34"/>
      <c r="F40" s="34"/>
      <c r="G40" s="34"/>
      <c r="H40" s="39"/>
      <c r="I40" s="30" t="s">
        <v>88</v>
      </c>
      <c r="J40" s="34"/>
      <c r="K40" s="38"/>
      <c r="L40" s="38">
        <v>2.0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19"/>
      <c r="D41" s="19"/>
      <c r="E41" s="19"/>
      <c r="F41" s="19"/>
      <c r="G41" s="19"/>
      <c r="H41" s="24">
        <v>6.0</v>
      </c>
      <c r="I41" s="24" t="s">
        <v>101</v>
      </c>
      <c r="J41" s="19"/>
      <c r="K41" s="19"/>
      <c r="L41" s="1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4"/>
      <c r="D42" s="34"/>
      <c r="E42" s="34"/>
      <c r="F42" s="34"/>
      <c r="G42" s="34"/>
      <c r="H42" s="39"/>
      <c r="I42" s="36" t="s">
        <v>97</v>
      </c>
      <c r="J42" s="34"/>
      <c r="K42" s="34"/>
      <c r="L42" s="3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4"/>
      <c r="D43" s="34"/>
      <c r="E43" s="34"/>
      <c r="F43" s="34"/>
      <c r="G43" s="34"/>
      <c r="H43" s="39"/>
      <c r="I43" s="30" t="s">
        <v>77</v>
      </c>
      <c r="J43" s="38">
        <v>0.5</v>
      </c>
      <c r="K43" s="38">
        <v>1.0</v>
      </c>
      <c r="L43" s="3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4"/>
      <c r="D44" s="34"/>
      <c r="E44" s="34"/>
      <c r="F44" s="34"/>
      <c r="G44" s="34"/>
      <c r="H44" s="39"/>
      <c r="I44" s="42" t="s">
        <v>102</v>
      </c>
      <c r="J44" s="34"/>
      <c r="K44" s="34"/>
      <c r="L44" s="3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5.75" customHeight="1">
      <c r="A45" s="13"/>
      <c r="B45" s="13"/>
      <c r="C45" s="34"/>
      <c r="D45" s="34"/>
      <c r="E45" s="34"/>
      <c r="F45" s="34"/>
      <c r="G45" s="34"/>
      <c r="H45" s="39"/>
      <c r="I45" s="42" t="s">
        <v>103</v>
      </c>
      <c r="J45" s="34"/>
      <c r="K45" s="34"/>
      <c r="L45" s="3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4"/>
      <c r="D46" s="34"/>
      <c r="E46" s="34"/>
      <c r="F46" s="34"/>
      <c r="G46" s="34"/>
      <c r="H46" s="39"/>
      <c r="I46" s="30" t="s">
        <v>88</v>
      </c>
      <c r="J46" s="34"/>
      <c r="K46" s="38">
        <v>1.0</v>
      </c>
      <c r="L46" s="3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19"/>
      <c r="D47" s="19"/>
      <c r="E47" s="19"/>
      <c r="F47" s="19"/>
      <c r="G47" s="19"/>
      <c r="H47" s="24">
        <v>7.0</v>
      </c>
      <c r="I47" s="24" t="s">
        <v>104</v>
      </c>
      <c r="J47" s="19"/>
      <c r="K47" s="19"/>
      <c r="L47" s="1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19"/>
      <c r="D48" s="19"/>
      <c r="E48" s="19"/>
      <c r="F48" s="19"/>
      <c r="G48" s="19"/>
      <c r="H48" s="24">
        <v>8.0</v>
      </c>
      <c r="I48" s="24" t="s">
        <v>105</v>
      </c>
      <c r="J48" s="19"/>
      <c r="K48" s="19"/>
      <c r="L48" s="1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45"/>
      <c r="I49" s="45"/>
      <c r="J49" s="33">
        <f t="shared" ref="J49:L49" si="1">SUM(J5:J48)</f>
        <v>2.25</v>
      </c>
      <c r="K49" s="33">
        <f t="shared" si="1"/>
        <v>8</v>
      </c>
      <c r="L49" s="33">
        <f t="shared" si="1"/>
        <v>4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45"/>
      <c r="I50" s="45" t="s">
        <v>106</v>
      </c>
      <c r="J50" s="46">
        <v>0.75</v>
      </c>
      <c r="K50" s="46">
        <v>4.0</v>
      </c>
      <c r="L50" s="3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45"/>
      <c r="I51" s="45" t="s">
        <v>107</v>
      </c>
      <c r="J51" s="33">
        <f t="shared" ref="J51:L51" si="2">J49-J50</f>
        <v>1.5</v>
      </c>
      <c r="K51" s="33">
        <f t="shared" si="2"/>
        <v>4</v>
      </c>
      <c r="L51" s="33">
        <f t="shared" si="2"/>
        <v>4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45"/>
      <c r="I52" s="45"/>
      <c r="J52" s="33"/>
      <c r="K52" s="33"/>
      <c r="L52" s="3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45"/>
      <c r="I53" s="45"/>
      <c r="J53" s="33"/>
      <c r="K53" s="33"/>
      <c r="L53" s="3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45"/>
      <c r="I54" s="45"/>
      <c r="J54" s="33"/>
      <c r="K54" s="33"/>
      <c r="L54" s="3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45"/>
      <c r="I55" s="45"/>
      <c r="J55" s="33"/>
      <c r="K55" s="33"/>
      <c r="L55" s="3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45"/>
      <c r="I56" s="45"/>
      <c r="J56" s="33"/>
      <c r="K56" s="33"/>
      <c r="L56" s="3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11.38"/>
    <col customWidth="1" min="4" max="4" width="13.63"/>
    <col customWidth="1" min="5" max="5" width="54.13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8.88"/>
    <col customWidth="1" min="19" max="19" width="28.75"/>
    <col customWidth="1" min="20" max="30" width="14.63"/>
  </cols>
  <sheetData>
    <row r="1" ht="15.7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47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48" t="s">
        <v>108</v>
      </c>
      <c r="M2" s="47"/>
      <c r="N2" s="13"/>
      <c r="O2" s="48" t="s">
        <v>108</v>
      </c>
      <c r="P2" s="13"/>
      <c r="Q2" s="13"/>
      <c r="R2" s="13"/>
      <c r="S2" s="49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28.5" customHeight="1">
      <c r="A3" s="50"/>
      <c r="B3" s="51" t="s">
        <v>109</v>
      </c>
      <c r="C3" s="51" t="s">
        <v>110</v>
      </c>
      <c r="D3" s="51" t="s">
        <v>111</v>
      </c>
      <c r="E3" s="52" t="s">
        <v>112</v>
      </c>
      <c r="F3" s="52" t="s">
        <v>53</v>
      </c>
      <c r="G3" s="52" t="s">
        <v>113</v>
      </c>
      <c r="H3" s="51" t="s">
        <v>114</v>
      </c>
      <c r="I3" s="51" t="s">
        <v>115</v>
      </c>
      <c r="J3" s="53"/>
      <c r="K3" s="54" t="s">
        <v>116</v>
      </c>
      <c r="L3" s="54" t="s">
        <v>117</v>
      </c>
      <c r="M3" s="54" t="s">
        <v>118</v>
      </c>
      <c r="N3" s="50"/>
      <c r="O3" s="55" t="s">
        <v>119</v>
      </c>
      <c r="P3" s="56"/>
      <c r="Q3" s="56"/>
      <c r="R3" s="57"/>
      <c r="S3" s="58"/>
      <c r="T3" s="57"/>
      <c r="U3" s="50"/>
      <c r="V3" s="50"/>
      <c r="W3" s="50"/>
      <c r="X3" s="50"/>
      <c r="Y3" s="50"/>
      <c r="Z3" s="50"/>
      <c r="AA3" s="50"/>
      <c r="AB3" s="50"/>
      <c r="AC3" s="50"/>
      <c r="AD3" s="50"/>
    </row>
    <row r="4" ht="28.5" customHeight="1">
      <c r="A4" s="13"/>
      <c r="B4" s="19"/>
      <c r="C4" s="19"/>
      <c r="D4" s="19"/>
      <c r="E4" s="19"/>
      <c r="F4" s="19"/>
      <c r="G4" s="19"/>
      <c r="H4" s="19"/>
      <c r="I4" s="19"/>
      <c r="J4" s="13"/>
      <c r="K4" s="59"/>
      <c r="L4" s="59"/>
      <c r="M4" s="59"/>
      <c r="N4" s="60"/>
      <c r="O4" s="61" t="s">
        <v>120</v>
      </c>
      <c r="P4" s="62" t="s">
        <v>121</v>
      </c>
      <c r="Q4" s="62" t="s">
        <v>122</v>
      </c>
      <c r="R4" s="62" t="s">
        <v>123</v>
      </c>
      <c r="S4" s="62" t="s">
        <v>124</v>
      </c>
      <c r="T4" s="62" t="s">
        <v>125</v>
      </c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26.25" customHeight="1">
      <c r="A5" s="13"/>
      <c r="B5" s="26"/>
      <c r="C5" s="26"/>
      <c r="D5" s="26"/>
      <c r="E5" s="41" t="s">
        <v>126</v>
      </c>
      <c r="F5" s="63" t="s">
        <v>127</v>
      </c>
      <c r="G5" s="64" t="s">
        <v>128</v>
      </c>
      <c r="H5" s="64" t="s">
        <v>129</v>
      </c>
      <c r="I5" s="65" t="s">
        <v>130</v>
      </c>
      <c r="J5" s="13"/>
      <c r="K5" s="66"/>
      <c r="L5" s="66"/>
      <c r="M5" s="66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26.25" customHeight="1">
      <c r="A6" s="13"/>
      <c r="B6" s="67" t="s">
        <v>131</v>
      </c>
      <c r="C6" s="68" t="s">
        <v>132</v>
      </c>
      <c r="D6" s="68" t="s">
        <v>133</v>
      </c>
      <c r="E6" s="69" t="s">
        <v>134</v>
      </c>
      <c r="F6" s="63" t="s">
        <v>135</v>
      </c>
      <c r="G6" s="70" t="s">
        <v>136</v>
      </c>
      <c r="H6" s="70" t="s">
        <v>137</v>
      </c>
      <c r="I6" s="71" t="s">
        <v>137</v>
      </c>
      <c r="J6" s="13"/>
      <c r="K6" s="72">
        <v>180000.0</v>
      </c>
      <c r="L6" s="72">
        <f>K6*4%</f>
        <v>7200</v>
      </c>
      <c r="M6" s="72">
        <f>K6-L6</f>
        <v>172800</v>
      </c>
      <c r="N6" s="13"/>
      <c r="O6" s="63" t="s">
        <v>135</v>
      </c>
      <c r="P6" s="73">
        <v>46126.0</v>
      </c>
      <c r="Q6" s="74">
        <v>172800.0</v>
      </c>
      <c r="R6" s="17" t="s">
        <v>138</v>
      </c>
      <c r="S6" s="17" t="s">
        <v>139</v>
      </c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5.75" customHeight="1">
      <c r="A7" s="13"/>
      <c r="B7" s="26"/>
      <c r="C7" s="26"/>
      <c r="D7" s="29" t="s">
        <v>140</v>
      </c>
      <c r="E7" s="42" t="s">
        <v>141</v>
      </c>
      <c r="F7" s="41" t="s">
        <v>142</v>
      </c>
      <c r="G7" s="64" t="s">
        <v>136</v>
      </c>
      <c r="H7" s="64" t="s">
        <v>143</v>
      </c>
      <c r="I7" s="65" t="s">
        <v>143</v>
      </c>
      <c r="J7" s="13"/>
      <c r="K7" s="75"/>
      <c r="L7" s="75"/>
      <c r="M7" s="7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5.75" customHeight="1">
      <c r="A8" s="13"/>
      <c r="B8" s="26"/>
      <c r="C8" s="26"/>
      <c r="D8" s="29" t="s">
        <v>140</v>
      </c>
      <c r="E8" s="42" t="s">
        <v>144</v>
      </c>
      <c r="F8" s="41" t="s">
        <v>142</v>
      </c>
      <c r="G8" s="64" t="s">
        <v>136</v>
      </c>
      <c r="H8" s="64" t="s">
        <v>129</v>
      </c>
      <c r="I8" s="65" t="s">
        <v>129</v>
      </c>
      <c r="J8" s="13"/>
      <c r="K8" s="75"/>
      <c r="L8" s="75"/>
      <c r="M8" s="75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5.75" customHeight="1">
      <c r="A9" s="13"/>
      <c r="B9" s="26"/>
      <c r="C9" s="26"/>
      <c r="D9" s="29" t="s">
        <v>140</v>
      </c>
      <c r="E9" s="42" t="s">
        <v>145</v>
      </c>
      <c r="F9" s="41" t="s">
        <v>142</v>
      </c>
      <c r="G9" s="64" t="s">
        <v>136</v>
      </c>
      <c r="H9" s="64" t="s">
        <v>146</v>
      </c>
      <c r="I9" s="65" t="s">
        <v>146</v>
      </c>
      <c r="J9" s="13"/>
      <c r="K9" s="75"/>
      <c r="L9" s="75"/>
      <c r="M9" s="75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5.75" customHeight="1">
      <c r="A10" s="13"/>
      <c r="B10" s="26"/>
      <c r="C10" s="26"/>
      <c r="D10" s="29" t="s">
        <v>140</v>
      </c>
      <c r="E10" s="42" t="s">
        <v>147</v>
      </c>
      <c r="F10" s="41" t="s">
        <v>142</v>
      </c>
      <c r="G10" s="64" t="s">
        <v>136</v>
      </c>
      <c r="H10" s="64" t="s">
        <v>148</v>
      </c>
      <c r="I10" s="65" t="s">
        <v>148</v>
      </c>
      <c r="J10" s="13"/>
      <c r="K10" s="75"/>
      <c r="L10" s="75"/>
      <c r="M10" s="75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5.75" customHeight="1">
      <c r="A11" s="13"/>
      <c r="B11" s="26"/>
      <c r="C11" s="26"/>
      <c r="D11" s="29" t="s">
        <v>140</v>
      </c>
      <c r="E11" s="42" t="s">
        <v>149</v>
      </c>
      <c r="F11" s="41" t="s">
        <v>142</v>
      </c>
      <c r="G11" s="64" t="s">
        <v>136</v>
      </c>
      <c r="H11" s="64" t="s">
        <v>150</v>
      </c>
      <c r="I11" s="65" t="s">
        <v>150</v>
      </c>
      <c r="J11" s="13"/>
      <c r="K11" s="75"/>
      <c r="L11" s="75"/>
      <c r="M11" s="7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5.75" customHeight="1">
      <c r="A12" s="13"/>
      <c r="B12" s="26"/>
      <c r="C12" s="26"/>
      <c r="D12" s="29" t="s">
        <v>140</v>
      </c>
      <c r="E12" s="42" t="s">
        <v>79</v>
      </c>
      <c r="F12" s="41" t="s">
        <v>78</v>
      </c>
      <c r="G12" s="64" t="s">
        <v>136</v>
      </c>
      <c r="H12" s="64" t="s">
        <v>151</v>
      </c>
      <c r="I12" s="65" t="s">
        <v>151</v>
      </c>
      <c r="J12" s="13"/>
      <c r="K12" s="75"/>
      <c r="L12" s="75"/>
      <c r="M12" s="75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5.75" customHeight="1">
      <c r="A13" s="13"/>
      <c r="B13" s="26"/>
      <c r="C13" s="26"/>
      <c r="D13" s="29" t="s">
        <v>140</v>
      </c>
      <c r="E13" s="42" t="s">
        <v>87</v>
      </c>
      <c r="F13" s="41" t="s">
        <v>86</v>
      </c>
      <c r="G13" s="64" t="s">
        <v>128</v>
      </c>
      <c r="H13" s="64" t="s">
        <v>152</v>
      </c>
      <c r="I13" s="65" t="s">
        <v>153</v>
      </c>
      <c r="J13" s="13"/>
      <c r="K13" s="75"/>
      <c r="L13" s="75"/>
      <c r="M13" s="75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5.75" customHeight="1">
      <c r="A14" s="13"/>
      <c r="B14" s="26"/>
      <c r="C14" s="26"/>
      <c r="D14" s="29" t="s">
        <v>140</v>
      </c>
      <c r="E14" s="42" t="s">
        <v>82</v>
      </c>
      <c r="F14" s="41" t="s">
        <v>78</v>
      </c>
      <c r="G14" s="64" t="s">
        <v>136</v>
      </c>
      <c r="H14" s="64" t="s">
        <v>154</v>
      </c>
      <c r="I14" s="65" t="s">
        <v>154</v>
      </c>
      <c r="J14" s="13"/>
      <c r="K14" s="75"/>
      <c r="L14" s="75"/>
      <c r="M14" s="7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5.75" customHeight="1">
      <c r="A15" s="13"/>
      <c r="B15" s="26"/>
      <c r="C15" s="26"/>
      <c r="D15" s="29" t="s">
        <v>140</v>
      </c>
      <c r="E15" s="42" t="s">
        <v>155</v>
      </c>
      <c r="F15" s="41" t="s">
        <v>78</v>
      </c>
      <c r="G15" s="64" t="s">
        <v>136</v>
      </c>
      <c r="H15" s="64" t="s">
        <v>156</v>
      </c>
      <c r="I15" s="65" t="s">
        <v>156</v>
      </c>
      <c r="J15" s="13"/>
      <c r="K15" s="75"/>
      <c r="L15" s="75"/>
      <c r="M15" s="75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5.75" customHeight="1">
      <c r="A16" s="13"/>
      <c r="B16" s="26"/>
      <c r="C16" s="26"/>
      <c r="D16" s="29" t="s">
        <v>140</v>
      </c>
      <c r="E16" s="42" t="s">
        <v>98</v>
      </c>
      <c r="F16" s="41"/>
      <c r="G16" s="64" t="s">
        <v>136</v>
      </c>
      <c r="H16" s="64" t="s">
        <v>157</v>
      </c>
      <c r="I16" s="65" t="s">
        <v>157</v>
      </c>
      <c r="J16" s="13"/>
      <c r="K16" s="75"/>
      <c r="L16" s="75"/>
      <c r="M16" s="75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5.75" customHeight="1">
      <c r="A17" s="13"/>
      <c r="B17" s="26"/>
      <c r="C17" s="26"/>
      <c r="D17" s="29" t="s">
        <v>140</v>
      </c>
      <c r="E17" s="42" t="s">
        <v>99</v>
      </c>
      <c r="F17" s="41"/>
      <c r="G17" s="64" t="s">
        <v>136</v>
      </c>
      <c r="H17" s="64" t="s">
        <v>157</v>
      </c>
      <c r="I17" s="65" t="s">
        <v>157</v>
      </c>
      <c r="J17" s="13"/>
      <c r="K17" s="75"/>
      <c r="L17" s="75"/>
      <c r="M17" s="75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5.75" customHeight="1">
      <c r="A18" s="13"/>
      <c r="B18" s="26"/>
      <c r="C18" s="26"/>
      <c r="D18" s="29" t="s">
        <v>140</v>
      </c>
      <c r="E18" s="42" t="s">
        <v>100</v>
      </c>
      <c r="F18" s="41"/>
      <c r="G18" s="64" t="s">
        <v>136</v>
      </c>
      <c r="H18" s="64"/>
      <c r="I18" s="65"/>
      <c r="J18" s="13"/>
      <c r="K18" s="75"/>
      <c r="L18" s="75"/>
      <c r="M18" s="75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5.75" customHeight="1">
      <c r="A19" s="13"/>
      <c r="B19" s="26"/>
      <c r="C19" s="26"/>
      <c r="D19" s="29" t="s">
        <v>140</v>
      </c>
      <c r="E19" s="42" t="s">
        <v>102</v>
      </c>
      <c r="F19" s="41"/>
      <c r="G19" s="64" t="s">
        <v>136</v>
      </c>
      <c r="H19" s="64" t="s">
        <v>158</v>
      </c>
      <c r="I19" s="65" t="s">
        <v>158</v>
      </c>
      <c r="J19" s="13"/>
      <c r="K19" s="75"/>
      <c r="L19" s="75"/>
      <c r="M19" s="75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5.75" customHeight="1">
      <c r="A20" s="13"/>
      <c r="B20" s="26"/>
      <c r="C20" s="26"/>
      <c r="D20" s="29" t="s">
        <v>140</v>
      </c>
      <c r="E20" s="42" t="s">
        <v>103</v>
      </c>
      <c r="F20" s="41"/>
      <c r="G20" s="64" t="s">
        <v>136</v>
      </c>
      <c r="H20" s="64" t="s">
        <v>159</v>
      </c>
      <c r="I20" s="65" t="s">
        <v>159</v>
      </c>
      <c r="J20" s="13"/>
      <c r="K20" s="75"/>
      <c r="L20" s="75"/>
      <c r="M20" s="75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5.75" customHeight="1">
      <c r="A21" s="13"/>
      <c r="B21" s="26"/>
      <c r="C21" s="26"/>
      <c r="D21" s="26"/>
      <c r="E21" s="42" t="s">
        <v>160</v>
      </c>
      <c r="F21" s="41" t="s">
        <v>161</v>
      </c>
      <c r="G21" s="64" t="s">
        <v>136</v>
      </c>
      <c r="H21" s="64" t="s">
        <v>162</v>
      </c>
      <c r="I21" s="65" t="s">
        <v>162</v>
      </c>
      <c r="J21" s="13"/>
      <c r="K21" s="75"/>
      <c r="L21" s="75"/>
      <c r="M21" s="75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5.75" customHeight="1">
      <c r="A22" s="13"/>
      <c r="B22" s="26"/>
      <c r="C22" s="26"/>
      <c r="D22" s="26"/>
      <c r="E22" s="42" t="s">
        <v>163</v>
      </c>
      <c r="F22" s="41" t="s">
        <v>164</v>
      </c>
      <c r="G22" s="64" t="s">
        <v>136</v>
      </c>
      <c r="H22" s="64" t="s">
        <v>137</v>
      </c>
      <c r="I22" s="65" t="s">
        <v>137</v>
      </c>
      <c r="J22" s="13"/>
      <c r="K22" s="75"/>
      <c r="L22" s="75"/>
      <c r="M22" s="75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5.75" customHeight="1">
      <c r="A23" s="13"/>
      <c r="B23" s="26"/>
      <c r="C23" s="26"/>
      <c r="D23" s="26"/>
      <c r="E23" s="42" t="s">
        <v>165</v>
      </c>
      <c r="F23" s="41" t="s">
        <v>166</v>
      </c>
      <c r="G23" s="41" t="s">
        <v>167</v>
      </c>
      <c r="H23" s="64" t="s">
        <v>168</v>
      </c>
      <c r="I23" s="41" t="s">
        <v>169</v>
      </c>
      <c r="J23" s="13"/>
      <c r="K23" s="75"/>
      <c r="L23" s="75"/>
      <c r="M23" s="75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5.75" customHeight="1">
      <c r="A24" s="13"/>
      <c r="B24" s="26"/>
      <c r="C24" s="26"/>
      <c r="D24" s="26"/>
      <c r="E24" s="42" t="s">
        <v>170</v>
      </c>
      <c r="F24" s="41" t="s">
        <v>171</v>
      </c>
      <c r="G24" s="41" t="s">
        <v>172</v>
      </c>
      <c r="H24" s="64" t="s">
        <v>173</v>
      </c>
      <c r="I24" s="41" t="s">
        <v>137</v>
      </c>
      <c r="J24" s="13"/>
      <c r="K24" s="75"/>
      <c r="L24" s="75"/>
      <c r="M24" s="75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25.5" customHeight="1">
      <c r="A25" s="13"/>
      <c r="B25" s="26"/>
      <c r="C25" s="26"/>
      <c r="D25" s="26"/>
      <c r="E25" s="42" t="s">
        <v>174</v>
      </c>
      <c r="F25" s="41" t="s">
        <v>175</v>
      </c>
      <c r="G25" s="41" t="s">
        <v>128</v>
      </c>
      <c r="H25" s="64" t="s">
        <v>176</v>
      </c>
      <c r="I25" s="41" t="s">
        <v>177</v>
      </c>
      <c r="J25" s="13"/>
      <c r="K25" s="75"/>
      <c r="L25" s="75"/>
      <c r="M25" s="7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30.0" customHeight="1">
      <c r="A26" s="13"/>
      <c r="B26" s="26"/>
      <c r="C26" s="26"/>
      <c r="D26" s="29" t="s">
        <v>140</v>
      </c>
      <c r="E26" s="76" t="s">
        <v>178</v>
      </c>
      <c r="F26" s="41" t="s">
        <v>142</v>
      </c>
      <c r="G26" s="64" t="s">
        <v>136</v>
      </c>
      <c r="H26" s="64" t="s">
        <v>179</v>
      </c>
      <c r="I26" s="65" t="s">
        <v>179</v>
      </c>
      <c r="J26" s="13"/>
      <c r="K26" s="75"/>
      <c r="L26" s="75"/>
      <c r="M26" s="75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33.0" customHeight="1">
      <c r="A27" s="13"/>
      <c r="B27" s="26"/>
      <c r="C27" s="26"/>
      <c r="D27" s="29" t="s">
        <v>140</v>
      </c>
      <c r="E27" s="76" t="s">
        <v>180</v>
      </c>
      <c r="F27" s="41" t="s">
        <v>142</v>
      </c>
      <c r="G27" s="64" t="s">
        <v>136</v>
      </c>
      <c r="H27" s="64" t="s">
        <v>181</v>
      </c>
      <c r="I27" s="65" t="s">
        <v>181</v>
      </c>
      <c r="J27" s="13"/>
      <c r="K27" s="75"/>
      <c r="L27" s="75"/>
      <c r="M27" s="75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36.75" customHeight="1">
      <c r="A28" s="13"/>
      <c r="B28" s="26"/>
      <c r="C28" s="26"/>
      <c r="D28" s="29" t="s">
        <v>140</v>
      </c>
      <c r="E28" s="76" t="s">
        <v>182</v>
      </c>
      <c r="F28" s="41" t="s">
        <v>142</v>
      </c>
      <c r="G28" s="64" t="s">
        <v>136</v>
      </c>
      <c r="H28" s="64" t="s">
        <v>183</v>
      </c>
      <c r="I28" s="65" t="s">
        <v>183</v>
      </c>
      <c r="J28" s="13"/>
      <c r="K28" s="75"/>
      <c r="L28" s="75"/>
      <c r="M28" s="7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32.25" customHeight="1">
      <c r="A29" s="13"/>
      <c r="B29" s="26"/>
      <c r="C29" s="26"/>
      <c r="D29" s="29" t="s">
        <v>140</v>
      </c>
      <c r="E29" s="76" t="s">
        <v>93</v>
      </c>
      <c r="F29" s="41" t="s">
        <v>92</v>
      </c>
      <c r="G29" s="64" t="s">
        <v>136</v>
      </c>
      <c r="H29" s="64" t="s">
        <v>184</v>
      </c>
      <c r="I29" s="65" t="s">
        <v>184</v>
      </c>
      <c r="J29" s="13"/>
      <c r="K29" s="75"/>
      <c r="L29" s="75"/>
      <c r="M29" s="75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33.75" customHeight="1">
      <c r="A30" s="13"/>
      <c r="B30" s="26"/>
      <c r="C30" s="26"/>
      <c r="D30" s="29" t="s">
        <v>140</v>
      </c>
      <c r="E30" s="76" t="s">
        <v>94</v>
      </c>
      <c r="F30" s="41" t="s">
        <v>185</v>
      </c>
      <c r="G30" s="64" t="s">
        <v>136</v>
      </c>
      <c r="H30" s="64" t="s">
        <v>186</v>
      </c>
      <c r="I30" s="65" t="s">
        <v>186</v>
      </c>
      <c r="J30" s="13"/>
      <c r="K30" s="75"/>
      <c r="L30" s="75"/>
      <c r="M30" s="75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5.75" customHeight="1">
      <c r="A31" s="13"/>
      <c r="B31" s="26"/>
      <c r="C31" s="26"/>
      <c r="D31" s="26"/>
      <c r="E31" s="77" t="s">
        <v>187</v>
      </c>
      <c r="F31" s="77"/>
      <c r="G31" s="78"/>
      <c r="H31" s="26"/>
      <c r="I31" s="79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5.75" customHeight="1">
      <c r="A32" s="13"/>
      <c r="B32" s="13"/>
      <c r="C32" s="13"/>
      <c r="D32" s="13"/>
      <c r="E32" s="80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28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5.75" customHeight="1">
      <c r="A36" s="13"/>
      <c r="B36" s="13"/>
      <c r="C36" s="13"/>
      <c r="D36" s="13"/>
      <c r="E36" s="13"/>
      <c r="F36" s="13"/>
      <c r="G36" s="13"/>
      <c r="H36" s="79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27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5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5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37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38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</sheetData>
  <mergeCells count="1">
    <mergeCell ref="O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82"/>
      <c r="C20" s="82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drawing r:id="rId1"/>
</worksheet>
</file>