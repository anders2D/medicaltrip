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OSTEO" sheetId="2" r:id="rId5"/>
    <sheet state="visible" name="ITINERARIO" sheetId="3" r:id="rId6"/>
    <sheet state="visible" name="VUELO" sheetId="4" r:id="rId7"/>
    <sheet state="visible" name="CARPETA - ARCHIVO" sheetId="5" r:id="rId8"/>
    <sheet state="visible" name="CONFIRMACIÓN DE SERVICIOS" sheetId="6" r:id="rId9"/>
    <sheet state="visible" name="PAGOS" sheetId="7" r:id="rId10"/>
  </sheets>
  <definedNames/>
  <calcPr/>
  <extLst>
    <ext uri="GoogleSheetsCustomDataVersion2">
      <go:sheetsCustomData xmlns:go="http://customooxmlschemas.google.com/" r:id="rId11" roundtripDataChecksum="vqsYQfVI43q7FJJMAuh9czrl0LmOJTu9JbxF9n0tlNQ="/>
    </ext>
  </extLst>
</workbook>
</file>

<file path=xl/sharedStrings.xml><?xml version="1.0" encoding="utf-8"?>
<sst xmlns="http://schemas.openxmlformats.org/spreadsheetml/2006/main" count="342" uniqueCount="152">
  <si>
    <t>Nombre</t>
  </si>
  <si>
    <t>Janice</t>
  </si>
  <si>
    <t>Apellido</t>
  </si>
  <si>
    <t>Paterson</t>
  </si>
  <si>
    <t>Apellido de casada</t>
  </si>
  <si>
    <t>Género:  .</t>
  </si>
  <si>
    <t>Femenino</t>
  </si>
  <si>
    <t>Pasaporte</t>
  </si>
  <si>
    <t>NXBRH1FH8</t>
  </si>
  <si>
    <t>Fecha de nacimiento</t>
  </si>
  <si>
    <t>Edad</t>
  </si>
  <si>
    <t>Estado civil</t>
  </si>
  <si>
    <t>Soltera</t>
  </si>
  <si>
    <t>Dirección</t>
  </si>
  <si>
    <t xml:space="preserve">Nacionalidad  y  domicilio:  </t>
  </si>
  <si>
    <t xml:space="preserve">Curacao </t>
  </si>
  <si>
    <t>Email:</t>
  </si>
  <si>
    <t>janice.peterson00@gmail.com</t>
  </si>
  <si>
    <t>Teléfono</t>
  </si>
  <si>
    <t xml:space="preserve">Profesión </t>
  </si>
  <si>
    <t>RH</t>
  </si>
  <si>
    <t>O+</t>
  </si>
  <si>
    <t>Seguro</t>
  </si>
  <si>
    <t>Peso</t>
  </si>
  <si>
    <t>103 kg</t>
  </si>
  <si>
    <t>Altura</t>
  </si>
  <si>
    <t>1.63 cm</t>
  </si>
  <si>
    <t>Idioma</t>
  </si>
  <si>
    <t>English . Español</t>
  </si>
  <si>
    <t>Estadia:</t>
  </si>
  <si>
    <t>Salud</t>
  </si>
  <si>
    <t>Libro diario contable</t>
  </si>
  <si>
    <t>PAGOS</t>
  </si>
  <si>
    <t>JANICE</t>
  </si>
  <si>
    <t>Contabilidad</t>
  </si>
  <si>
    <t>Operativo</t>
  </si>
  <si>
    <t>Concepto</t>
  </si>
  <si>
    <t>RTE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</si>
  <si>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</si>
  <si>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</si>
  <si>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</si>
  <si>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</si>
  <si>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</si>
  <si>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</si>
  <si>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</si>
  <si>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</si>
  <si>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DSM 236</t>
  </si>
  <si>
    <t>Carolina</t>
  </si>
  <si>
    <t>Entrevista virtual con médico Funcional</t>
  </si>
  <si>
    <t>Dr Marcos Yepes</t>
  </si>
  <si>
    <t>Jurídica Bancolombia</t>
  </si>
  <si>
    <t>Transferencia Bancaria</t>
  </si>
  <si>
    <t>PRECIO VENTA TOTAL</t>
  </si>
  <si>
    <t>CANTIDADA</t>
  </si>
  <si>
    <t>Precio venta unitario</t>
  </si>
  <si>
    <t xml:space="preserve">PAQUETE DE CHEQUEO MÉDICO </t>
  </si>
  <si>
    <t>1,00 Unidades</t>
  </si>
  <si>
    <t>Póliza de asistencia médica al viajero - producto visitor  por 08 días</t>
  </si>
  <si>
    <t>Colasistencia</t>
  </si>
  <si>
    <t>Tarro fecal y orina</t>
  </si>
  <si>
    <t>Farmacia</t>
  </si>
  <si>
    <t>LABORATORIOS CLÍNICOS</t>
  </si>
  <si>
    <t>Citología</t>
  </si>
  <si>
    <t>CIMA</t>
  </si>
  <si>
    <t>Coprológico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</si>
  <si>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</si>
  <si>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</si>
  <si>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</si>
  <si>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</si>
  <si>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</si>
  <si>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</si>
  <si>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</si>
  <si>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</si>
  <si>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</si>
  <si>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</si>
  <si>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</si>
  <si>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</si>
  <si>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e-GFR-Eritrosedimentación (velocidad de sedimentación globular VSG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</si>
  <si>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</si>
  <si>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</si>
  <si>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</si>
  <si>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</si>
  <si>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</si>
  <si>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</si>
  <si>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</si>
  <si>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</si>
  <si>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Hormona Paratoidea</t>
  </si>
  <si>
    <t>Anticuerpos Tiroideos Peroxidasa (TPO  Ab)</t>
  </si>
  <si>
    <t>Anticuerpos del Receptor de TSH (TRAb)</t>
  </si>
  <si>
    <t>Enfermedades de transmisión sexual</t>
  </si>
  <si>
    <t>VDRL serología</t>
  </si>
  <si>
    <t xml:space="preserve">VIH 1 Y 2, Anticuerpos </t>
  </si>
  <si>
    <t>Perfil Hormonal Femenino, (Se realizan generalmente en los primeros días del ciclo para obtener resultados más precisos).</t>
  </si>
  <si>
    <t xml:space="preserve">Estradiol 17  </t>
  </si>
  <si>
    <t xml:space="preserve">FSH Hormona foliculoestimulante </t>
  </si>
  <si>
    <t>LH Hormona Luteinizante</t>
  </si>
  <si>
    <t>Prolactina</t>
  </si>
  <si>
    <t xml:space="preserve">Progesterona </t>
  </si>
  <si>
    <t>Testosterona total</t>
  </si>
  <si>
    <t>AMH Hormona anti mülleriana</t>
  </si>
  <si>
    <t>IMÁGENES DIAGNÓSTICAS</t>
  </si>
  <si>
    <t>OPCIONAL</t>
  </si>
  <si>
    <t>Radiografía de tórax</t>
  </si>
  <si>
    <t>Ecografía de abdomen total</t>
  </si>
  <si>
    <t>Ecografía de mama</t>
  </si>
  <si>
    <t>Ecografía de tiroides y paratiroides</t>
  </si>
  <si>
    <t>Gamagrafía tiroidea</t>
  </si>
  <si>
    <t>CLÍNICA LAS AMÉRICAS</t>
  </si>
  <si>
    <t>Electrocardiograma</t>
  </si>
  <si>
    <t xml:space="preserve">Resonancia magnética de Columna Lumbar </t>
  </si>
  <si>
    <t>ESPECIALISTAS</t>
  </si>
  <si>
    <t>Consulta de control Dr Marcos</t>
  </si>
  <si>
    <t>Consulta con especialista en GINECOLOGIA-Incluye una ecografía transvaginal</t>
  </si>
  <si>
    <t xml:space="preserve">Consulta con especialista en INTERNISTA  ENDOCRINOLOGÍA </t>
  </si>
  <si>
    <t>Consulta con especialista en NUTRIOLOGÍA VIRTUAL Dra Marlen Villalba</t>
  </si>
  <si>
    <t>Traslados hotel-clínica en CARRO-privado conductor habla español-Hotel en Poblado</t>
  </si>
  <si>
    <t>Acompañamiento presencial en español para citas y exámenes para 8 horas diurnas</t>
  </si>
  <si>
    <t>Paquete acompañamiento virtual y presencial con 4 traslados ida y regreso cerca hotel clinica hotel</t>
  </si>
  <si>
    <t>OPCIONALES</t>
  </si>
  <si>
    <t>Vitamina B12</t>
  </si>
  <si>
    <t>Minerales</t>
  </si>
  <si>
    <t>Fósforo</t>
  </si>
  <si>
    <t xml:space="preserve">Ionograma: Cloro - Sodio - Potasio - Calcio </t>
  </si>
  <si>
    <t>Corazón</t>
  </si>
  <si>
    <t>HCYSP-Homocisteína sérica</t>
  </si>
  <si>
    <t>Prueba de esfuerzo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</si>
  <si>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</si>
  <si>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</si>
  <si>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</si>
  <si>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</si>
  <si>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</si>
  <si>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</si>
  <si>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</si>
  <si>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</si>
  <si>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</si>
  <si>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</si>
  <si>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</si>
  <si>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</si>
  <si>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</si>
  <si>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</si>
  <si>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 xml:space="preserve">Traslado Centro médico -  Hotel </t>
  </si>
  <si>
    <t>almuerzo</t>
  </si>
  <si>
    <t>Resonancia magnética contrastada</t>
  </si>
  <si>
    <t>Ecografía transvaginal</t>
  </si>
  <si>
    <t>Ginecologia</t>
  </si>
  <si>
    <t>Endocrinologo Internista</t>
  </si>
  <si>
    <t>Desayuno en el hotel</t>
  </si>
  <si>
    <t>Traslado hotel - aeropuerto</t>
  </si>
  <si>
    <t>Vuelo internacional Curazao - Medellín</t>
  </si>
  <si>
    <t xml:space="preserve">INCLUIDO EN CHEQUEO </t>
  </si>
  <si>
    <t>cobrar</t>
  </si>
  <si>
    <t>ARCHIVO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</si>
</sst>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d-mm-yyyy"/>
    <numFmt numFmtId="166" formatCode="&quot;$&quot;#,##0"/>
    <numFmt numFmtId="167" formatCode="[$$]#,##0.00"/>
    <numFmt numFmtId="168" formatCode="[$cop]#,##0"/>
    <numFmt numFmtId="169" formatCode="d/MM/yyyy"/>
    <numFmt numFmtId="170" formatCode="dd mmmm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9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color theme="1"/>
      <name val="Lexend"/>
    </font>
    <font>
      <b/>
      <color theme="1"/>
      <name val="Lexend"/>
    </font>
    <font>
      <sz val="9.0"/>
      <color rgb="FF212529"/>
      <name val="Lexend"/>
    </font>
    <font>
      <sz val="11.0"/>
      <color rgb="FF212529"/>
      <name val="Lexend"/>
    </font>
    <font>
      <sz val="8.0"/>
      <color rgb="FF212529"/>
      <name val="Lexend"/>
    </font>
    <font>
      <color rgb="FF212529"/>
      <name val="Lexend"/>
    </font>
    <font>
      <sz val="7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12.0"/>
      <color theme="1"/>
      <name val="Arial"/>
    </font>
    <font>
      <b/>
      <sz val="15.0"/>
      <color rgb="FFFFFFFF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6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167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shrinkToFit="0" vertical="center" wrapText="0"/>
    </xf>
    <xf borderId="0" fillId="3" fontId="5" numFmtId="0" xfId="0" applyAlignment="1" applyFill="1" applyFont="1">
      <alignment vertical="center"/>
    </xf>
    <xf borderId="2" fillId="3" fontId="7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vertical="center"/>
    </xf>
    <xf borderId="2" fillId="3" fontId="4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8" numFmtId="0" xfId="0" applyAlignment="1" applyBorder="1" applyFont="1">
      <alignment shrinkToFit="0" vertical="center" wrapText="1"/>
    </xf>
    <xf borderId="2" fillId="3" fontId="4" numFmtId="168" xfId="0" applyAlignment="1" applyBorder="1" applyFont="1" applyNumberFormat="1">
      <alignment vertical="center"/>
    </xf>
    <xf borderId="2" fillId="3" fontId="4" numFmtId="0" xfId="0" applyAlignment="1" applyBorder="1" applyFont="1">
      <alignment vertical="center"/>
    </xf>
    <xf borderId="0" fillId="0" fontId="5" numFmtId="168" xfId="0" applyAlignment="1" applyFont="1" applyNumberFormat="1">
      <alignment vertical="center"/>
    </xf>
    <xf borderId="1" fillId="3" fontId="7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3" fontId="5" numFmtId="0" xfId="0" applyAlignment="1" applyBorder="1" applyFont="1">
      <alignment horizontal="center" vertical="center"/>
    </xf>
    <xf borderId="2" fillId="4" fontId="10" numFmtId="0" xfId="0" applyAlignment="1" applyBorder="1" applyFill="1" applyFont="1">
      <alignment horizontal="center" readingOrder="0" shrinkToFit="0" vertical="center" wrapText="1"/>
    </xf>
    <xf borderId="2" fillId="4" fontId="10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2" fillId="4" fontId="11" numFmtId="0" xfId="0" applyAlignment="1" applyBorder="1" applyFont="1">
      <alignment horizontal="center" shrinkToFit="0" vertical="center" wrapText="1"/>
    </xf>
    <xf borderId="2" fillId="5" fontId="12" numFmtId="168" xfId="0" applyAlignment="1" applyBorder="1" applyFill="1" applyFont="1" applyNumberFormat="1">
      <alignment horizontal="center" shrinkToFit="0" vertical="center" wrapText="1"/>
    </xf>
    <xf borderId="2" fillId="5" fontId="11" numFmtId="168" xfId="0" applyAlignment="1" applyBorder="1" applyFont="1" applyNumberFormat="1">
      <alignment horizontal="center" shrinkToFit="0" vertical="center" wrapText="1"/>
    </xf>
    <xf borderId="5" fillId="6" fontId="13" numFmtId="168" xfId="0" applyAlignment="1" applyBorder="1" applyFill="1" applyFont="1" applyNumberFormat="1">
      <alignment horizontal="center" shrinkToFit="0" vertical="center" wrapText="1"/>
    </xf>
    <xf borderId="5" fillId="6" fontId="13" numFmtId="169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vertical="center"/>
    </xf>
    <xf borderId="2" fillId="7" fontId="14" numFmtId="0" xfId="0" applyAlignment="1" applyBorder="1" applyFill="1" applyFont="1">
      <alignment readingOrder="0" vertical="center"/>
    </xf>
    <xf borderId="2" fillId="0" fontId="14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vertical="center"/>
    </xf>
    <xf borderId="0" fillId="0" fontId="14" numFmtId="166" xfId="0" applyAlignment="1" applyFont="1" applyNumberFormat="1">
      <alignment vertical="center"/>
    </xf>
    <xf borderId="2" fillId="5" fontId="14" numFmtId="166" xfId="0" applyAlignment="1" applyBorder="1" applyFont="1" applyNumberFormat="1">
      <alignment readingOrder="0" vertical="center"/>
    </xf>
    <xf borderId="0" fillId="0" fontId="14" numFmtId="168" xfId="0" applyAlignment="1" applyFont="1" applyNumberFormat="1">
      <alignment vertical="center"/>
    </xf>
    <xf borderId="2" fillId="0" fontId="14" numFmtId="168" xfId="0" applyAlignment="1" applyBorder="1" applyFont="1" applyNumberFormat="1">
      <alignment readingOrder="0" vertical="center"/>
    </xf>
    <xf borderId="2" fillId="0" fontId="14" numFmtId="167" xfId="0" applyAlignment="1" applyBorder="1" applyFont="1" applyNumberFormat="1">
      <alignment vertical="center"/>
    </xf>
    <xf borderId="2" fillId="0" fontId="14" numFmtId="165" xfId="0" applyAlignment="1" applyBorder="1" applyFont="1" applyNumberFormat="1">
      <alignment readingOrder="0" vertical="center"/>
    </xf>
    <xf borderId="2" fillId="0" fontId="14" numFmtId="166" xfId="0" applyAlignment="1" applyBorder="1" applyFont="1" applyNumberFormat="1">
      <alignment readingOrder="0" vertical="center"/>
    </xf>
    <xf borderId="2" fillId="0" fontId="14" numFmtId="0" xfId="0" applyAlignment="1" applyBorder="1" applyFont="1">
      <alignment horizontal="center" vertical="center"/>
    </xf>
    <xf borderId="5" fillId="0" fontId="14" numFmtId="166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vertical="center"/>
    </xf>
    <xf borderId="2" fillId="3" fontId="8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0" fillId="8" fontId="5" numFmtId="0" xfId="0" applyAlignment="1" applyFill="1" applyFont="1">
      <alignment vertical="center"/>
    </xf>
    <xf borderId="2" fillId="9" fontId="15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2" fillId="0" fontId="16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readingOrder="0" shrinkToFit="0" vertical="center" wrapText="1"/>
    </xf>
    <xf borderId="2" fillId="8" fontId="5" numFmtId="0" xfId="0" applyAlignment="1" applyBorder="1" applyFont="1">
      <alignment vertical="center"/>
    </xf>
    <xf borderId="0" fillId="0" fontId="10" numFmtId="0" xfId="0" applyAlignment="1" applyFont="1">
      <alignment horizontal="center" readingOrder="0" shrinkToFit="0" vertical="center" wrapText="1"/>
    </xf>
    <xf borderId="2" fillId="10" fontId="14" numFmtId="0" xfId="0" applyAlignment="1" applyBorder="1" applyFill="1" applyFont="1">
      <alignment horizontal="center" shrinkToFit="0" vertical="center" wrapText="1"/>
    </xf>
    <xf borderId="2" fillId="10" fontId="16" numFmtId="0" xfId="0" applyAlignment="1" applyBorder="1" applyFont="1">
      <alignment horizontal="center" shrinkToFit="0" vertical="center" wrapText="1"/>
    </xf>
    <xf borderId="2" fillId="11" fontId="2" numFmtId="0" xfId="0" applyAlignment="1" applyBorder="1" applyFill="1" applyFont="1">
      <alignment vertical="center"/>
    </xf>
    <xf borderId="2" fillId="11" fontId="16" numFmtId="0" xfId="0" applyAlignment="1" applyBorder="1" applyFont="1">
      <alignment horizontal="center" shrinkToFit="0" vertical="center" wrapText="1"/>
    </xf>
    <xf borderId="5" fillId="9" fontId="15" numFmtId="0" xfId="0" applyAlignment="1" applyBorder="1" applyFont="1">
      <alignment horizontal="center" shrinkToFit="0" vertical="center" wrapText="1"/>
    </xf>
    <xf borderId="2" fillId="12" fontId="2" numFmtId="0" xfId="0" applyAlignment="1" applyBorder="1" applyFill="1" applyFont="1">
      <alignment vertical="center"/>
    </xf>
    <xf borderId="2" fillId="11" fontId="1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2" fillId="13" fontId="15" numFmtId="0" xfId="0" applyAlignment="1" applyBorder="1" applyFill="1" applyFont="1">
      <alignment horizontal="center" shrinkToFit="0" vertical="center" wrapText="1"/>
    </xf>
    <xf borderId="2" fillId="0" fontId="19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2" fillId="0" fontId="19" numFmtId="0" xfId="0" applyAlignment="1" applyBorder="1" applyFont="1">
      <alignment horizontal="center" readingOrder="0" shrinkToFit="0" vertical="center" wrapText="1"/>
    </xf>
    <xf borderId="2" fillId="10" fontId="14" numFmtId="0" xfId="0" applyAlignment="1" applyBorder="1" applyFont="1">
      <alignment horizontal="center" readingOrder="0" shrinkToFit="0" vertical="center" wrapText="1"/>
    </xf>
    <xf borderId="0" fillId="7" fontId="5" numFmtId="0" xfId="0" applyAlignment="1" applyFont="1">
      <alignment readingOrder="0" vertical="center"/>
    </xf>
    <xf borderId="0" fillId="0" fontId="20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14" fontId="14" numFmtId="0" xfId="0" applyAlignment="1" applyFill="1" applyFont="1">
      <alignment vertical="center"/>
    </xf>
    <xf borderId="0" fillId="0" fontId="21" numFmtId="0" xfId="0" applyAlignment="1" applyFont="1">
      <alignment horizontal="center" vertical="center"/>
    </xf>
    <xf borderId="2" fillId="3" fontId="22" numFmtId="0" xfId="0" applyAlignment="1" applyBorder="1" applyFont="1">
      <alignment horizontal="left" vertical="center"/>
    </xf>
    <xf borderId="2" fillId="3" fontId="14" numFmtId="0" xfId="0" applyAlignment="1" applyBorder="1" applyFont="1">
      <alignment horizontal="center" vertical="center"/>
    </xf>
    <xf borderId="2" fillId="3" fontId="14" numFmtId="0" xfId="0" applyAlignment="1" applyBorder="1" applyFont="1">
      <alignment vertical="center"/>
    </xf>
    <xf borderId="3" fillId="4" fontId="23" numFmtId="0" xfId="0" applyAlignment="1" applyBorder="1" applyFont="1">
      <alignment horizontal="center" shrinkToFit="0" vertical="center" wrapText="1"/>
    </xf>
    <xf borderId="4" fillId="4" fontId="23" numFmtId="0" xfId="0" applyAlignment="1" applyBorder="1" applyFont="1">
      <alignment horizontal="center" shrinkToFit="0" vertical="center" wrapText="1"/>
    </xf>
    <xf borderId="5" fillId="4" fontId="23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shrinkToFit="0" vertical="center" wrapText="1"/>
    </xf>
    <xf borderId="2" fillId="4" fontId="21" numFmtId="0" xfId="0" applyAlignment="1" applyBorder="1" applyFont="1">
      <alignment horizontal="center" vertical="center"/>
    </xf>
    <xf borderId="2" fillId="4" fontId="21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vertical="center"/>
    </xf>
    <xf borderId="4" fillId="4" fontId="14" numFmtId="0" xfId="0" applyAlignment="1" applyBorder="1" applyFont="1">
      <alignment vertical="center"/>
    </xf>
    <xf borderId="2" fillId="0" fontId="21" numFmtId="0" xfId="0" applyAlignment="1" applyBorder="1" applyFont="1">
      <alignment vertical="center"/>
    </xf>
    <xf borderId="2" fillId="0" fontId="14" numFmtId="170" xfId="0" applyAlignment="1" applyBorder="1" applyFont="1" applyNumberFormat="1">
      <alignment vertical="center"/>
    </xf>
    <xf borderId="3" fillId="0" fontId="14" numFmtId="170" xfId="0" applyAlignment="1" applyBorder="1" applyFont="1" applyNumberFormat="1">
      <alignment vertical="center"/>
    </xf>
    <xf borderId="2" fillId="15" fontId="21" numFmtId="0" xfId="0" applyAlignment="1" applyBorder="1" applyFill="1" applyFont="1">
      <alignment vertical="center"/>
    </xf>
    <xf borderId="2" fillId="16" fontId="21" numFmtId="0" xfId="0" applyAlignment="1" applyBorder="1" applyFill="1" applyFont="1">
      <alignment vertical="center"/>
    </xf>
    <xf borderId="2" fillId="4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vertical="center"/>
    </xf>
    <xf borderId="4" fillId="0" fontId="14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vertical="center"/>
    </xf>
    <xf borderId="2" fillId="10" fontId="21" numFmtId="0" xfId="0" applyAlignment="1" applyBorder="1" applyFont="1">
      <alignment shrinkToFit="0" vertical="center" wrapText="1"/>
    </xf>
    <xf borderId="2" fillId="10" fontId="2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center" vertical="center"/>
    </xf>
    <xf borderId="2" fillId="0" fontId="20" numFmtId="0" xfId="0" applyAlignment="1" applyBorder="1" applyFont="1">
      <alignment vertical="center"/>
    </xf>
    <xf borderId="2" fillId="0" fontId="21" numFmtId="0" xfId="0" applyAlignment="1" applyBorder="1" applyFont="1">
      <alignment readingOrder="0" vertical="center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readingOrder="0" vertical="center"/>
    </xf>
    <xf borderId="2" fillId="11" fontId="2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 vertical="center"/>
    </xf>
    <xf borderId="2" fillId="14" fontId="21" numFmtId="0" xfId="0" applyAlignment="1" applyBorder="1" applyFont="1">
      <alignment horizontal="center" vertical="center"/>
    </xf>
    <xf borderId="2" fillId="14" fontId="21" numFmtId="0" xfId="0" applyAlignment="1" applyBorder="1" applyFont="1">
      <alignment horizontal="center" shrinkToFit="0" vertical="center" wrapText="1"/>
    </xf>
    <xf borderId="2" fillId="11" fontId="21" numFmtId="0" xfId="0" applyAlignment="1" applyBorder="1" applyFont="1">
      <alignment horizontal="left" readingOrder="0" vertical="center"/>
    </xf>
    <xf borderId="2" fillId="14" fontId="14" numFmtId="0" xfId="0" applyAlignment="1" applyBorder="1" applyFont="1">
      <alignment vertical="center"/>
    </xf>
    <xf borderId="4" fillId="14" fontId="14" numFmtId="0" xfId="0" applyAlignment="1" applyBorder="1" applyFont="1">
      <alignment vertical="center"/>
    </xf>
    <xf borderId="2" fillId="14" fontId="14" numFmtId="0" xfId="0" applyAlignment="1" applyBorder="1" applyFont="1">
      <alignment readingOrder="0" vertical="center"/>
    </xf>
    <xf borderId="4" fillId="0" fontId="21" numFmtId="0" xfId="0" applyAlignment="1" applyBorder="1" applyFont="1">
      <alignment vertical="center"/>
    </xf>
    <xf borderId="0" fillId="0" fontId="14" numFmtId="170" xfId="0" applyAlignment="1" applyFont="1" applyNumberFormat="1">
      <alignment horizontal="center" vertical="center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24" numFmtId="0" xfId="0" applyFont="1"/>
    <xf borderId="0" fillId="0" fontId="2" numFmtId="0" xfId="0" applyAlignment="1" applyFont="1">
      <alignment vertical="center"/>
    </xf>
    <xf borderId="0" fillId="17" fontId="25" numFmtId="0" xfId="0" applyAlignment="1" applyFill="1" applyFont="1">
      <alignment shrinkToFit="0" vertical="center" wrapText="1"/>
    </xf>
    <xf borderId="2" fillId="4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0</xdr:rowOff>
    </xdr:from>
    <xdr:ext cx="4514850" cy="3371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2</v>
      </c>
      <c r="B20" s="4" t="s">
        <v>3</v>
      </c>
      <c r="C20" s="2"/>
      <c r="D20" s="1" t="s">
        <v>2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4</v>
      </c>
      <c r="B21" s="1"/>
      <c r="C21" s="2"/>
      <c r="D21" s="1" t="s">
        <v>4</v>
      </c>
      <c r="E21" s="1"/>
      <c r="F21" s="2"/>
      <c r="G21" s="3" t="s">
        <v>2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5</v>
      </c>
      <c r="B22" s="4" t="s">
        <v>6</v>
      </c>
      <c r="C22" s="2"/>
      <c r="D22" s="1" t="s">
        <v>5</v>
      </c>
      <c r="E22" s="1"/>
      <c r="F22" s="2"/>
      <c r="G22" s="3" t="s">
        <v>4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7</v>
      </c>
      <c r="B23" s="4" t="s">
        <v>8</v>
      </c>
      <c r="C23" s="2"/>
      <c r="D23" s="1" t="s">
        <v>7</v>
      </c>
      <c r="E23" s="1"/>
      <c r="F23" s="2"/>
      <c r="G23" s="3" t="s">
        <v>5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9</v>
      </c>
      <c r="B24" s="5">
        <v>32125.0</v>
      </c>
      <c r="C24" s="2"/>
      <c r="D24" s="1" t="s">
        <v>9</v>
      </c>
      <c r="E24" s="1"/>
      <c r="F24" s="2"/>
      <c r="G24" s="3" t="s">
        <v>7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10</v>
      </c>
      <c r="B25" s="1"/>
      <c r="C25" s="2"/>
      <c r="D25" s="1" t="s">
        <v>10</v>
      </c>
      <c r="E25" s="1"/>
      <c r="F25" s="2"/>
      <c r="G25" s="3" t="s">
        <v>9</v>
      </c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11</v>
      </c>
      <c r="B26" s="4" t="s">
        <v>12</v>
      </c>
      <c r="C26" s="2"/>
      <c r="D26" s="1" t="s">
        <v>11</v>
      </c>
      <c r="E26" s="1"/>
      <c r="F26" s="2"/>
      <c r="G26" s="3" t="s">
        <v>10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13</v>
      </c>
      <c r="B27" s="1"/>
      <c r="C27" s="2"/>
      <c r="D27" s="1" t="s">
        <v>13</v>
      </c>
      <c r="E27" s="1"/>
      <c r="F27" s="2"/>
      <c r="G27" s="3" t="s">
        <v>11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14</v>
      </c>
      <c r="B28" s="4" t="s">
        <v>15</v>
      </c>
      <c r="C28" s="2"/>
      <c r="D28" s="1" t="s">
        <v>14</v>
      </c>
      <c r="E28" s="1"/>
      <c r="F28" s="2"/>
      <c r="G28" s="3" t="s">
        <v>13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16</v>
      </c>
      <c r="B29" s="4" t="s">
        <v>17</v>
      </c>
      <c r="C29" s="2"/>
      <c r="D29" s="1" t="s">
        <v>16</v>
      </c>
      <c r="E29" s="1"/>
      <c r="F29" s="2"/>
      <c r="G29" s="3" t="s">
        <v>14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18</v>
      </c>
      <c r="B30" s="1"/>
      <c r="C30" s="2"/>
      <c r="D30" s="1" t="s">
        <v>18</v>
      </c>
      <c r="E30" s="1"/>
      <c r="F30" s="2"/>
      <c r="G30" s="3" t="s">
        <v>16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19</v>
      </c>
      <c r="B31" s="1"/>
      <c r="C31" s="2"/>
      <c r="D31" s="1" t="s">
        <v>19</v>
      </c>
      <c r="E31" s="1"/>
      <c r="F31" s="2"/>
      <c r="G31" s="3" t="s">
        <v>18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20</v>
      </c>
      <c r="B32" s="4" t="s">
        <v>21</v>
      </c>
      <c r="C32" s="2"/>
      <c r="D32" s="1" t="s">
        <v>20</v>
      </c>
      <c r="E32" s="1"/>
      <c r="F32" s="2"/>
      <c r="G32" s="3" t="s">
        <v>19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22</v>
      </c>
      <c r="B33" s="1"/>
      <c r="C33" s="2"/>
      <c r="D33" s="1" t="s">
        <v>22</v>
      </c>
      <c r="E33" s="1"/>
      <c r="F33" s="2"/>
      <c r="G33" s="3" t="s">
        <v>20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23</v>
      </c>
      <c r="B34" s="4" t="s">
        <v>24</v>
      </c>
      <c r="C34" s="2"/>
      <c r="D34" s="1" t="s">
        <v>23</v>
      </c>
      <c r="E34" s="1"/>
      <c r="F34" s="2"/>
      <c r="G34" s="3" t="s">
        <v>22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25</v>
      </c>
      <c r="B35" s="4" t="s">
        <v>26</v>
      </c>
      <c r="C35" s="2"/>
      <c r="D35" s="1" t="s">
        <v>25</v>
      </c>
      <c r="E35" s="1"/>
      <c r="F35" s="2"/>
      <c r="G35" s="3" t="s">
        <v>23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27</v>
      </c>
      <c r="B36" s="1" t="s">
        <v>28</v>
      </c>
      <c r="C36" s="2"/>
      <c r="D36" s="1" t="s">
        <v>27</v>
      </c>
      <c r="E36" s="1"/>
      <c r="F36" s="2"/>
      <c r="G36" s="3" t="s">
        <v>25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8" t="s">
        <v>29</v>
      </c>
      <c r="B37" s="4"/>
      <c r="C37" s="2"/>
      <c r="D37" s="1"/>
      <c r="E37" s="1"/>
      <c r="F37" s="2"/>
      <c r="G37" s="3" t="s">
        <v>27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9"/>
      <c r="C38" s="2"/>
      <c r="D38" s="1" t="s">
        <v>30</v>
      </c>
      <c r="E38" s="1"/>
      <c r="F38" s="2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30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13.13"/>
    <col customWidth="1" min="5" max="5" width="36.75"/>
    <col customWidth="1" min="6" max="6" width="14.88"/>
    <col customWidth="1" min="7" max="7" width="15.0"/>
    <col customWidth="1" min="8" max="8" width="16.0"/>
    <col customWidth="1" min="9" max="9" width="10.0"/>
    <col customWidth="1" min="10" max="10" width="1.0"/>
    <col customWidth="1" min="11" max="11" width="9.75"/>
    <col customWidth="1" min="12" max="12" width="6.5"/>
    <col customWidth="1" min="13" max="13" width="9.88"/>
    <col customWidth="1" min="14" max="14" width="1.75"/>
    <col customWidth="1" min="15" max="15" width="15.0"/>
    <col customWidth="1" min="16" max="16" width="3.63"/>
    <col customWidth="1" min="17" max="17" width="12.88"/>
    <col customWidth="1" min="18" max="18" width="9.75"/>
    <col customWidth="1" min="19" max="19" width="19.88"/>
    <col customWidth="1" min="20" max="20" width="20.88"/>
    <col customWidth="1" min="22" max="22" width="19.63"/>
  </cols>
  <sheetData>
    <row r="1">
      <c r="A1" s="10"/>
      <c r="B1" s="10"/>
      <c r="C1" s="10"/>
      <c r="D1" s="10"/>
      <c r="E1" s="10"/>
      <c r="F1" s="11"/>
      <c r="G1" s="12"/>
      <c r="H1" s="12"/>
      <c r="I1" s="10"/>
      <c r="J1" s="13"/>
      <c r="K1" s="14"/>
      <c r="L1" s="14"/>
      <c r="M1" s="14"/>
      <c r="N1" s="10"/>
      <c r="O1" s="12"/>
      <c r="P1" s="15"/>
      <c r="Q1" s="12"/>
      <c r="R1" s="12"/>
      <c r="S1" s="12"/>
      <c r="T1" s="12"/>
      <c r="U1" s="12"/>
      <c r="V1" s="10"/>
    </row>
    <row r="2" ht="15.75" customHeight="1">
      <c r="A2" s="10"/>
      <c r="B2" s="10"/>
      <c r="C2" s="10"/>
      <c r="D2" s="10"/>
      <c r="E2" s="10"/>
      <c r="F2" s="11"/>
      <c r="G2" s="12"/>
      <c r="H2" s="12"/>
      <c r="I2" s="10"/>
      <c r="J2" s="10"/>
      <c r="K2" s="14"/>
      <c r="L2" s="14"/>
      <c r="M2" s="14"/>
      <c r="N2" s="10"/>
      <c r="O2" s="16" t="s">
        <v>31</v>
      </c>
      <c r="P2" s="15"/>
      <c r="Q2" s="12"/>
      <c r="R2" s="12"/>
      <c r="S2" s="12"/>
      <c r="T2" s="12"/>
      <c r="U2" s="12"/>
      <c r="V2" s="10"/>
    </row>
    <row r="3">
      <c r="A3" s="10"/>
      <c r="B3" s="17"/>
      <c r="C3" s="18" t="s">
        <v>32</v>
      </c>
      <c r="D3" s="19"/>
      <c r="E3" s="19"/>
      <c r="F3" s="20"/>
      <c r="G3" s="21"/>
      <c r="H3" s="21"/>
      <c r="I3" s="17"/>
      <c r="J3" s="10"/>
      <c r="K3" s="22" t="s">
        <v>32</v>
      </c>
      <c r="L3" s="23"/>
      <c r="M3" s="24"/>
      <c r="N3" s="25"/>
      <c r="O3" s="26" t="s">
        <v>32</v>
      </c>
      <c r="P3" s="27"/>
      <c r="Q3" s="27"/>
      <c r="R3" s="27"/>
      <c r="S3" s="28"/>
      <c r="T3" s="28"/>
      <c r="U3" s="28"/>
      <c r="V3" s="10"/>
    </row>
    <row r="4">
      <c r="A4" s="10"/>
      <c r="B4" s="29" t="s">
        <v>33</v>
      </c>
      <c r="C4" s="30" t="s">
        <v>34</v>
      </c>
      <c r="D4" s="30" t="s">
        <v>35</v>
      </c>
      <c r="E4" s="31" t="s">
        <v>36</v>
      </c>
      <c r="F4" s="32"/>
      <c r="G4" s="33"/>
      <c r="H4" s="33"/>
      <c r="I4" s="34"/>
      <c r="J4" s="10"/>
      <c r="K4" s="35"/>
      <c r="L4" s="36" t="s">
        <v>37</v>
      </c>
      <c r="M4" s="37" t="s">
        <v>38</v>
      </c>
      <c r="N4" s="10"/>
      <c r="O4" s="38" t="s">
        <v>39</v>
      </c>
      <c r="P4" s="39" t="s">
        <v>40</v>
      </c>
      <c r="Q4" s="39" t="s">
        <v>41</v>
      </c>
      <c r="R4" s="39" t="s">
        <v>42</v>
      </c>
      <c r="S4" s="39" t="s">
        <v>43</v>
      </c>
      <c r="T4" s="39" t="s">
        <v>44</v>
      </c>
      <c r="U4" s="39" t="s">
        <v>45</v>
      </c>
      <c r="V4" s="10"/>
    </row>
    <row r="5">
      <c r="A5" s="10"/>
      <c r="B5" s="40"/>
      <c r="C5" s="41" t="s">
        <v>46</v>
      </c>
      <c r="D5" s="42" t="s">
        <v>47</v>
      </c>
      <c r="E5" s="40" t="s">
        <v>48</v>
      </c>
      <c r="F5" s="43"/>
      <c r="G5" s="43"/>
      <c r="H5" s="43"/>
      <c r="I5" s="40"/>
      <c r="J5" s="44"/>
      <c r="K5" s="45">
        <v>150000.0</v>
      </c>
      <c r="L5" s="45">
        <f>K5*4%</f>
        <v>6000</v>
      </c>
      <c r="M5" s="45">
        <f>K5-L5</f>
        <v>144000</v>
      </c>
      <c r="N5" s="46"/>
      <c r="O5" s="47" t="s">
        <v>49</v>
      </c>
      <c r="P5" s="48"/>
      <c r="Q5" s="49">
        <v>45979.0</v>
      </c>
      <c r="R5" s="50">
        <v>144000.0</v>
      </c>
      <c r="S5" s="51" t="s">
        <v>50</v>
      </c>
      <c r="T5" s="52" t="s">
        <v>51</v>
      </c>
      <c r="U5" s="53"/>
      <c r="V5" s="10"/>
    </row>
    <row r="6">
      <c r="A6" s="10"/>
      <c r="B6" s="10"/>
      <c r="C6" s="10"/>
      <c r="D6" s="10"/>
      <c r="E6" s="10"/>
      <c r="F6" s="12"/>
      <c r="G6" s="12"/>
      <c r="H6" s="1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>
      <c r="A7" s="10"/>
      <c r="B7" s="17"/>
      <c r="C7" s="18" t="s">
        <v>32</v>
      </c>
      <c r="D7" s="19"/>
      <c r="E7" s="19"/>
      <c r="F7" s="20"/>
      <c r="G7" s="21"/>
      <c r="H7" s="21"/>
      <c r="I7" s="54" t="s">
        <v>52</v>
      </c>
      <c r="J7" s="10"/>
      <c r="K7" s="22" t="s">
        <v>32</v>
      </c>
      <c r="L7" s="23"/>
      <c r="M7" s="24"/>
      <c r="N7" s="25"/>
      <c r="O7" s="26" t="s">
        <v>32</v>
      </c>
      <c r="P7" s="27"/>
      <c r="Q7" s="27"/>
      <c r="R7" s="27"/>
      <c r="S7" s="28"/>
      <c r="T7" s="28"/>
      <c r="U7" s="28"/>
      <c r="V7" s="10"/>
    </row>
    <row r="8">
      <c r="A8" s="10"/>
      <c r="B8" s="29" t="s">
        <v>33</v>
      </c>
      <c r="C8" s="30" t="s">
        <v>34</v>
      </c>
      <c r="D8" s="30" t="s">
        <v>35</v>
      </c>
      <c r="E8" s="31" t="s">
        <v>36</v>
      </c>
      <c r="F8" s="32"/>
      <c r="G8" s="55" t="s">
        <v>53</v>
      </c>
      <c r="H8" s="55" t="s">
        <v>54</v>
      </c>
      <c r="I8" s="29" t="s">
        <v>33</v>
      </c>
      <c r="J8" s="10"/>
      <c r="K8" s="35"/>
      <c r="L8" s="36" t="s">
        <v>37</v>
      </c>
      <c r="M8" s="37" t="s">
        <v>38</v>
      </c>
      <c r="N8" s="10"/>
      <c r="O8" s="38" t="s">
        <v>39</v>
      </c>
      <c r="P8" s="39" t="s">
        <v>40</v>
      </c>
      <c r="Q8" s="39" t="s">
        <v>41</v>
      </c>
      <c r="R8" s="39" t="s">
        <v>42</v>
      </c>
      <c r="S8" s="39" t="s">
        <v>43</v>
      </c>
      <c r="T8" s="39" t="s">
        <v>44</v>
      </c>
      <c r="U8" s="39" t="s">
        <v>45</v>
      </c>
      <c r="V8" s="10"/>
    </row>
    <row r="9">
      <c r="A9" s="10"/>
      <c r="B9" s="56"/>
      <c r="C9" s="56"/>
      <c r="D9" s="56"/>
      <c r="E9" s="57" t="s">
        <v>55</v>
      </c>
      <c r="F9" s="58"/>
      <c r="G9" s="59" t="s">
        <v>56</v>
      </c>
      <c r="H9" s="60">
        <v>520.0</v>
      </c>
      <c r="I9" s="60">
        <v>520.0</v>
      </c>
      <c r="J9" s="10"/>
      <c r="K9" s="61"/>
      <c r="L9" s="61"/>
      <c r="M9" s="61"/>
      <c r="N9" s="10"/>
      <c r="O9" s="61"/>
      <c r="P9" s="61"/>
      <c r="Q9" s="61"/>
      <c r="R9" s="61"/>
      <c r="S9" s="61"/>
      <c r="T9" s="61"/>
      <c r="U9" s="61"/>
      <c r="V9" s="10"/>
    </row>
    <row r="10">
      <c r="A10" s="10"/>
      <c r="B10" s="62" t="s">
        <v>33</v>
      </c>
      <c r="C10" s="10"/>
      <c r="D10" s="10"/>
      <c r="E10" s="63" t="s">
        <v>57</v>
      </c>
      <c r="F10" s="64" t="s">
        <v>58</v>
      </c>
      <c r="G10" s="65"/>
      <c r="H10" s="65"/>
      <c r="I10" s="65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>
      <c r="A11" s="10"/>
      <c r="B11" s="62" t="s">
        <v>33</v>
      </c>
      <c r="C11" s="10"/>
      <c r="D11" s="10"/>
      <c r="E11" s="63" t="s">
        <v>59</v>
      </c>
      <c r="F11" s="66" t="s">
        <v>60</v>
      </c>
      <c r="G11" s="65"/>
      <c r="H11" s="65"/>
      <c r="I11" s="65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>
      <c r="A12" s="10"/>
      <c r="B12" s="56"/>
      <c r="C12" s="56"/>
      <c r="D12" s="56"/>
      <c r="E12" s="67" t="s">
        <v>61</v>
      </c>
      <c r="F12" s="68"/>
      <c r="G12" s="68"/>
      <c r="H12" s="68"/>
      <c r="I12" s="68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>
      <c r="A13" s="10"/>
      <c r="B13" s="62" t="s">
        <v>33</v>
      </c>
      <c r="C13" s="10"/>
      <c r="D13" s="10"/>
      <c r="E13" s="63" t="s">
        <v>62</v>
      </c>
      <c r="F13" s="69" t="s">
        <v>63</v>
      </c>
      <c r="G13" s="65"/>
      <c r="H13" s="65"/>
      <c r="I13" s="65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>
      <c r="A14" s="10"/>
      <c r="B14" s="62" t="s">
        <v>33</v>
      </c>
      <c r="C14" s="10"/>
      <c r="D14" s="10"/>
      <c r="E14" s="63" t="s">
        <v>64</v>
      </c>
      <c r="F14" s="69" t="s">
        <v>63</v>
      </c>
      <c r="G14" s="65"/>
      <c r="H14" s="65"/>
      <c r="I14" s="65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>
      <c r="A15" s="10"/>
      <c r="B15" s="70" t="s">
        <v>33</v>
      </c>
      <c r="C15" s="10"/>
      <c r="D15" s="10"/>
      <c r="E15" s="63" t="s">
        <v>65</v>
      </c>
      <c r="F15" s="69" t="s">
        <v>63</v>
      </c>
      <c r="G15" s="65"/>
      <c r="H15" s="65"/>
      <c r="I15" s="65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>
      <c r="A16" s="10"/>
      <c r="B16" s="56"/>
      <c r="C16" s="56"/>
      <c r="D16" s="56"/>
      <c r="E16" s="71" t="s">
        <v>66</v>
      </c>
      <c r="F16" s="68"/>
      <c r="G16" s="68"/>
      <c r="H16" s="68"/>
      <c r="I16" s="6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>
      <c r="A17" s="10"/>
      <c r="B17" s="70" t="s">
        <v>33</v>
      </c>
      <c r="C17" s="10"/>
      <c r="D17" s="10"/>
      <c r="E17" s="63" t="s">
        <v>67</v>
      </c>
      <c r="F17" s="69" t="s">
        <v>63</v>
      </c>
      <c r="G17" s="65"/>
      <c r="H17" s="65"/>
      <c r="I17" s="65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>
      <c r="A18" s="10"/>
      <c r="B18" s="70" t="s">
        <v>33</v>
      </c>
      <c r="C18" s="10"/>
      <c r="D18" s="10"/>
      <c r="E18" s="63" t="s">
        <v>68</v>
      </c>
      <c r="F18" s="69" t="s">
        <v>63</v>
      </c>
      <c r="G18" s="65"/>
      <c r="H18" s="65"/>
      <c r="I18" s="65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>
      <c r="A19" s="10"/>
      <c r="B19" s="70" t="s">
        <v>33</v>
      </c>
      <c r="C19" s="10"/>
      <c r="D19" s="10"/>
      <c r="E19" s="63" t="s">
        <v>69</v>
      </c>
      <c r="F19" s="69" t="s">
        <v>63</v>
      </c>
      <c r="G19" s="65"/>
      <c r="H19" s="65"/>
      <c r="I19" s="65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>
      <c r="A20" s="10"/>
      <c r="B20" s="70" t="s">
        <v>33</v>
      </c>
      <c r="C20" s="10"/>
      <c r="D20" s="10"/>
      <c r="E20" s="63" t="s">
        <v>70</v>
      </c>
      <c r="F20" s="69" t="s">
        <v>63</v>
      </c>
      <c r="G20" s="65"/>
      <c r="H20" s="65"/>
      <c r="I20" s="6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>
      <c r="A21" s="10"/>
      <c r="B21" s="56"/>
      <c r="C21" s="56"/>
      <c r="D21" s="56"/>
      <c r="E21" s="71" t="s">
        <v>71</v>
      </c>
      <c r="F21" s="68"/>
      <c r="G21" s="68"/>
      <c r="H21" s="68"/>
      <c r="I21" s="6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>
      <c r="A22" s="10"/>
      <c r="B22" s="70" t="s">
        <v>33</v>
      </c>
      <c r="C22" s="10"/>
      <c r="D22" s="10"/>
      <c r="E22" s="63" t="s">
        <v>72</v>
      </c>
      <c r="F22" s="69" t="s">
        <v>63</v>
      </c>
      <c r="G22" s="65"/>
      <c r="H22" s="65"/>
      <c r="I22" s="65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>
      <c r="A23" s="10"/>
      <c r="B23" s="70" t="s">
        <v>33</v>
      </c>
      <c r="C23" s="10"/>
      <c r="D23" s="10"/>
      <c r="E23" s="63" t="s">
        <v>73</v>
      </c>
      <c r="F23" s="69" t="s">
        <v>63</v>
      </c>
      <c r="G23" s="65"/>
      <c r="H23" s="65"/>
      <c r="I23" s="65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>
      <c r="A24" s="10"/>
      <c r="B24" s="56"/>
      <c r="C24" s="56"/>
      <c r="D24" s="56"/>
      <c r="E24" s="71" t="s">
        <v>74</v>
      </c>
      <c r="F24" s="68"/>
      <c r="G24" s="68"/>
      <c r="H24" s="68"/>
      <c r="I24" s="6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>
      <c r="A25" s="10"/>
      <c r="B25" s="70" t="s">
        <v>33</v>
      </c>
      <c r="C25" s="10"/>
      <c r="D25" s="10"/>
      <c r="E25" s="63" t="s">
        <v>75</v>
      </c>
      <c r="F25" s="69" t="s">
        <v>63</v>
      </c>
      <c r="G25" s="65"/>
      <c r="H25" s="65"/>
      <c r="I25" s="65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>
      <c r="A26" s="10"/>
      <c r="B26" s="70" t="s">
        <v>33</v>
      </c>
      <c r="C26" s="10"/>
      <c r="D26" s="10"/>
      <c r="E26" s="63" t="s">
        <v>76</v>
      </c>
      <c r="F26" s="69" t="s">
        <v>63</v>
      </c>
      <c r="G26" s="65"/>
      <c r="H26" s="65"/>
      <c r="I26" s="65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>
      <c r="A27" s="10"/>
      <c r="B27" s="70" t="s">
        <v>33</v>
      </c>
      <c r="C27" s="10"/>
      <c r="D27" s="10"/>
      <c r="E27" s="72" t="s">
        <v>77</v>
      </c>
      <c r="F27" s="73" t="s">
        <v>63</v>
      </c>
      <c r="G27" s="59" t="s">
        <v>56</v>
      </c>
      <c r="H27" s="60">
        <v>5.0</v>
      </c>
      <c r="I27" s="60">
        <v>5.0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>
      <c r="A28" s="10"/>
      <c r="B28" s="56"/>
      <c r="C28" s="56"/>
      <c r="D28" s="56"/>
      <c r="E28" s="71" t="s">
        <v>78</v>
      </c>
      <c r="F28" s="68"/>
      <c r="G28" s="68"/>
      <c r="H28" s="68"/>
      <c r="I28" s="6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>
      <c r="A29" s="10"/>
      <c r="B29" s="70" t="s">
        <v>33</v>
      </c>
      <c r="C29" s="10"/>
      <c r="D29" s="10"/>
      <c r="E29" s="63" t="s">
        <v>79</v>
      </c>
      <c r="F29" s="69" t="s">
        <v>63</v>
      </c>
      <c r="G29" s="65"/>
      <c r="H29" s="65"/>
      <c r="I29" s="65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>
      <c r="A30" s="10"/>
      <c r="B30" s="70" t="s">
        <v>33</v>
      </c>
      <c r="C30" s="10"/>
      <c r="D30" s="10"/>
      <c r="E30" s="63" t="s">
        <v>80</v>
      </c>
      <c r="F30" s="69" t="s">
        <v>63</v>
      </c>
      <c r="G30" s="65"/>
      <c r="H30" s="65"/>
      <c r="I30" s="65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>
      <c r="A31" s="10"/>
      <c r="B31" s="70" t="s">
        <v>33</v>
      </c>
      <c r="C31" s="10"/>
      <c r="D31" s="10"/>
      <c r="E31" s="63" t="s">
        <v>81</v>
      </c>
      <c r="F31" s="69" t="s">
        <v>63</v>
      </c>
      <c r="G31" s="65"/>
      <c r="H31" s="65"/>
      <c r="I31" s="65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>
      <c r="A32" s="10"/>
      <c r="B32" s="70" t="s">
        <v>33</v>
      </c>
      <c r="C32" s="10"/>
      <c r="D32" s="10"/>
      <c r="E32" s="63" t="s">
        <v>82</v>
      </c>
      <c r="F32" s="69" t="s">
        <v>63</v>
      </c>
      <c r="G32" s="65"/>
      <c r="H32" s="65"/>
      <c r="I32" s="65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>
      <c r="A33" s="10"/>
      <c r="B33" s="56"/>
      <c r="C33" s="56"/>
      <c r="D33" s="56"/>
      <c r="E33" s="71" t="s">
        <v>83</v>
      </c>
      <c r="F33" s="68"/>
      <c r="G33" s="68"/>
      <c r="H33" s="68"/>
      <c r="I33" s="68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>
      <c r="A34" s="10"/>
      <c r="B34" s="70" t="s">
        <v>33</v>
      </c>
      <c r="C34" s="10"/>
      <c r="D34" s="10"/>
      <c r="E34" s="63" t="s">
        <v>84</v>
      </c>
      <c r="F34" s="69" t="s">
        <v>63</v>
      </c>
      <c r="G34" s="65"/>
      <c r="H34" s="65"/>
      <c r="I34" s="65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>
      <c r="A35" s="10"/>
      <c r="B35" s="70" t="s">
        <v>33</v>
      </c>
      <c r="C35" s="10"/>
      <c r="D35" s="10"/>
      <c r="E35" s="63" t="s">
        <v>85</v>
      </c>
      <c r="F35" s="69" t="s">
        <v>63</v>
      </c>
      <c r="G35" s="65"/>
      <c r="H35" s="65"/>
      <c r="I35" s="65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>
      <c r="A36" s="10"/>
      <c r="B36" s="70" t="s">
        <v>33</v>
      </c>
      <c r="C36" s="10"/>
      <c r="D36" s="10"/>
      <c r="E36" s="72" t="s">
        <v>86</v>
      </c>
      <c r="F36" s="73" t="s">
        <v>63</v>
      </c>
      <c r="G36" s="59" t="s">
        <v>56</v>
      </c>
      <c r="H36" s="60">
        <v>28.0</v>
      </c>
      <c r="I36" s="60">
        <v>28.0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>
      <c r="A37" s="10"/>
      <c r="B37" s="70" t="s">
        <v>33</v>
      </c>
      <c r="C37" s="10"/>
      <c r="D37" s="10"/>
      <c r="E37" s="72" t="s">
        <v>87</v>
      </c>
      <c r="F37" s="73" t="s">
        <v>63</v>
      </c>
      <c r="G37" s="59" t="s">
        <v>56</v>
      </c>
      <c r="H37" s="60">
        <v>26.0</v>
      </c>
      <c r="I37" s="60">
        <v>26.0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>
      <c r="A38" s="10"/>
      <c r="B38" s="70" t="s">
        <v>33</v>
      </c>
      <c r="C38" s="10"/>
      <c r="D38" s="10"/>
      <c r="E38" s="72" t="s">
        <v>88</v>
      </c>
      <c r="F38" s="73" t="s">
        <v>63</v>
      </c>
      <c r="G38" s="59" t="s">
        <v>56</v>
      </c>
      <c r="H38" s="60">
        <v>44.0</v>
      </c>
      <c r="I38" s="60">
        <v>44.0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>
      <c r="A39" s="10"/>
      <c r="B39" s="56"/>
      <c r="C39" s="56"/>
      <c r="D39" s="56"/>
      <c r="E39" s="71" t="s">
        <v>89</v>
      </c>
      <c r="F39" s="68"/>
      <c r="G39" s="68"/>
      <c r="H39" s="68"/>
      <c r="I39" s="68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>
      <c r="A40" s="10"/>
      <c r="B40" s="62" t="s">
        <v>33</v>
      </c>
      <c r="C40" s="10"/>
      <c r="D40" s="10"/>
      <c r="E40" s="63" t="s">
        <v>90</v>
      </c>
      <c r="F40" s="69" t="s">
        <v>63</v>
      </c>
      <c r="G40" s="65"/>
      <c r="H40" s="65"/>
      <c r="I40" s="6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>
      <c r="A41" s="10"/>
      <c r="B41" s="62" t="s">
        <v>33</v>
      </c>
      <c r="C41" s="10"/>
      <c r="D41" s="10"/>
      <c r="E41" s="63" t="s">
        <v>91</v>
      </c>
      <c r="F41" s="69" t="s">
        <v>63</v>
      </c>
      <c r="G41" s="65"/>
      <c r="H41" s="65"/>
      <c r="I41" s="6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>
      <c r="A42" s="10"/>
      <c r="B42" s="56"/>
      <c r="C42" s="56"/>
      <c r="D42" s="56"/>
      <c r="E42" s="71" t="s">
        <v>92</v>
      </c>
      <c r="F42" s="68"/>
      <c r="G42" s="68"/>
      <c r="H42" s="68"/>
      <c r="I42" s="68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>
      <c r="A43" s="10"/>
      <c r="B43" s="62" t="s">
        <v>33</v>
      </c>
      <c r="C43" s="10"/>
      <c r="D43" s="10"/>
      <c r="E43" s="74" t="s">
        <v>93</v>
      </c>
      <c r="F43" s="73"/>
      <c r="G43" s="59" t="s">
        <v>56</v>
      </c>
      <c r="H43" s="60">
        <v>18.0</v>
      </c>
      <c r="I43" s="60">
        <v>18.0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>
      <c r="A44" s="10"/>
      <c r="B44" s="62" t="s">
        <v>33</v>
      </c>
      <c r="C44" s="10"/>
      <c r="D44" s="10"/>
      <c r="E44" s="74" t="s">
        <v>94</v>
      </c>
      <c r="F44" s="73"/>
      <c r="G44" s="59" t="s">
        <v>56</v>
      </c>
      <c r="H44" s="60">
        <v>19.0</v>
      </c>
      <c r="I44" s="60">
        <v>19.0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>
      <c r="A45" s="10"/>
      <c r="B45" s="62" t="s">
        <v>33</v>
      </c>
      <c r="C45" s="10"/>
      <c r="D45" s="10"/>
      <c r="E45" s="74" t="s">
        <v>95</v>
      </c>
      <c r="F45" s="73"/>
      <c r="G45" s="59" t="s">
        <v>56</v>
      </c>
      <c r="H45" s="60">
        <v>19.0</v>
      </c>
      <c r="I45" s="60">
        <v>19.0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>
      <c r="A46" s="10"/>
      <c r="B46" s="62" t="s">
        <v>33</v>
      </c>
      <c r="C46" s="10"/>
      <c r="D46" s="10"/>
      <c r="E46" s="74" t="s">
        <v>96</v>
      </c>
      <c r="F46" s="73"/>
      <c r="G46" s="59" t="s">
        <v>56</v>
      </c>
      <c r="H46" s="60">
        <v>19.0</v>
      </c>
      <c r="I46" s="60">
        <v>19.0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>
      <c r="A47" s="10"/>
      <c r="B47" s="62" t="s">
        <v>33</v>
      </c>
      <c r="C47" s="10"/>
      <c r="D47" s="10"/>
      <c r="E47" s="74" t="s">
        <v>97</v>
      </c>
      <c r="F47" s="73"/>
      <c r="G47" s="59" t="s">
        <v>56</v>
      </c>
      <c r="H47" s="60">
        <v>22.0</v>
      </c>
      <c r="I47" s="60">
        <v>22.0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>
      <c r="A48" s="10"/>
      <c r="B48" s="62" t="s">
        <v>33</v>
      </c>
      <c r="C48" s="10"/>
      <c r="D48" s="10"/>
      <c r="E48" s="74" t="s">
        <v>98</v>
      </c>
      <c r="F48" s="73"/>
      <c r="G48" s="59" t="s">
        <v>56</v>
      </c>
      <c r="H48" s="60">
        <v>18.0</v>
      </c>
      <c r="I48" s="60">
        <v>18.0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>
      <c r="A49" s="10"/>
      <c r="B49" s="62" t="s">
        <v>33</v>
      </c>
      <c r="C49" s="10"/>
      <c r="D49" s="10"/>
      <c r="E49" s="74" t="s">
        <v>99</v>
      </c>
      <c r="F49" s="73"/>
      <c r="G49" s="59" t="s">
        <v>56</v>
      </c>
      <c r="H49" s="60">
        <v>53.0</v>
      </c>
      <c r="I49" s="60">
        <v>53.0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>
      <c r="A50" s="10"/>
      <c r="B50" s="56"/>
      <c r="C50" s="56"/>
      <c r="D50" s="56"/>
      <c r="E50" s="57" t="s">
        <v>100</v>
      </c>
      <c r="F50" s="68"/>
      <c r="G50" s="68"/>
      <c r="H50" s="68"/>
      <c r="I50" s="68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>
      <c r="A51" s="10"/>
      <c r="B51" s="62" t="s">
        <v>33</v>
      </c>
      <c r="C51" s="10"/>
      <c r="D51" s="75" t="s">
        <v>101</v>
      </c>
      <c r="E51" s="63" t="s">
        <v>102</v>
      </c>
      <c r="F51" s="69" t="s">
        <v>63</v>
      </c>
      <c r="G51" s="65"/>
      <c r="H51" s="65"/>
      <c r="I51" s="6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>
      <c r="A52" s="10"/>
      <c r="B52" s="62" t="s">
        <v>33</v>
      </c>
      <c r="C52" s="10"/>
      <c r="D52" s="10"/>
      <c r="E52" s="63" t="s">
        <v>103</v>
      </c>
      <c r="F52" s="69" t="s">
        <v>63</v>
      </c>
      <c r="G52" s="65"/>
      <c r="H52" s="65"/>
      <c r="I52" s="6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>
      <c r="A53" s="10"/>
      <c r="B53" s="62" t="s">
        <v>33</v>
      </c>
      <c r="C53" s="10"/>
      <c r="D53" s="75" t="s">
        <v>101</v>
      </c>
      <c r="E53" s="63" t="s">
        <v>104</v>
      </c>
      <c r="F53" s="69" t="s">
        <v>63</v>
      </c>
      <c r="G53" s="65"/>
      <c r="H53" s="65"/>
      <c r="I53" s="6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>
      <c r="A54" s="10"/>
      <c r="B54" s="62" t="s">
        <v>33</v>
      </c>
      <c r="C54" s="10"/>
      <c r="D54" s="10"/>
      <c r="E54" s="72" t="s">
        <v>105</v>
      </c>
      <c r="F54" s="73"/>
      <c r="G54" s="59" t="s">
        <v>56</v>
      </c>
      <c r="H54" s="60">
        <v>37.0</v>
      </c>
      <c r="I54" s="60">
        <v>37.0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>
      <c r="A55" s="10"/>
      <c r="B55" s="62" t="s">
        <v>33</v>
      </c>
      <c r="C55" s="10"/>
      <c r="D55" s="10"/>
      <c r="E55" s="72" t="s">
        <v>106</v>
      </c>
      <c r="F55" s="73" t="s">
        <v>107</v>
      </c>
      <c r="G55" s="59" t="s">
        <v>56</v>
      </c>
      <c r="H55" s="60">
        <v>139.0</v>
      </c>
      <c r="I55" s="60">
        <v>139.0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>
      <c r="A56" s="10"/>
      <c r="B56" s="62" t="s">
        <v>33</v>
      </c>
      <c r="C56" s="10"/>
      <c r="D56" s="75" t="s">
        <v>101</v>
      </c>
      <c r="E56" s="63" t="s">
        <v>108</v>
      </c>
      <c r="F56" s="69" t="s">
        <v>63</v>
      </c>
      <c r="G56" s="65"/>
      <c r="H56" s="65"/>
      <c r="I56" s="6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>
      <c r="A57" s="10"/>
      <c r="B57" s="70" t="s">
        <v>33</v>
      </c>
      <c r="C57" s="10"/>
      <c r="D57" s="10"/>
      <c r="E57" s="76" t="s">
        <v>109</v>
      </c>
      <c r="F57" s="73"/>
      <c r="G57" s="59" t="s">
        <v>56</v>
      </c>
      <c r="H57" s="60">
        <v>237.0</v>
      </c>
      <c r="I57" s="60">
        <v>237.0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>
      <c r="A58" s="10"/>
      <c r="B58" s="56"/>
      <c r="C58" s="56"/>
      <c r="D58" s="56"/>
      <c r="E58" s="57" t="s">
        <v>110</v>
      </c>
      <c r="F58" s="68"/>
      <c r="G58" s="68"/>
      <c r="H58" s="68"/>
      <c r="I58" s="68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>
      <c r="A59" s="10"/>
      <c r="B59" s="62" t="s">
        <v>33</v>
      </c>
      <c r="C59" s="10"/>
      <c r="D59" s="10"/>
      <c r="E59" s="77" t="s">
        <v>111</v>
      </c>
      <c r="F59" s="65"/>
      <c r="G59" s="65"/>
      <c r="H59" s="65"/>
      <c r="I59" s="6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>
      <c r="A60" s="10"/>
      <c r="B60" s="62" t="s">
        <v>33</v>
      </c>
      <c r="C60" s="10"/>
      <c r="D60" s="10"/>
      <c r="E60" s="72" t="s">
        <v>112</v>
      </c>
      <c r="F60" s="58"/>
      <c r="G60" s="59" t="s">
        <v>56</v>
      </c>
      <c r="H60" s="60">
        <v>120.0</v>
      </c>
      <c r="I60" s="60">
        <v>120.0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>
      <c r="A61" s="10"/>
      <c r="B61" s="62" t="s">
        <v>33</v>
      </c>
      <c r="C61" s="10"/>
      <c r="D61" s="10"/>
      <c r="E61" s="76" t="s">
        <v>113</v>
      </c>
      <c r="F61" s="58"/>
      <c r="G61" s="59" t="s">
        <v>56</v>
      </c>
      <c r="H61" s="60">
        <v>93.0</v>
      </c>
      <c r="I61" s="60">
        <v>93.0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>
      <c r="A62" s="10"/>
      <c r="B62" s="62" t="s">
        <v>33</v>
      </c>
      <c r="C62" s="10"/>
      <c r="D62" s="10"/>
      <c r="E62" s="72" t="s">
        <v>114</v>
      </c>
      <c r="F62" s="58"/>
      <c r="G62" s="59" t="s">
        <v>56</v>
      </c>
      <c r="H62" s="60">
        <v>88.0</v>
      </c>
      <c r="I62" s="60">
        <v>88.0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>
      <c r="A63" s="10"/>
      <c r="B63" s="62" t="s">
        <v>33</v>
      </c>
      <c r="C63" s="10"/>
      <c r="D63" s="10"/>
      <c r="E63" s="76" t="s">
        <v>115</v>
      </c>
      <c r="F63" s="58"/>
      <c r="G63" s="60">
        <v>4.0</v>
      </c>
      <c r="H63" s="60">
        <v>12.0</v>
      </c>
      <c r="I63" s="60">
        <v>48.0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>
      <c r="A64" s="10"/>
      <c r="B64" s="62" t="s">
        <v>33</v>
      </c>
      <c r="C64" s="10"/>
      <c r="D64" s="10"/>
      <c r="E64" s="72" t="s">
        <v>116</v>
      </c>
      <c r="F64" s="58"/>
      <c r="G64" s="60">
        <v>1.0</v>
      </c>
      <c r="H64" s="60">
        <v>59.0</v>
      </c>
      <c r="I64" s="60">
        <v>59.0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>
      <c r="A65" s="10"/>
      <c r="B65" s="62" t="s">
        <v>33</v>
      </c>
      <c r="C65" s="10"/>
      <c r="D65" s="10"/>
      <c r="E65" s="63" t="s">
        <v>117</v>
      </c>
      <c r="F65" s="65"/>
      <c r="G65" s="65"/>
      <c r="H65" s="65"/>
      <c r="I65" s="6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>
      <c r="A66" s="10"/>
      <c r="B66" s="10"/>
      <c r="C66" s="10"/>
      <c r="D66" s="10"/>
      <c r="E66" s="10"/>
      <c r="F66" s="12"/>
      <c r="G66" s="12"/>
      <c r="H66" s="12"/>
      <c r="I66" s="10">
        <f>SUM(I9:I65)</f>
        <v>1612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>
      <c r="A67" s="10"/>
      <c r="B67" s="10"/>
      <c r="C67" s="10"/>
      <c r="D67" s="10"/>
      <c r="E67" s="10"/>
      <c r="F67" s="12"/>
      <c r="G67" s="12"/>
      <c r="H67" s="12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>
      <c r="A68" s="10"/>
      <c r="B68" s="10"/>
      <c r="C68" s="10"/>
      <c r="D68" s="10"/>
      <c r="E68" s="78" t="s">
        <v>118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>
      <c r="A69" s="10"/>
      <c r="B69" s="62" t="s">
        <v>33</v>
      </c>
      <c r="C69" s="10"/>
      <c r="D69" s="75" t="s">
        <v>101</v>
      </c>
      <c r="E69" s="72" t="s">
        <v>119</v>
      </c>
      <c r="F69" s="73" t="s">
        <v>63</v>
      </c>
      <c r="G69" s="59" t="s">
        <v>56</v>
      </c>
      <c r="H69" s="60">
        <v>29.0</v>
      </c>
      <c r="I69" s="60">
        <v>29.0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>
      <c r="A70" s="10"/>
      <c r="B70" s="56"/>
      <c r="C70" s="56"/>
      <c r="D70" s="56"/>
      <c r="E70" s="71" t="s">
        <v>120</v>
      </c>
      <c r="F70" s="68"/>
      <c r="G70" s="68"/>
      <c r="H70" s="68"/>
      <c r="I70" s="68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>
      <c r="A71" s="10"/>
      <c r="B71" s="62" t="s">
        <v>33</v>
      </c>
      <c r="C71" s="10"/>
      <c r="D71" s="75" t="s">
        <v>101</v>
      </c>
      <c r="E71" s="72" t="s">
        <v>121</v>
      </c>
      <c r="F71" s="73" t="s">
        <v>63</v>
      </c>
      <c r="G71" s="59" t="s">
        <v>56</v>
      </c>
      <c r="H71" s="60">
        <v>8.0</v>
      </c>
      <c r="I71" s="60">
        <v>8.0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>
      <c r="A72" s="10"/>
      <c r="B72" s="62" t="s">
        <v>33</v>
      </c>
      <c r="C72" s="10"/>
      <c r="D72" s="75" t="s">
        <v>101</v>
      </c>
      <c r="E72" s="72" t="s">
        <v>122</v>
      </c>
      <c r="F72" s="73" t="s">
        <v>63</v>
      </c>
      <c r="G72" s="59" t="s">
        <v>56</v>
      </c>
      <c r="H72" s="60">
        <v>20.0</v>
      </c>
      <c r="I72" s="60">
        <v>20.0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>
      <c r="A73" s="10"/>
      <c r="B73" s="56"/>
      <c r="C73" s="56"/>
      <c r="D73" s="56"/>
      <c r="E73" s="71" t="s">
        <v>123</v>
      </c>
      <c r="F73" s="68"/>
      <c r="G73" s="68"/>
      <c r="H73" s="68"/>
      <c r="I73" s="68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>
      <c r="A74" s="10"/>
      <c r="B74" s="62" t="s">
        <v>33</v>
      </c>
      <c r="C74" s="10"/>
      <c r="D74" s="75" t="s">
        <v>101</v>
      </c>
      <c r="E74" s="72" t="s">
        <v>124</v>
      </c>
      <c r="F74" s="73" t="s">
        <v>63</v>
      </c>
      <c r="G74" s="59" t="s">
        <v>56</v>
      </c>
      <c r="H74" s="60">
        <v>35.0</v>
      </c>
      <c r="I74" s="60">
        <v>35.0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>
      <c r="A75" s="10"/>
      <c r="B75" s="56"/>
      <c r="C75" s="56"/>
      <c r="D75" s="56"/>
      <c r="E75" s="57" t="s">
        <v>100</v>
      </c>
      <c r="F75" s="68"/>
      <c r="G75" s="68"/>
      <c r="H75" s="68"/>
      <c r="I75" s="68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>
      <c r="A76" s="10"/>
      <c r="B76" s="62" t="s">
        <v>33</v>
      </c>
      <c r="C76" s="10"/>
      <c r="D76" s="75" t="s">
        <v>101</v>
      </c>
      <c r="E76" s="72" t="s">
        <v>125</v>
      </c>
      <c r="F76" s="73"/>
      <c r="G76" s="59" t="s">
        <v>56</v>
      </c>
      <c r="H76" s="60">
        <v>81.0</v>
      </c>
      <c r="I76" s="60">
        <v>81.0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>
      <c r="A83" s="10"/>
      <c r="B83" s="10"/>
      <c r="C83" s="10"/>
      <c r="D83" s="10"/>
      <c r="E83" s="10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>
      <c r="A84" s="10"/>
      <c r="B84" s="10"/>
      <c r="C84" s="10"/>
      <c r="D84" s="10"/>
      <c r="E84" s="10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>
      <c r="A85" s="10"/>
      <c r="B85" s="10"/>
      <c r="C85" s="10"/>
      <c r="D85" s="10"/>
      <c r="E85" s="10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>
      <c r="A86" s="10"/>
      <c r="B86" s="10"/>
      <c r="C86" s="10"/>
      <c r="D86" s="10"/>
      <c r="E86" s="10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>
      <c r="A87" s="10"/>
      <c r="B87" s="10"/>
      <c r="C87" s="10"/>
      <c r="D87" s="10"/>
      <c r="E87" s="10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>
      <c r="A88" s="10"/>
      <c r="B88" s="10"/>
      <c r="C88" s="10"/>
      <c r="D88" s="10"/>
      <c r="E88" s="10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>
      <c r="A89" s="10"/>
      <c r="B89" s="10"/>
      <c r="C89" s="10"/>
      <c r="D89" s="10"/>
      <c r="E89" s="10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>
      <c r="A90" s="10"/>
      <c r="B90" s="10"/>
      <c r="C90" s="10"/>
      <c r="D90" s="10"/>
      <c r="E90" s="10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>
      <c r="A91" s="10"/>
      <c r="B91" s="10"/>
      <c r="C91" s="10"/>
      <c r="D91" s="10"/>
      <c r="E91" s="10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>
      <c r="A92" s="10"/>
      <c r="B92" s="10"/>
      <c r="C92" s="10"/>
      <c r="D92" s="10"/>
      <c r="E92" s="10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>
      <c r="A93" s="10"/>
      <c r="B93" s="10"/>
      <c r="C93" s="10"/>
      <c r="D93" s="10"/>
      <c r="E93" s="10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>
      <c r="A94" s="10"/>
      <c r="B94" s="10"/>
      <c r="C94" s="10"/>
      <c r="D94" s="10"/>
      <c r="E94" s="10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>
      <c r="A95" s="10"/>
      <c r="B95" s="10"/>
      <c r="C95" s="10"/>
      <c r="D95" s="10"/>
      <c r="E95" s="10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>
      <c r="A96" s="10"/>
      <c r="B96" s="10"/>
      <c r="C96" s="10"/>
      <c r="D96" s="10"/>
      <c r="E96" s="10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>
      <c r="A97" s="10"/>
      <c r="B97" s="10"/>
      <c r="C97" s="10"/>
      <c r="D97" s="10"/>
      <c r="E97" s="10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>
      <c r="A98" s="10"/>
      <c r="B98" s="10"/>
      <c r="C98" s="10"/>
      <c r="D98" s="10"/>
      <c r="E98" s="10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>
      <c r="A99" s="10"/>
      <c r="B99" s="10"/>
      <c r="C99" s="10"/>
      <c r="D99" s="10"/>
      <c r="E99" s="10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>
      <c r="A100" s="10"/>
      <c r="B100" s="10"/>
      <c r="C100" s="10"/>
      <c r="D100" s="10"/>
      <c r="E100" s="10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>
      <c r="A101" s="10"/>
      <c r="B101" s="10"/>
      <c r="C101" s="10"/>
      <c r="D101" s="10"/>
      <c r="E101" s="10"/>
      <c r="F101" s="12"/>
      <c r="G101" s="12"/>
      <c r="H101" s="12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>
      <c r="A102" s="10"/>
      <c r="B102" s="10"/>
      <c r="C102" s="10"/>
      <c r="D102" s="10"/>
      <c r="E102" s="10"/>
      <c r="F102" s="12"/>
      <c r="G102" s="12"/>
      <c r="H102" s="12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>
      <c r="A103" s="10"/>
      <c r="B103" s="10"/>
      <c r="C103" s="10"/>
      <c r="D103" s="10"/>
      <c r="E103" s="10"/>
      <c r="F103" s="12"/>
      <c r="G103" s="12"/>
      <c r="H103" s="12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>
      <c r="A104" s="10"/>
      <c r="B104" s="10"/>
      <c r="C104" s="10"/>
      <c r="D104" s="10"/>
      <c r="E104" s="10"/>
      <c r="F104" s="12"/>
      <c r="G104" s="12"/>
      <c r="H104" s="12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>
      <c r="A105" s="10"/>
      <c r="B105" s="10"/>
      <c r="C105" s="10"/>
      <c r="D105" s="10"/>
      <c r="E105" s="10"/>
      <c r="F105" s="12"/>
      <c r="G105" s="12"/>
      <c r="H105" s="12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>
      <c r="A106" s="10"/>
      <c r="B106" s="10"/>
      <c r="C106" s="10"/>
      <c r="D106" s="10"/>
      <c r="E106" s="10"/>
      <c r="F106" s="12"/>
      <c r="G106" s="12"/>
      <c r="H106" s="12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>
      <c r="A107" s="10"/>
      <c r="B107" s="10"/>
      <c r="C107" s="10"/>
      <c r="D107" s="10"/>
      <c r="E107" s="10"/>
      <c r="F107" s="12"/>
      <c r="G107" s="12"/>
      <c r="H107" s="12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>
      <c r="A108" s="10"/>
      <c r="B108" s="10"/>
      <c r="C108" s="10"/>
      <c r="D108" s="10"/>
      <c r="E108" s="10"/>
      <c r="F108" s="12"/>
      <c r="G108" s="12"/>
      <c r="H108" s="12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>
      <c r="A109" s="10"/>
      <c r="B109" s="10"/>
      <c r="C109" s="10"/>
      <c r="D109" s="10"/>
      <c r="E109" s="10"/>
      <c r="F109" s="12"/>
      <c r="G109" s="12"/>
      <c r="H109" s="12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>
      <c r="A110" s="10"/>
      <c r="B110" s="10"/>
      <c r="C110" s="10"/>
      <c r="D110" s="10"/>
      <c r="E110" s="10"/>
      <c r="F110" s="12"/>
      <c r="G110" s="12"/>
      <c r="H110" s="12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>
      <c r="A111" s="10"/>
      <c r="B111" s="10"/>
      <c r="C111" s="10"/>
      <c r="D111" s="10"/>
      <c r="E111" s="10"/>
      <c r="F111" s="12"/>
      <c r="G111" s="12"/>
      <c r="H111" s="12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>
      <c r="A112" s="10"/>
      <c r="B112" s="10"/>
      <c r="C112" s="10"/>
      <c r="D112" s="10"/>
      <c r="E112" s="10"/>
      <c r="F112" s="12"/>
      <c r="G112" s="12"/>
      <c r="H112" s="1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>
      <c r="A113" s="10"/>
      <c r="B113" s="10"/>
      <c r="C113" s="10"/>
      <c r="D113" s="10"/>
      <c r="E113" s="10"/>
      <c r="F113" s="12"/>
      <c r="G113" s="12"/>
      <c r="H113" s="12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>
      <c r="A114" s="10"/>
      <c r="B114" s="10"/>
      <c r="C114" s="10"/>
      <c r="D114" s="10"/>
      <c r="E114" s="10"/>
      <c r="F114" s="12"/>
      <c r="G114" s="12"/>
      <c r="H114" s="1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>
      <c r="A115" s="10"/>
      <c r="B115" s="10"/>
      <c r="C115" s="10"/>
      <c r="D115" s="10"/>
      <c r="E115" s="10"/>
      <c r="F115" s="12"/>
      <c r="G115" s="12"/>
      <c r="H115" s="12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>
      <c r="A116" s="10"/>
      <c r="B116" s="10"/>
      <c r="C116" s="10"/>
      <c r="D116" s="10"/>
      <c r="E116" s="10"/>
      <c r="F116" s="12"/>
      <c r="G116" s="12"/>
      <c r="H116" s="12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>
      <c r="A117" s="10"/>
      <c r="B117" s="10"/>
      <c r="C117" s="10"/>
      <c r="D117" s="10"/>
      <c r="E117" s="10"/>
      <c r="F117" s="12"/>
      <c r="G117" s="12"/>
      <c r="H117" s="12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>
      <c r="A118" s="10"/>
      <c r="B118" s="10"/>
      <c r="C118" s="10"/>
      <c r="D118" s="10"/>
      <c r="E118" s="10"/>
      <c r="F118" s="12"/>
      <c r="G118" s="12"/>
      <c r="H118" s="12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>
      <c r="A119" s="10"/>
      <c r="B119" s="10"/>
      <c r="C119" s="10"/>
      <c r="D119" s="10"/>
      <c r="E119" s="10"/>
      <c r="F119" s="12"/>
      <c r="G119" s="12"/>
      <c r="H119" s="12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27.0" customHeight="1">
      <c r="A120" s="10"/>
      <c r="B120" s="10"/>
      <c r="C120" s="10"/>
      <c r="D120" s="10"/>
      <c r="E120" s="10"/>
      <c r="F120" s="12"/>
      <c r="G120" s="12"/>
      <c r="H120" s="12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27.0" customHeight="1">
      <c r="A121" s="10"/>
      <c r="B121" s="10"/>
      <c r="C121" s="10"/>
      <c r="D121" s="10"/>
      <c r="E121" s="10"/>
      <c r="F121" s="12"/>
      <c r="G121" s="12"/>
      <c r="H121" s="12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27.0" customHeight="1">
      <c r="A122" s="10"/>
      <c r="B122" s="10"/>
      <c r="C122" s="10"/>
      <c r="D122" s="10"/>
      <c r="E122" s="10"/>
      <c r="F122" s="12"/>
      <c r="G122" s="12"/>
      <c r="H122" s="12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27.0" customHeight="1">
      <c r="A123" s="10"/>
      <c r="B123" s="10"/>
      <c r="C123" s="10"/>
      <c r="D123" s="10"/>
      <c r="E123" s="10"/>
      <c r="F123" s="12"/>
      <c r="G123" s="12"/>
      <c r="H123" s="1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>
      <c r="A124" s="10"/>
      <c r="B124" s="10"/>
      <c r="C124" s="10"/>
      <c r="D124" s="10"/>
      <c r="E124" s="10"/>
      <c r="F124" s="12"/>
      <c r="G124" s="12"/>
      <c r="H124" s="12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5.75" customHeight="1">
      <c r="A125" s="10"/>
      <c r="B125" s="10"/>
      <c r="C125" s="10"/>
      <c r="D125" s="10"/>
      <c r="E125" s="10"/>
      <c r="F125" s="12"/>
      <c r="G125" s="12"/>
      <c r="H125" s="12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</sheetData>
  <mergeCells count="2">
    <mergeCell ref="O3:R3"/>
    <mergeCell ref="O7:R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79"/>
      <c r="B1" s="80"/>
      <c r="C1" s="80"/>
      <c r="D1" s="80"/>
      <c r="E1" s="81"/>
      <c r="F1" s="81"/>
      <c r="G1" s="81"/>
      <c r="H1" s="82"/>
      <c r="I1" s="83"/>
      <c r="J1" s="83"/>
    </row>
    <row r="2" ht="23.25" customHeight="1">
      <c r="A2" s="14"/>
      <c r="B2" s="80"/>
      <c r="C2" s="80"/>
      <c r="D2" s="80"/>
      <c r="E2" s="81"/>
      <c r="F2" s="81"/>
      <c r="G2" s="81"/>
      <c r="H2" s="82"/>
      <c r="I2" s="83"/>
      <c r="J2" s="83"/>
    </row>
    <row r="3" ht="23.25" customHeight="1">
      <c r="A3" s="14"/>
      <c r="B3" s="84" t="s">
        <v>126</v>
      </c>
      <c r="C3" s="85"/>
      <c r="D3" s="85"/>
      <c r="E3" s="86"/>
      <c r="F3" s="86"/>
      <c r="G3" s="86"/>
      <c r="H3" s="86"/>
      <c r="I3" s="83"/>
      <c r="J3" s="83"/>
    </row>
    <row r="4">
      <c r="A4" s="14"/>
      <c r="B4" s="87" t="s">
        <v>127</v>
      </c>
      <c r="C4" s="88" t="s">
        <v>128</v>
      </c>
      <c r="D4" s="89" t="s">
        <v>129</v>
      </c>
      <c r="E4" s="88" t="s">
        <v>130</v>
      </c>
      <c r="F4" s="90" t="s">
        <v>131</v>
      </c>
      <c r="G4" s="90" t="s">
        <v>132</v>
      </c>
      <c r="H4" s="90" t="s">
        <v>133</v>
      </c>
      <c r="I4" s="83"/>
      <c r="J4" s="83"/>
    </row>
    <row r="5">
      <c r="A5" s="14"/>
      <c r="B5" s="91"/>
      <c r="C5" s="91">
        <v>1.0</v>
      </c>
      <c r="D5" s="92"/>
      <c r="E5" s="91"/>
      <c r="F5" s="93"/>
      <c r="G5" s="94"/>
      <c r="H5" s="94"/>
      <c r="I5" s="83"/>
      <c r="J5" s="83"/>
    </row>
    <row r="6">
      <c r="A6" s="14"/>
      <c r="B6" s="51"/>
      <c r="C6" s="51"/>
      <c r="D6" s="43"/>
      <c r="E6" s="95" t="s">
        <v>134</v>
      </c>
      <c r="F6" s="96"/>
      <c r="G6" s="97"/>
      <c r="H6" s="97"/>
      <c r="I6" s="83"/>
      <c r="J6" s="83"/>
    </row>
    <row r="7">
      <c r="A7" s="14"/>
      <c r="B7" s="51"/>
      <c r="C7" s="51"/>
      <c r="D7" s="43"/>
      <c r="E7" s="98" t="s">
        <v>135</v>
      </c>
      <c r="F7" s="96"/>
      <c r="G7" s="97"/>
      <c r="H7" s="97"/>
      <c r="I7" s="83"/>
      <c r="J7" s="83"/>
    </row>
    <row r="8">
      <c r="A8" s="14"/>
      <c r="B8" s="51"/>
      <c r="C8" s="51"/>
      <c r="D8" s="43"/>
      <c r="E8" s="99" t="s">
        <v>136</v>
      </c>
      <c r="F8" s="95"/>
      <c r="G8" s="95"/>
      <c r="H8" s="95"/>
      <c r="I8" s="83"/>
      <c r="J8" s="83"/>
    </row>
    <row r="9">
      <c r="A9" s="14"/>
      <c r="B9" s="91"/>
      <c r="C9" s="100">
        <v>2.0</v>
      </c>
      <c r="D9" s="92"/>
      <c r="E9" s="91"/>
      <c r="F9" s="93"/>
      <c r="G9" s="94"/>
      <c r="H9" s="94"/>
      <c r="I9" s="83"/>
      <c r="J9" s="83"/>
    </row>
    <row r="10">
      <c r="A10" s="14"/>
      <c r="B10" s="51"/>
      <c r="C10" s="51"/>
      <c r="D10" s="53"/>
      <c r="E10" s="95" t="s">
        <v>137</v>
      </c>
      <c r="F10" s="101"/>
      <c r="G10" s="102"/>
      <c r="H10" s="102"/>
      <c r="I10" s="83"/>
      <c r="J10" s="83"/>
    </row>
    <row r="11">
      <c r="A11" s="14"/>
      <c r="B11" s="51"/>
      <c r="C11" s="51"/>
      <c r="D11" s="103"/>
      <c r="E11" s="98" t="s">
        <v>138</v>
      </c>
      <c r="F11" s="103">
        <v>0.5</v>
      </c>
      <c r="G11" s="103">
        <v>1.0</v>
      </c>
      <c r="H11" s="102"/>
      <c r="I11" s="83"/>
      <c r="J11" s="83"/>
    </row>
    <row r="12">
      <c r="A12" s="14"/>
      <c r="B12" s="51"/>
      <c r="C12" s="104"/>
      <c r="D12" s="103"/>
      <c r="E12" s="105" t="s">
        <v>103</v>
      </c>
      <c r="F12" s="103"/>
      <c r="G12" s="103"/>
      <c r="H12" s="102"/>
      <c r="I12" s="83"/>
      <c r="J12" s="83"/>
    </row>
    <row r="13">
      <c r="A13" s="14"/>
      <c r="B13" s="51"/>
      <c r="C13" s="104"/>
      <c r="D13" s="103"/>
      <c r="E13" s="105" t="s">
        <v>105</v>
      </c>
      <c r="F13" s="103"/>
      <c r="G13" s="103"/>
      <c r="H13" s="102"/>
      <c r="I13" s="83"/>
      <c r="J13" s="83"/>
    </row>
    <row r="14">
      <c r="A14" s="14"/>
      <c r="B14" s="51"/>
      <c r="C14" s="104"/>
      <c r="D14" s="103"/>
      <c r="E14" s="106" t="s">
        <v>104</v>
      </c>
      <c r="F14" s="103"/>
      <c r="G14" s="103"/>
      <c r="H14" s="102"/>
      <c r="I14" s="83"/>
      <c r="J14" s="83"/>
    </row>
    <row r="15">
      <c r="A15" s="14"/>
      <c r="B15" s="51"/>
      <c r="C15" s="104"/>
      <c r="D15" s="103"/>
      <c r="E15" s="105" t="s">
        <v>139</v>
      </c>
      <c r="F15" s="103"/>
      <c r="G15" s="103"/>
      <c r="H15" s="102"/>
      <c r="I15" s="83"/>
      <c r="J15" s="83"/>
    </row>
    <row r="16">
      <c r="A16" s="14"/>
      <c r="B16" s="51"/>
      <c r="C16" s="104"/>
      <c r="D16" s="103"/>
      <c r="E16" s="105" t="s">
        <v>62</v>
      </c>
      <c r="F16" s="103"/>
      <c r="G16" s="103"/>
      <c r="H16" s="102"/>
      <c r="I16" s="83"/>
      <c r="J16" s="83"/>
    </row>
    <row r="17">
      <c r="A17" s="14"/>
      <c r="B17" s="51"/>
      <c r="C17" s="104"/>
      <c r="D17" s="103"/>
      <c r="E17" s="105" t="s">
        <v>102</v>
      </c>
      <c r="F17" s="53"/>
      <c r="G17" s="107"/>
      <c r="H17" s="102"/>
      <c r="I17" s="83"/>
      <c r="J17" s="83"/>
    </row>
    <row r="18">
      <c r="A18" s="14"/>
      <c r="B18" s="51"/>
      <c r="C18" s="104"/>
      <c r="D18" s="108"/>
      <c r="E18" s="105" t="s">
        <v>108</v>
      </c>
      <c r="F18" s="53"/>
      <c r="G18" s="107"/>
      <c r="H18" s="102"/>
      <c r="I18" s="83"/>
      <c r="J18" s="83"/>
    </row>
    <row r="19">
      <c r="A19" s="14"/>
      <c r="B19" s="51"/>
      <c r="C19" s="104"/>
      <c r="D19" s="103"/>
      <c r="E19" s="106" t="s">
        <v>125</v>
      </c>
      <c r="F19" s="107"/>
      <c r="G19" s="107"/>
      <c r="H19" s="102"/>
      <c r="I19" s="83"/>
      <c r="J19" s="83"/>
    </row>
    <row r="20">
      <c r="A20" s="14"/>
      <c r="B20" s="51"/>
      <c r="C20" s="51"/>
      <c r="D20" s="103"/>
      <c r="E20" s="98" t="s">
        <v>140</v>
      </c>
      <c r="F20" s="102"/>
      <c r="G20" s="103">
        <v>1.0</v>
      </c>
      <c r="H20" s="102"/>
      <c r="I20" s="83"/>
      <c r="J20" s="83"/>
    </row>
    <row r="21">
      <c r="A21" s="14"/>
      <c r="B21" s="51"/>
      <c r="C21" s="51"/>
      <c r="D21" s="51"/>
      <c r="E21" s="109" t="s">
        <v>141</v>
      </c>
      <c r="F21" s="110"/>
      <c r="G21" s="51"/>
      <c r="H21" s="102"/>
      <c r="I21" s="83"/>
      <c r="J21" s="83"/>
    </row>
    <row r="22">
      <c r="A22" s="14"/>
      <c r="B22" s="51"/>
      <c r="C22" s="51"/>
      <c r="D22" s="51"/>
      <c r="E22" s="98" t="s">
        <v>138</v>
      </c>
      <c r="F22" s="111">
        <v>0.25</v>
      </c>
      <c r="G22" s="103">
        <v>1.0</v>
      </c>
      <c r="H22" s="102"/>
      <c r="I22" s="83"/>
      <c r="J22" s="83"/>
    </row>
    <row r="23">
      <c r="A23" s="14"/>
      <c r="B23" s="51"/>
      <c r="C23" s="51"/>
      <c r="D23" s="51"/>
      <c r="E23" s="112" t="s">
        <v>106</v>
      </c>
      <c r="F23" s="110"/>
      <c r="G23" s="51"/>
      <c r="H23" s="102"/>
      <c r="I23" s="83"/>
      <c r="J23" s="83"/>
    </row>
    <row r="24">
      <c r="A24" s="14"/>
      <c r="B24" s="51"/>
      <c r="C24" s="51"/>
      <c r="D24" s="51"/>
      <c r="E24" s="98" t="s">
        <v>140</v>
      </c>
      <c r="F24" s="51"/>
      <c r="G24" s="103">
        <v>1.0</v>
      </c>
      <c r="H24" s="102"/>
      <c r="I24" s="83"/>
      <c r="J24" s="83"/>
    </row>
    <row r="25">
      <c r="A25" s="14"/>
      <c r="B25" s="91"/>
      <c r="C25" s="91"/>
      <c r="D25" s="92"/>
      <c r="E25" s="91"/>
      <c r="F25" s="93"/>
      <c r="G25" s="94"/>
      <c r="H25" s="94"/>
      <c r="I25" s="83"/>
      <c r="J25" s="83"/>
    </row>
    <row r="26">
      <c r="A26" s="14"/>
      <c r="B26" s="51"/>
      <c r="C26" s="51"/>
      <c r="D26" s="53"/>
      <c r="E26" s="109"/>
      <c r="F26" s="101"/>
      <c r="G26" s="102"/>
      <c r="H26" s="102"/>
      <c r="I26" s="83"/>
      <c r="J26" s="83"/>
    </row>
    <row r="27">
      <c r="A27" s="14"/>
      <c r="B27" s="51"/>
      <c r="C27" s="51"/>
      <c r="D27" s="103"/>
      <c r="E27" s="98" t="s">
        <v>138</v>
      </c>
      <c r="F27" s="113">
        <v>0.25</v>
      </c>
      <c r="G27" s="103">
        <v>1.0</v>
      </c>
      <c r="H27" s="102"/>
      <c r="I27" s="83"/>
      <c r="J27" s="83"/>
    </row>
    <row r="28">
      <c r="A28" s="14"/>
      <c r="B28" s="114"/>
      <c r="C28" s="114"/>
      <c r="D28" s="115"/>
      <c r="E28" s="116" t="s">
        <v>142</v>
      </c>
      <c r="F28" s="117"/>
      <c r="G28" s="118"/>
      <c r="H28" s="118"/>
      <c r="I28" s="83"/>
      <c r="J28" s="83"/>
    </row>
    <row r="29">
      <c r="A29" s="14"/>
      <c r="B29" s="114"/>
      <c r="C29" s="114"/>
      <c r="D29" s="115"/>
      <c r="E29" s="98" t="s">
        <v>140</v>
      </c>
      <c r="F29" s="117"/>
      <c r="G29" s="103">
        <v>1.0</v>
      </c>
      <c r="H29" s="118"/>
      <c r="I29" s="83"/>
      <c r="J29" s="83"/>
    </row>
    <row r="30">
      <c r="A30" s="14"/>
      <c r="B30" s="114"/>
      <c r="C30" s="114"/>
      <c r="D30" s="115"/>
      <c r="E30" s="115"/>
      <c r="F30" s="117"/>
      <c r="G30" s="118"/>
      <c r="H30" s="118"/>
      <c r="I30" s="83"/>
      <c r="J30" s="83"/>
    </row>
    <row r="31">
      <c r="A31" s="14"/>
      <c r="B31" s="114"/>
      <c r="C31" s="114"/>
      <c r="D31" s="115"/>
      <c r="E31" s="98" t="s">
        <v>138</v>
      </c>
      <c r="F31" s="113">
        <v>0.5</v>
      </c>
      <c r="G31" s="103">
        <v>1.0</v>
      </c>
      <c r="H31" s="118"/>
      <c r="I31" s="83"/>
      <c r="J31" s="83"/>
    </row>
    <row r="32">
      <c r="A32" s="14"/>
      <c r="B32" s="114"/>
      <c r="C32" s="114"/>
      <c r="D32" s="115"/>
      <c r="E32" s="116" t="s">
        <v>143</v>
      </c>
      <c r="F32" s="117"/>
      <c r="G32" s="118"/>
      <c r="H32" s="118"/>
      <c r="I32" s="83"/>
      <c r="J32" s="83"/>
    </row>
    <row r="33">
      <c r="A33" s="14"/>
      <c r="B33" s="114"/>
      <c r="C33" s="114"/>
      <c r="D33" s="115"/>
      <c r="E33" s="116" t="s">
        <v>144</v>
      </c>
      <c r="F33" s="117"/>
      <c r="G33" s="118"/>
      <c r="H33" s="118"/>
      <c r="I33" s="83"/>
      <c r="J33" s="83"/>
    </row>
    <row r="34">
      <c r="A34" s="14"/>
      <c r="B34" s="114"/>
      <c r="C34" s="114"/>
      <c r="D34" s="115"/>
      <c r="E34" s="112" t="s">
        <v>145</v>
      </c>
      <c r="F34" s="119"/>
      <c r="G34" s="118"/>
      <c r="H34" s="118"/>
      <c r="I34" s="83"/>
      <c r="J34" s="83"/>
    </row>
    <row r="35">
      <c r="A35" s="14"/>
      <c r="B35" s="114"/>
      <c r="C35" s="114"/>
      <c r="D35" s="115"/>
      <c r="E35" s="98" t="s">
        <v>140</v>
      </c>
      <c r="F35" s="117"/>
      <c r="G35" s="103">
        <v>1.0</v>
      </c>
      <c r="H35" s="118"/>
      <c r="I35" s="83"/>
      <c r="J35" s="83"/>
    </row>
    <row r="36">
      <c r="A36" s="14"/>
      <c r="B36" s="91"/>
      <c r="C36" s="91"/>
      <c r="D36" s="92"/>
      <c r="E36" s="91"/>
      <c r="F36" s="93"/>
      <c r="G36" s="94"/>
      <c r="H36" s="94"/>
      <c r="I36" s="83"/>
      <c r="J36" s="83"/>
    </row>
    <row r="37">
      <c r="A37" s="14"/>
      <c r="B37" s="51"/>
      <c r="C37" s="51"/>
      <c r="D37" s="51"/>
      <c r="E37" s="120" t="s">
        <v>146</v>
      </c>
      <c r="F37" s="51"/>
      <c r="G37" s="51"/>
      <c r="H37" s="51"/>
      <c r="I37" s="83"/>
      <c r="J37" s="83"/>
    </row>
    <row r="38">
      <c r="A38" s="14"/>
      <c r="B38" s="51"/>
      <c r="C38" s="51"/>
      <c r="D38" s="101"/>
      <c r="E38" s="98" t="s">
        <v>147</v>
      </c>
      <c r="F38" s="51"/>
      <c r="G38" s="51"/>
      <c r="H38" s="51"/>
      <c r="I38" s="83"/>
      <c r="J38" s="83"/>
    </row>
    <row r="39">
      <c r="A39" s="14"/>
      <c r="B39" s="51"/>
      <c r="C39" s="51"/>
      <c r="D39" s="101"/>
      <c r="E39" s="120" t="s">
        <v>148</v>
      </c>
      <c r="F39" s="51"/>
      <c r="G39" s="51"/>
      <c r="H39" s="51"/>
      <c r="I39" s="83"/>
      <c r="J39" s="83"/>
    </row>
    <row r="40" ht="23.25" customHeight="1">
      <c r="A40" s="11"/>
      <c r="B40" s="80"/>
      <c r="C40" s="121"/>
      <c r="D40" s="80"/>
      <c r="E40" s="83"/>
      <c r="F40" s="122">
        <f t="shared" ref="F40:H40" si="1">SUM(F5:F39)</f>
        <v>1.5</v>
      </c>
      <c r="G40" s="122">
        <f t="shared" si="1"/>
        <v>8</v>
      </c>
      <c r="H40" s="122">
        <f t="shared" si="1"/>
        <v>0</v>
      </c>
      <c r="I40" s="83"/>
      <c r="J40" s="83"/>
    </row>
    <row r="41" ht="23.25" customHeight="1">
      <c r="A41" s="14"/>
      <c r="B41" s="80"/>
      <c r="C41" s="121"/>
      <c r="D41" s="80"/>
      <c r="E41" s="123" t="s">
        <v>149</v>
      </c>
      <c r="F41" s="124">
        <v>0.75</v>
      </c>
      <c r="G41" s="123">
        <v>4.0</v>
      </c>
      <c r="H41" s="83"/>
      <c r="I41" s="83"/>
      <c r="J41" s="83"/>
    </row>
    <row r="42" ht="23.25" customHeight="1">
      <c r="A42" s="14"/>
      <c r="B42" s="80"/>
      <c r="C42" s="121"/>
      <c r="D42" s="80"/>
      <c r="E42" s="123" t="s">
        <v>150</v>
      </c>
      <c r="F42" s="125">
        <f t="shared" ref="F42:G42" si="2">F40-F41</f>
        <v>0.75</v>
      </c>
      <c r="G42" s="125">
        <f t="shared" si="2"/>
        <v>4</v>
      </c>
      <c r="H42" s="83"/>
      <c r="I42" s="83"/>
      <c r="J42" s="83"/>
    </row>
    <row r="43" ht="23.25" customHeight="1">
      <c r="A43" s="14"/>
      <c r="B43" s="80"/>
      <c r="C43" s="121"/>
      <c r="D43" s="80"/>
      <c r="E43" s="83"/>
      <c r="F43" s="125"/>
      <c r="G43" s="83"/>
      <c r="H43" s="83"/>
      <c r="I43" s="83"/>
      <c r="J43" s="83"/>
    </row>
    <row r="44" ht="23.25" customHeight="1">
      <c r="A44" s="14"/>
      <c r="B44" s="80"/>
      <c r="C44" s="121"/>
      <c r="D44" s="80"/>
      <c r="E44" s="83"/>
      <c r="F44" s="125"/>
      <c r="G44" s="83"/>
      <c r="H44" s="83"/>
      <c r="I44" s="83"/>
      <c r="J44" s="8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>
      <c r="A2" s="128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9" t="s">
        <v>151</v>
      </c>
      <c r="B3" s="129" t="s">
        <v>61</v>
      </c>
      <c r="C3" s="129" t="s">
        <v>151</v>
      </c>
      <c r="D3" s="129" t="s">
        <v>100</v>
      </c>
      <c r="E3" s="129" t="s">
        <v>151</v>
      </c>
      <c r="F3" s="129" t="s">
        <v>110</v>
      </c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