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Nagaina" sheetId="3" r:id="rId6"/>
    <sheet state="visible" name="COSTEO Trinnet" sheetId="4" r:id="rId7"/>
    <sheet state="visible" name="CONFIRMACION" sheetId="5" r:id="rId8"/>
    <sheet state="visible" name="VUELO+HOTEL+SIM CARD" sheetId="6" r:id="rId9"/>
  </sheets>
  <definedNames/>
  <calcPr/>
  <extLst>
    <ext uri="GoogleSheetsCustomDataVersion2">
      <go:sheetsCustomData xmlns:go="http://customooxmlschemas.google.com/" r:id="rId10" roundtripDataChecksum="3DMSJTJFd6XsKVPnR0AYCcPWC7PnlAPT+Ua85UZ21L4="/>
    </ext>
  </extLst>
</workbook>
</file>

<file path=xl/sharedStrings.xml><?xml version="1.0" encoding="utf-8"?>
<sst xmlns="http://schemas.openxmlformats.org/spreadsheetml/2006/main" count="262" uniqueCount="151">
  <si>
    <t>CONFIRMACIÓN</t>
  </si>
  <si>
    <t>DIRECCIÓN</t>
  </si>
  <si>
    <t>SEDE</t>
  </si>
  <si>
    <t>PROVEEDOR</t>
  </si>
  <si>
    <t>PASAJERO</t>
  </si>
  <si>
    <t>HORA</t>
  </si>
  <si>
    <t>FECHAS: DEL 16 AL 21 DE OCTUBRE</t>
  </si>
  <si>
    <t>Nagaina</t>
  </si>
  <si>
    <t>Trinnet</t>
  </si>
  <si>
    <t>ESTADO DE CUENTA</t>
  </si>
  <si>
    <t>DIA/HORA</t>
  </si>
  <si>
    <t>Actividad</t>
  </si>
  <si>
    <t>ACP horas</t>
  </si>
  <si>
    <t>LIBRO DIARIO CONTABLE</t>
  </si>
  <si>
    <t>Traslado cerca</t>
  </si>
  <si>
    <t>ACV documentos MÉDICOS</t>
  </si>
  <si>
    <t>VIERNES 16 de OCTUBRE</t>
  </si>
  <si>
    <t>PAGOS - FACTURAS</t>
  </si>
  <si>
    <t>CONFIRMACIÓN DE RESERVAS</t>
  </si>
  <si>
    <t>SERVICIOS</t>
  </si>
  <si>
    <t>CANTIDAD</t>
  </si>
  <si>
    <t>PRECIO UNITARIO EN DOLARES</t>
  </si>
  <si>
    <t>Reservado por pax</t>
  </si>
  <si>
    <t>PASAJERO 1  PRECIO EN DOLARES</t>
  </si>
  <si>
    <t>PAGOS EN PESOS</t>
  </si>
  <si>
    <t>RETENCIÓN EN LA FUENTE</t>
  </si>
  <si>
    <t>Vuelo Curazao  - Medellín</t>
  </si>
  <si>
    <t>PAGO TOTAL</t>
  </si>
  <si>
    <t>PAGOS</t>
  </si>
  <si>
    <t>Migración</t>
  </si>
  <si>
    <t>Traslado aeropuerto - Hotel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</si>
  <si>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</si>
  <si>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</si>
  <si>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</si>
  <si>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</si>
  <si>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</si>
  <si>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</si>
  <si>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Alojamiento</t>
  </si>
  <si>
    <t>CHEQUEO MÉDICO EJECUTIVO PREVENTIVO MUJER</t>
  </si>
  <si>
    <t xml:space="preserve">HACER Y ENVIAR CARTA CIMA </t>
  </si>
  <si>
    <t xml:space="preserve">ENVIAR PREPARACION CITOLOGIA Y CHEQUEO </t>
  </si>
  <si>
    <t>Póliza de asistencia médica al viajero para 8 días</t>
  </si>
  <si>
    <t xml:space="preserve">SABADO 17 de OCTUBRE </t>
  </si>
  <si>
    <t>DOMINGO 18 de OCTUBRE</t>
  </si>
  <si>
    <t>Domicilio chequeo</t>
  </si>
  <si>
    <t>LUNES 19 de OCTUBRE</t>
  </si>
  <si>
    <t>Tarros para orina y material fecal</t>
  </si>
  <si>
    <t>* Citología Cervical para mujer</t>
  </si>
  <si>
    <t>No desayunar - Ayuno de 8 horas DEBE LLEVAR VEJIGA LLENA para la ecografía  - TOMAR AGUA</t>
  </si>
  <si>
    <t>CONFIRMAR ACP</t>
  </si>
  <si>
    <t>05:30 am</t>
  </si>
  <si>
    <t>* Coprológico</t>
  </si>
  <si>
    <t>Traslado hotel - centro médico</t>
  </si>
  <si>
    <t>* Vitamina D 25 hidroxi</t>
  </si>
  <si>
    <t>Nagaina/ Trinnet</t>
  </si>
  <si>
    <t xml:space="preserve">Ecografía de abdomen total </t>
  </si>
  <si>
    <t>Perfil lipídico</t>
  </si>
  <si>
    <t>Ecografía de mama</t>
  </si>
  <si>
    <t>Nombre</t>
  </si>
  <si>
    <t>Apellido</t>
  </si>
  <si>
    <t>Servania</t>
  </si>
  <si>
    <t xml:space="preserve">Toma de muestras de laboratorio clínico  </t>
  </si>
  <si>
    <t>* Colesterol total</t>
  </si>
  <si>
    <t>Ogenia</t>
  </si>
  <si>
    <t>Género:  .</t>
  </si>
  <si>
    <t>Femenino</t>
  </si>
  <si>
    <t>Citología cervical</t>
  </si>
  <si>
    <t>* Colesterol HDL</t>
  </si>
  <si>
    <t>Pasaporte</t>
  </si>
  <si>
    <t>NX8CJLK26</t>
  </si>
  <si>
    <t>NURJ7B265</t>
  </si>
  <si>
    <t>Radiografía de tórax</t>
  </si>
  <si>
    <t>* Colesterol  LDL</t>
  </si>
  <si>
    <t>Fecha de nacimiento</t>
  </si>
  <si>
    <t>Tiempo para desayunar</t>
  </si>
  <si>
    <t>Edad</t>
  </si>
  <si>
    <t>* Colesterol  VLDL</t>
  </si>
  <si>
    <t>Electrocardiograma</t>
  </si>
  <si>
    <t>* Triglicéridos</t>
  </si>
  <si>
    <t>Estado civil</t>
  </si>
  <si>
    <t>Soltera</t>
  </si>
  <si>
    <t>Audiometría</t>
  </si>
  <si>
    <t>Dirección</t>
  </si>
  <si>
    <t xml:space="preserve"> bokaweg 120</t>
  </si>
  <si>
    <t>Louisianaweg 30C</t>
  </si>
  <si>
    <t>Optometría</t>
  </si>
  <si>
    <t>Perfil tiroideo</t>
  </si>
  <si>
    <t xml:space="preserve">Nacionalidad  y  domicilio:  </t>
  </si>
  <si>
    <t>Traslado centro médico - hotel</t>
  </si>
  <si>
    <t>* TSH</t>
  </si>
  <si>
    <t>MARTES 20 de OCTUBRE</t>
  </si>
  <si>
    <t xml:space="preserve">  </t>
  </si>
  <si>
    <t>Email:</t>
  </si>
  <si>
    <t>nagainaaservaniaa@gmail.com</t>
  </si>
  <si>
    <t>t.ogenia@outlook.com</t>
  </si>
  <si>
    <t>Mañana libre</t>
  </si>
  <si>
    <t>* T4 libre</t>
  </si>
  <si>
    <t>Teléfono</t>
  </si>
  <si>
    <t>599 9 516 8334</t>
  </si>
  <si>
    <t>599 9 517 9220</t>
  </si>
  <si>
    <t>Tiempo para almorzar</t>
  </si>
  <si>
    <t xml:space="preserve">Profesión </t>
  </si>
  <si>
    <t>Administración</t>
  </si>
  <si>
    <t>Perfil Hepático</t>
  </si>
  <si>
    <t>RH</t>
  </si>
  <si>
    <t>O+</t>
  </si>
  <si>
    <t>Consulta con especialista MEDICINA INTERNA</t>
  </si>
  <si>
    <t>Seguro</t>
  </si>
  <si>
    <t>SVB</t>
  </si>
  <si>
    <t>Peso</t>
  </si>
  <si>
    <t>* AST - aspartato transferasa</t>
  </si>
  <si>
    <t>Altura</t>
  </si>
  <si>
    <t>1,52</t>
  </si>
  <si>
    <t>1,65</t>
  </si>
  <si>
    <t>Idioma</t>
  </si>
  <si>
    <t>Español</t>
  </si>
  <si>
    <t>MIERCOLES 21 de OCTUBRE</t>
  </si>
  <si>
    <t>* ALT- Alanina transferasa</t>
  </si>
  <si>
    <t>Papiamentu /Español</t>
  </si>
  <si>
    <t>Traslado hotel - aeropuerto</t>
  </si>
  <si>
    <t>Perfil Renal</t>
  </si>
  <si>
    <t>Vuelo Medellín - Curazao</t>
  </si>
  <si>
    <t>TOTAL</t>
  </si>
  <si>
    <t>* Creatinina en suero</t>
  </si>
  <si>
    <t>* Uroanálisis</t>
  </si>
  <si>
    <t>INCLUIDO EN PAQUETES DE CHEQUEO MEDICO</t>
  </si>
  <si>
    <t>Sangre</t>
  </si>
  <si>
    <t xml:space="preserve"> </t>
  </si>
  <si>
    <t>* Hemograma</t>
  </si>
  <si>
    <t>* Hemoglobina Glicosilada</t>
  </si>
  <si>
    <t>Hemoclasificación Grupo ABO y factor RH</t>
  </si>
  <si>
    <t>1,00 Unidades</t>
  </si>
  <si>
    <t>$ 10,00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</si>
  <si>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</si>
  <si>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</si>
  <si>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</si>
  <si>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</si>
  <si>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</si>
  <si>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</si>
  <si>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Ecografía de abdomen total</t>
  </si>
  <si>
    <t>Ecografía de mama para mujer</t>
  </si>
  <si>
    <t>Electro cardiograma</t>
  </si>
  <si>
    <t>Audiometría básica</t>
  </si>
  <si>
    <t>Optometría básica</t>
  </si>
  <si>
    <t>ESPECIALISTAS</t>
  </si>
  <si>
    <t>Consulta con Médico Internista</t>
  </si>
  <si>
    <t>SERVICIOS MEDICAL TRIP COLOMBIA</t>
  </si>
  <si>
    <t>04 traslados cortos hotel - centro médico</t>
  </si>
  <si>
    <t>Acompañamiento virtual y presencial</t>
  </si>
  <si>
    <t>Caja menor a ACP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</si>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</sst>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d/m/yyyy"/>
    <numFmt numFmtId="167" formatCode="[$cop]#,##0"/>
    <numFmt numFmtId="168" formatCode="dd mmmm"/>
    <numFmt numFmtId="169" formatCode="d/MM/yyyy"/>
    <numFmt numFmtId="170" formatCode="&quot;$&quot;#,##0"/>
    <numFmt numFmtId="171" formatCode="dd/mm/yyyy"/>
    <numFmt numFmtId="172" formatCode="dd-mm-yyyy"/>
    <numFmt numFmtId="173" formatCode="&quot;$&quot;#,##0.000"/>
  </numFmts>
  <fonts count="1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xend"/>
    </font>
    <font>
      <sz val="10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10.0"/>
      <color rgb="FF212529"/>
      <name val="Lexend"/>
    </font>
    <font>
      <color theme="1"/>
      <name val="Lexend"/>
    </font>
    <font>
      <b/>
      <color theme="1"/>
      <name val="Arial"/>
    </font>
    <font>
      <sz val="11.0"/>
      <color rgb="FF212529"/>
      <name val="Lexend"/>
    </font>
    <font>
      <sz val="11.0"/>
      <color rgb="FF212529"/>
      <name val="-apple-system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ill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1" fillId="4" fontId="1" numFmtId="166" xfId="0" applyAlignment="1" applyBorder="1" applyFont="1" applyNumberFormat="1">
      <alignment vertical="center"/>
    </xf>
    <xf borderId="1" fillId="3" fontId="7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vertical="center"/>
    </xf>
    <xf borderId="4" fillId="3" fontId="7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0" fillId="0" fontId="3" numFmtId="167" xfId="0" applyAlignment="1" applyFont="1" applyNumberFormat="1">
      <alignment shrinkToFit="0" vertical="center" wrapText="1"/>
    </xf>
    <xf borderId="1" fillId="0" fontId="1" numFmtId="0" xfId="0" applyAlignment="1" applyBorder="1" applyFont="1">
      <alignment vertical="center"/>
    </xf>
    <xf borderId="1" fillId="3" fontId="7" numFmtId="167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1" numFmtId="168" xfId="0" applyAlignment="1" applyBorder="1" applyFont="1" applyNumberFormat="1">
      <alignment vertical="center"/>
    </xf>
    <xf borderId="5" fillId="0" fontId="1" numFmtId="168" xfId="0" applyAlignment="1" applyBorder="1" applyFont="1" applyNumberFormat="1">
      <alignment vertical="center"/>
    </xf>
    <xf borderId="2" fillId="3" fontId="7" numFmtId="167" xfId="0" applyAlignment="1" applyBorder="1" applyFont="1" applyNumberFormat="1">
      <alignment horizontal="center" shrinkToFit="0" vertical="center" wrapText="1"/>
    </xf>
    <xf borderId="2" fillId="0" fontId="8" numFmtId="0" xfId="0" applyBorder="1" applyFont="1"/>
    <xf borderId="2" fillId="3" fontId="3" numFmtId="169" xfId="0" applyAlignment="1" applyBorder="1" applyFont="1" applyNumberFormat="1">
      <alignment shrinkToFit="0" vertical="center" wrapText="1"/>
    </xf>
    <xf borderId="2" fillId="3" fontId="3" numFmtId="165" xfId="0" applyAlignment="1" applyBorder="1" applyFont="1" applyNumberFormat="1">
      <alignment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167" xfId="0" applyAlignment="1" applyBorder="1" applyFont="1" applyNumberFormat="1">
      <alignment shrinkToFit="0" vertical="center" wrapText="1"/>
    </xf>
    <xf borderId="1" fillId="6" fontId="2" numFmtId="0" xfId="0" applyAlignment="1" applyBorder="1" applyFill="1" applyFont="1">
      <alignment horizontal="center"/>
    </xf>
    <xf borderId="6" fillId="7" fontId="7" numFmtId="167" xfId="0" applyAlignment="1" applyBorder="1" applyFill="1" applyFont="1" applyNumberFormat="1">
      <alignment horizontal="center" shrinkToFit="0" vertical="center" wrapText="1"/>
    </xf>
    <xf borderId="6" fillId="7" fontId="7" numFmtId="169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center" vertical="center"/>
    </xf>
    <xf borderId="0" fillId="8" fontId="3" numFmtId="170" xfId="0" applyAlignment="1" applyFill="1" applyFont="1" applyNumberForma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vertical="center"/>
    </xf>
    <xf borderId="1" fillId="6" fontId="5" numFmtId="0" xfId="0" applyAlignment="1" applyBorder="1" applyFon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1" fillId="11" fontId="9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ont="1">
      <alignment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1" fillId="10" fontId="10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13" fontId="2" numFmtId="0" xfId="0" applyAlignment="1" applyBorder="1" applyFill="1" applyFont="1">
      <alignment horizontal="center"/>
    </xf>
    <xf borderId="1" fillId="6" fontId="11" numFmtId="0" xfId="0" applyAlignment="1" applyBorder="1" applyFont="1">
      <alignment horizontal="center" readingOrder="0" vertical="center"/>
    </xf>
    <xf borderId="0" fillId="6" fontId="1" numFmtId="0" xfId="0" applyFont="1"/>
    <xf borderId="1" fillId="6" fontId="1" numFmtId="0" xfId="0" applyBorder="1" applyFont="1"/>
    <xf borderId="1" fillId="6" fontId="10" numFmtId="0" xfId="0" applyAlignment="1" applyBorder="1" applyFont="1">
      <alignment horizontal="center" readingOrder="0"/>
    </xf>
    <xf borderId="7" fillId="14" fontId="2" numFmtId="0" xfId="0" applyAlignment="1" applyBorder="1" applyFill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1" fillId="15" fontId="9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center"/>
    </xf>
    <xf borderId="0" fillId="0" fontId="2" numFmtId="171" xfId="0" applyAlignment="1" applyFont="1" applyNumberFormat="1">
      <alignment horizontal="left" readingOrder="0"/>
    </xf>
    <xf borderId="0" fillId="0" fontId="2" numFmtId="172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horizontal="left" vertical="center"/>
    </xf>
    <xf borderId="1" fillId="6" fontId="2" numFmtId="0" xfId="0" applyAlignment="1" applyBorder="1" applyFont="1">
      <alignment horizontal="center" readingOrder="0" vertical="center"/>
    </xf>
    <xf borderId="7" fillId="13" fontId="2" numFmtId="0" xfId="0" applyAlignment="1" applyBorder="1" applyFont="1">
      <alignment horizontal="center" vertical="center"/>
    </xf>
    <xf borderId="0" fillId="6" fontId="2" numFmtId="0" xfId="0" applyAlignment="1" applyFont="1">
      <alignment horizontal="left" readingOrder="0" vertical="center"/>
    </xf>
    <xf borderId="0" fillId="9" fontId="2" numFmtId="0" xfId="0" applyAlignment="1" applyFont="1">
      <alignment horizontal="left"/>
    </xf>
    <xf borderId="1" fillId="6" fontId="10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9" fontId="1" numFmtId="0" xfId="0" applyAlignment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6" fillId="11" fontId="9" numFmtId="0" xfId="0" applyAlignment="1" applyBorder="1" applyFont="1">
      <alignment horizontal="center" shrinkToFit="0" vertical="center" wrapText="1"/>
    </xf>
    <xf borderId="1" fillId="11" fontId="3" numFmtId="173" xfId="0" applyAlignment="1" applyBorder="1" applyFont="1" applyNumberFormat="1">
      <alignment shrinkToFit="0" vertical="center" wrapText="1"/>
    </xf>
    <xf borderId="0" fillId="0" fontId="10" numFmtId="0" xfId="0" applyFont="1"/>
    <xf borderId="0" fillId="6" fontId="10" numFmtId="0" xfId="0" applyFont="1"/>
    <xf borderId="1" fillId="17" fontId="9" numFmtId="0" xfId="0" applyAlignment="1" applyBorder="1" applyFill="1" applyFont="1">
      <alignment horizontal="center" shrinkToFit="0" vertical="center" wrapText="1"/>
    </xf>
    <xf borderId="1" fillId="17" fontId="3" numFmtId="0" xfId="0" applyAlignment="1" applyBorder="1" applyFont="1">
      <alignment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0" fillId="8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65"/>
      <c r="B20" s="65"/>
      <c r="C20" s="2"/>
      <c r="D20" s="3"/>
      <c r="E20" s="65"/>
      <c r="F20" s="66"/>
      <c r="G20" s="6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65" t="s">
        <v>58</v>
      </c>
      <c r="B21" s="69" t="s">
        <v>7</v>
      </c>
      <c r="C21" s="2"/>
      <c r="D21" s="3"/>
      <c r="E21" s="65" t="s">
        <v>58</v>
      </c>
      <c r="F21" s="70" t="s">
        <v>8</v>
      </c>
      <c r="G21" s="6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65" t="s">
        <v>59</v>
      </c>
      <c r="B22" s="69" t="s">
        <v>60</v>
      </c>
      <c r="C22" s="2"/>
      <c r="D22" s="3"/>
      <c r="E22" s="65" t="s">
        <v>59</v>
      </c>
      <c r="F22" s="70" t="s">
        <v>63</v>
      </c>
      <c r="G22" s="6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65" t="s">
        <v>64</v>
      </c>
      <c r="B23" s="69" t="s">
        <v>65</v>
      </c>
      <c r="C23" s="2"/>
      <c r="D23" s="3"/>
      <c r="E23" s="65" t="s">
        <v>64</v>
      </c>
      <c r="F23" s="69" t="s">
        <v>65</v>
      </c>
      <c r="G23" s="6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65" t="s">
        <v>68</v>
      </c>
      <c r="B24" s="69" t="s">
        <v>69</v>
      </c>
      <c r="C24" s="2"/>
      <c r="D24" s="3"/>
      <c r="E24" s="65" t="s">
        <v>68</v>
      </c>
      <c r="F24" s="70" t="s">
        <v>70</v>
      </c>
      <c r="G24" s="6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65" t="s">
        <v>73</v>
      </c>
      <c r="B25" s="71">
        <v>33515.0</v>
      </c>
      <c r="C25" s="2"/>
      <c r="D25" s="3"/>
      <c r="E25" s="65" t="s">
        <v>73</v>
      </c>
      <c r="F25" s="72">
        <v>29493.0</v>
      </c>
      <c r="G25" s="65"/>
      <c r="H25" s="7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65" t="s">
        <v>75</v>
      </c>
      <c r="B26" s="65">
        <f>2026-1991</f>
        <v>35</v>
      </c>
      <c r="C26" s="2"/>
      <c r="D26" s="3"/>
      <c r="E26" s="65" t="s">
        <v>75</v>
      </c>
      <c r="F26" s="2">
        <f>2026-1980</f>
        <v>46</v>
      </c>
      <c r="G26" s="6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65" t="s">
        <v>79</v>
      </c>
      <c r="B27" s="69" t="s">
        <v>80</v>
      </c>
      <c r="C27" s="2"/>
      <c r="D27" s="3"/>
      <c r="E27" s="65" t="s">
        <v>79</v>
      </c>
      <c r="F27" s="69" t="s">
        <v>80</v>
      </c>
      <c r="G27" s="6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65" t="s">
        <v>82</v>
      </c>
      <c r="B28" s="69" t="s">
        <v>83</v>
      </c>
      <c r="C28" s="2"/>
      <c r="D28" s="3"/>
      <c r="E28" s="65" t="s">
        <v>82</v>
      </c>
      <c r="F28" s="70" t="s">
        <v>84</v>
      </c>
      <c r="G28" s="6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65" t="s">
        <v>87</v>
      </c>
      <c r="B29" s="69"/>
      <c r="C29" s="2"/>
      <c r="D29" s="3"/>
      <c r="E29" s="65" t="s">
        <v>87</v>
      </c>
      <c r="F29" s="2"/>
      <c r="G29" s="6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65" t="s">
        <v>92</v>
      </c>
      <c r="B30" s="69" t="s">
        <v>93</v>
      </c>
      <c r="C30" s="2"/>
      <c r="D30" s="3"/>
      <c r="E30" s="65" t="s">
        <v>92</v>
      </c>
      <c r="F30" s="70" t="s">
        <v>94</v>
      </c>
      <c r="G30" s="6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65" t="s">
        <v>97</v>
      </c>
      <c r="B31" s="69" t="s">
        <v>98</v>
      </c>
      <c r="C31" s="2"/>
      <c r="D31" s="3"/>
      <c r="E31" s="65" t="s">
        <v>97</v>
      </c>
      <c r="F31" s="76" t="s">
        <v>99</v>
      </c>
      <c r="G31" s="6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65" t="s">
        <v>101</v>
      </c>
      <c r="B32" s="69" t="s">
        <v>102</v>
      </c>
      <c r="C32" s="2"/>
      <c r="D32" s="3"/>
      <c r="E32" s="65" t="s">
        <v>101</v>
      </c>
      <c r="F32" s="69" t="s">
        <v>102</v>
      </c>
      <c r="G32" s="6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65" t="s">
        <v>104</v>
      </c>
      <c r="B33" s="77"/>
      <c r="C33" s="2"/>
      <c r="D33" s="3"/>
      <c r="E33" s="65" t="s">
        <v>104</v>
      </c>
      <c r="F33" s="70" t="s">
        <v>105</v>
      </c>
      <c r="G33" s="6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65" t="s">
        <v>107</v>
      </c>
      <c r="B34" s="69" t="s">
        <v>108</v>
      </c>
      <c r="C34" s="2"/>
      <c r="D34" s="3"/>
      <c r="E34" s="65" t="s">
        <v>107</v>
      </c>
      <c r="F34" s="70" t="s">
        <v>108</v>
      </c>
      <c r="G34" s="6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65" t="s">
        <v>109</v>
      </c>
      <c r="B35" s="77"/>
      <c r="C35" s="2"/>
      <c r="D35" s="3"/>
      <c r="E35" s="65" t="s">
        <v>109</v>
      </c>
      <c r="F35" s="70">
        <v>93.0</v>
      </c>
      <c r="G35" s="6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65" t="s">
        <v>111</v>
      </c>
      <c r="B36" s="69" t="s">
        <v>112</v>
      </c>
      <c r="C36" s="2"/>
      <c r="D36" s="3"/>
      <c r="E36" s="65" t="s">
        <v>111</v>
      </c>
      <c r="F36" s="70" t="s">
        <v>113</v>
      </c>
      <c r="G36" s="6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65" t="s">
        <v>114</v>
      </c>
      <c r="B37" s="69" t="s">
        <v>115</v>
      </c>
      <c r="C37" s="2"/>
      <c r="D37" s="3"/>
      <c r="E37" s="65" t="s">
        <v>114</v>
      </c>
      <c r="F37" s="70" t="s">
        <v>118</v>
      </c>
      <c r="G37" s="6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3"/>
      <c r="E38" s="65"/>
      <c r="F38" s="2"/>
      <c r="G38" s="8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3"/>
      <c r="E39" s="65"/>
      <c r="F39" s="2"/>
      <c r="G39" s="6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3"/>
      <c r="E40" s="2"/>
      <c r="F40" s="81"/>
      <c r="G40" s="6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 t="s">
        <v>127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70"/>
      <c r="B47" s="2"/>
      <c r="C47" s="2"/>
      <c r="D47" s="3"/>
      <c r="E47" s="7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70"/>
      <c r="B48" s="2"/>
      <c r="C48" s="2"/>
      <c r="D48" s="3"/>
      <c r="E48" s="7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70"/>
      <c r="B49" s="2"/>
      <c r="C49" s="2"/>
      <c r="D49" s="3"/>
      <c r="E49" s="7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70"/>
      <c r="B50" s="2"/>
      <c r="C50" s="2"/>
      <c r="D50" s="3"/>
      <c r="E50" s="7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70"/>
      <c r="B51" s="2"/>
      <c r="C51" s="2"/>
      <c r="D51" s="3"/>
      <c r="E51" s="7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70"/>
      <c r="B52" s="2"/>
      <c r="C52" s="2"/>
      <c r="D52" s="3"/>
      <c r="E52" s="7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70"/>
      <c r="B53" s="2"/>
      <c r="C53" s="2"/>
      <c r="D53" s="3"/>
      <c r="E53" s="7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70"/>
      <c r="B54" s="2"/>
      <c r="C54" s="2"/>
      <c r="D54" s="3"/>
      <c r="E54" s="7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70"/>
      <c r="B55" s="2"/>
      <c r="C55" s="2"/>
      <c r="D55" s="3"/>
      <c r="E55" s="7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70"/>
      <c r="B56" s="2"/>
      <c r="C56" s="2"/>
      <c r="D56" s="3"/>
      <c r="E56" s="7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70"/>
      <c r="B57" s="2"/>
      <c r="C57" s="2"/>
      <c r="D57" s="3"/>
      <c r="E57" s="7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70"/>
      <c r="B58" s="2"/>
      <c r="C58" s="2"/>
      <c r="D58" s="3"/>
      <c r="E58" s="7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70"/>
      <c r="B59" s="2"/>
      <c r="C59" s="2"/>
      <c r="D59" s="3"/>
      <c r="E59" s="7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6</v>
      </c>
      <c r="I3" s="8" t="s">
        <v>7</v>
      </c>
      <c r="J3" s="9"/>
      <c r="K3" s="8" t="s">
        <v>8</v>
      </c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0"/>
      <c r="C4" s="11"/>
      <c r="D4" s="11"/>
      <c r="E4" s="11"/>
      <c r="F4" s="11"/>
      <c r="G4" s="13" t="s">
        <v>10</v>
      </c>
      <c r="H4" s="15" t="s">
        <v>11</v>
      </c>
      <c r="I4" s="16" t="s">
        <v>12</v>
      </c>
      <c r="J4" s="16" t="s">
        <v>14</v>
      </c>
      <c r="K4" s="16" t="s">
        <v>12</v>
      </c>
      <c r="L4" s="16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9"/>
      <c r="C5" s="11"/>
      <c r="D5" s="19"/>
      <c r="E5" s="19"/>
      <c r="F5" s="11"/>
      <c r="G5" s="13">
        <v>1.0</v>
      </c>
      <c r="H5" s="21" t="s">
        <v>16</v>
      </c>
      <c r="I5" s="11"/>
      <c r="J5" s="22"/>
      <c r="K5" s="11"/>
      <c r="L5" s="2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24" t="s">
        <v>22</v>
      </c>
      <c r="C6" s="26"/>
      <c r="D6" s="26"/>
      <c r="E6" s="26"/>
      <c r="F6" s="26"/>
      <c r="G6" s="26"/>
      <c r="H6" s="28" t="s">
        <v>26</v>
      </c>
      <c r="I6" s="29"/>
      <c r="J6" s="30"/>
      <c r="K6" s="29"/>
      <c r="L6" s="3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4"/>
      <c r="C7" s="26"/>
      <c r="D7" s="26"/>
      <c r="E7" s="26"/>
      <c r="F7" s="26"/>
      <c r="G7" s="26"/>
      <c r="H7" s="28" t="s">
        <v>29</v>
      </c>
      <c r="I7" s="29"/>
      <c r="J7" s="30"/>
      <c r="K7" s="29"/>
      <c r="L7" s="3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4" t="s">
        <v>22</v>
      </c>
      <c r="C8" s="26"/>
      <c r="D8" s="26"/>
      <c r="E8" s="26"/>
      <c r="F8" s="26"/>
      <c r="G8" s="26"/>
      <c r="H8" s="38" t="s">
        <v>30</v>
      </c>
      <c r="I8" s="26"/>
      <c r="J8" s="26"/>
      <c r="K8" s="26"/>
      <c r="L8" s="2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4" t="s">
        <v>22</v>
      </c>
      <c r="C9" s="26"/>
      <c r="D9" s="26"/>
      <c r="E9" s="26"/>
      <c r="F9" s="26"/>
      <c r="G9" s="26"/>
      <c r="H9" s="41" t="s">
        <v>37</v>
      </c>
      <c r="I9" s="26"/>
      <c r="J9" s="43"/>
      <c r="K9" s="26"/>
      <c r="L9" s="4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4.75" customHeight="1">
      <c r="A10" s="46"/>
      <c r="B10" s="48" t="s">
        <v>39</v>
      </c>
      <c r="C10" s="49"/>
      <c r="D10" s="49"/>
      <c r="E10" s="49"/>
      <c r="F10" s="49"/>
      <c r="G10" s="50"/>
      <c r="H10" s="51" t="s">
        <v>40</v>
      </c>
      <c r="I10" s="49"/>
      <c r="J10" s="49"/>
      <c r="K10" s="49"/>
      <c r="L10" s="49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1"/>
      <c r="B11" s="11"/>
      <c r="C11" s="11"/>
      <c r="D11" s="11"/>
      <c r="E11" s="11"/>
      <c r="F11" s="11"/>
      <c r="G11" s="13">
        <v>2.0</v>
      </c>
      <c r="H11" s="21" t="s">
        <v>42</v>
      </c>
      <c r="I11" s="11"/>
      <c r="J11" s="22"/>
      <c r="K11" s="11"/>
      <c r="L11" s="2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1"/>
      <c r="C12" s="11"/>
      <c r="D12" s="11"/>
      <c r="E12" s="11"/>
      <c r="F12" s="11"/>
      <c r="G12" s="13"/>
      <c r="H12" s="21" t="s">
        <v>43</v>
      </c>
      <c r="I12" s="11"/>
      <c r="J12" s="1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1"/>
      <c r="C13" s="11"/>
      <c r="D13" s="11"/>
      <c r="E13" s="11"/>
      <c r="F13" s="11"/>
      <c r="G13" s="13"/>
      <c r="H13" s="21" t="s">
        <v>45</v>
      </c>
      <c r="I13" s="11"/>
      <c r="J13" s="11"/>
      <c r="K13" s="11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46"/>
      <c r="B14" s="24"/>
      <c r="C14" s="49"/>
      <c r="D14" s="49"/>
      <c r="E14" s="49"/>
      <c r="F14" s="49"/>
      <c r="G14" s="50"/>
      <c r="H14" s="55" t="s">
        <v>48</v>
      </c>
      <c r="I14" s="49"/>
      <c r="J14" s="49"/>
      <c r="K14" s="49"/>
      <c r="L14" s="4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46"/>
      <c r="B15" s="57" t="s">
        <v>49</v>
      </c>
      <c r="C15" s="49"/>
      <c r="D15" s="49"/>
      <c r="E15" s="49"/>
      <c r="F15" s="49"/>
      <c r="G15" s="58" t="s">
        <v>50</v>
      </c>
      <c r="H15" s="59" t="s">
        <v>52</v>
      </c>
      <c r="I15" s="60">
        <v>0.5</v>
      </c>
      <c r="J15" s="60">
        <v>1.0</v>
      </c>
      <c r="K15" s="60">
        <v>0.5</v>
      </c>
      <c r="L15" s="60">
        <v>1.0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61"/>
      <c r="B16" s="62"/>
      <c r="C16" s="62"/>
      <c r="D16" s="62"/>
      <c r="E16" s="62"/>
      <c r="F16" s="63" t="s">
        <v>54</v>
      </c>
      <c r="G16" s="62"/>
      <c r="H16" s="64" t="s">
        <v>55</v>
      </c>
      <c r="I16" s="62"/>
      <c r="J16" s="62"/>
      <c r="K16" s="62"/>
      <c r="L16" s="62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A17" s="61"/>
      <c r="B17" s="62"/>
      <c r="C17" s="62"/>
      <c r="D17" s="62"/>
      <c r="E17" s="62"/>
      <c r="F17" s="63" t="s">
        <v>54</v>
      </c>
      <c r="G17" s="62"/>
      <c r="H17" s="64" t="s">
        <v>57</v>
      </c>
      <c r="I17" s="62"/>
      <c r="J17" s="62"/>
      <c r="K17" s="62"/>
      <c r="L17" s="62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A18" s="61"/>
      <c r="B18" s="62"/>
      <c r="C18" s="62"/>
      <c r="D18" s="62"/>
      <c r="E18" s="62"/>
      <c r="F18" s="63" t="s">
        <v>54</v>
      </c>
      <c r="G18" s="62"/>
      <c r="H18" s="64" t="s">
        <v>61</v>
      </c>
      <c r="I18" s="62"/>
      <c r="J18" s="62"/>
      <c r="K18" s="62"/>
      <c r="L18" s="62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A19" s="61"/>
      <c r="B19" s="62"/>
      <c r="C19" s="62"/>
      <c r="D19" s="62"/>
      <c r="E19" s="62"/>
      <c r="F19" s="63" t="s">
        <v>54</v>
      </c>
      <c r="G19" s="62"/>
      <c r="H19" s="64" t="s">
        <v>66</v>
      </c>
      <c r="I19" s="62"/>
      <c r="J19" s="62"/>
      <c r="K19" s="62"/>
      <c r="L19" s="62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61"/>
      <c r="B20" s="62"/>
      <c r="C20" s="62"/>
      <c r="D20" s="62"/>
      <c r="E20" s="62"/>
      <c r="F20" s="63" t="s">
        <v>54</v>
      </c>
      <c r="G20" s="62"/>
      <c r="H20" s="64" t="s">
        <v>71</v>
      </c>
      <c r="I20" s="62"/>
      <c r="J20" s="62"/>
      <c r="K20" s="62"/>
      <c r="L20" s="62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A21" s="46"/>
      <c r="B21" s="24"/>
      <c r="C21" s="49"/>
      <c r="D21" s="49"/>
      <c r="E21" s="49"/>
      <c r="F21" s="63" t="s">
        <v>54</v>
      </c>
      <c r="G21" s="50"/>
      <c r="H21" s="55" t="s">
        <v>74</v>
      </c>
      <c r="I21" s="49"/>
      <c r="J21" s="49"/>
      <c r="K21" s="49"/>
      <c r="L21" s="49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46"/>
      <c r="B22" s="74"/>
      <c r="C22" s="49"/>
      <c r="D22" s="49"/>
      <c r="E22" s="49"/>
      <c r="F22" s="63" t="s">
        <v>54</v>
      </c>
      <c r="G22" s="50"/>
      <c r="H22" s="64" t="s">
        <v>77</v>
      </c>
      <c r="I22" s="49"/>
      <c r="J22" s="49"/>
      <c r="K22" s="49"/>
      <c r="L22" s="49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46"/>
      <c r="B23" s="49"/>
      <c r="C23" s="49"/>
      <c r="D23" s="49"/>
      <c r="E23" s="49"/>
      <c r="F23" s="63" t="s">
        <v>54</v>
      </c>
      <c r="G23" s="50"/>
      <c r="H23" s="64" t="s">
        <v>81</v>
      </c>
      <c r="I23" s="49"/>
      <c r="J23" s="49"/>
      <c r="K23" s="49"/>
      <c r="L23" s="49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46"/>
      <c r="B24" s="49"/>
      <c r="C24" s="49"/>
      <c r="D24" s="49"/>
      <c r="E24" s="49"/>
      <c r="F24" s="63" t="s">
        <v>54</v>
      </c>
      <c r="G24" s="50"/>
      <c r="H24" s="64" t="s">
        <v>85</v>
      </c>
      <c r="I24" s="49"/>
      <c r="J24" s="49"/>
      <c r="K24" s="49"/>
      <c r="L24" s="49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46"/>
      <c r="B25" s="49"/>
      <c r="C25" s="49"/>
      <c r="D25" s="49"/>
      <c r="E25" s="49"/>
      <c r="F25" s="49"/>
      <c r="G25" s="50"/>
      <c r="H25" s="75" t="s">
        <v>88</v>
      </c>
      <c r="I25" s="49"/>
      <c r="J25" s="60">
        <v>1.0</v>
      </c>
      <c r="K25" s="49"/>
      <c r="L25" s="60">
        <v>1.0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1"/>
      <c r="B26" s="11"/>
      <c r="C26" s="11"/>
      <c r="D26" s="11"/>
      <c r="E26" s="11"/>
      <c r="F26" s="11"/>
      <c r="G26" s="13"/>
      <c r="H26" s="21" t="s">
        <v>90</v>
      </c>
      <c r="I26" s="11"/>
      <c r="J26" s="11"/>
      <c r="K26" s="11"/>
      <c r="L26" s="1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46"/>
      <c r="B27" s="24"/>
      <c r="C27" s="49"/>
      <c r="D27" s="49"/>
      <c r="E27" s="49"/>
      <c r="F27" s="49"/>
      <c r="G27" s="50"/>
      <c r="H27" s="74" t="s">
        <v>95</v>
      </c>
      <c r="I27" s="49"/>
      <c r="J27" s="49"/>
      <c r="K27" s="49"/>
      <c r="L27" s="49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46"/>
      <c r="B28" s="24"/>
      <c r="C28" s="49"/>
      <c r="D28" s="49"/>
      <c r="E28" s="49"/>
      <c r="F28" s="49"/>
      <c r="G28" s="50"/>
      <c r="H28" s="74" t="s">
        <v>100</v>
      </c>
      <c r="I28" s="49"/>
      <c r="J28" s="49"/>
      <c r="K28" s="49"/>
      <c r="L28" s="49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46"/>
      <c r="B29" s="57" t="s">
        <v>49</v>
      </c>
      <c r="C29" s="49"/>
      <c r="D29" s="49"/>
      <c r="E29" s="49"/>
      <c r="F29" s="49"/>
      <c r="G29" s="50"/>
      <c r="H29" s="59" t="s">
        <v>52</v>
      </c>
      <c r="I29" s="60">
        <v>0.25</v>
      </c>
      <c r="J29" s="60">
        <v>1.0</v>
      </c>
      <c r="K29" s="60">
        <v>0.25</v>
      </c>
      <c r="L29" s="60">
        <v>1.0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46"/>
      <c r="B30" s="49"/>
      <c r="C30" s="49"/>
      <c r="D30" s="49"/>
      <c r="E30" s="49"/>
      <c r="F30" s="78" t="s">
        <v>7</v>
      </c>
      <c r="G30" s="50"/>
      <c r="H30" s="79" t="s">
        <v>106</v>
      </c>
      <c r="I30" s="49"/>
      <c r="J30" s="49"/>
      <c r="K30" s="49"/>
      <c r="L30" s="49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46"/>
      <c r="B31" s="49"/>
      <c r="C31" s="49"/>
      <c r="D31" s="49"/>
      <c r="E31" s="49"/>
      <c r="F31" s="78" t="s">
        <v>8</v>
      </c>
      <c r="G31" s="50"/>
      <c r="H31" s="79" t="s">
        <v>106</v>
      </c>
      <c r="I31" s="49"/>
      <c r="J31" s="49"/>
      <c r="K31" s="49"/>
      <c r="L31" s="4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46"/>
      <c r="B32" s="49"/>
      <c r="C32" s="49"/>
      <c r="D32" s="49"/>
      <c r="E32" s="49"/>
      <c r="F32" s="49"/>
      <c r="G32" s="50"/>
      <c r="H32" s="75" t="s">
        <v>88</v>
      </c>
      <c r="I32" s="49"/>
      <c r="J32" s="60">
        <v>1.0</v>
      </c>
      <c r="K32" s="49"/>
      <c r="L32" s="60">
        <v>1.0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1"/>
      <c r="B33" s="11"/>
      <c r="C33" s="11"/>
      <c r="D33" s="11"/>
      <c r="E33" s="11"/>
      <c r="F33" s="11"/>
      <c r="G33" s="13"/>
      <c r="H33" s="21" t="s">
        <v>116</v>
      </c>
      <c r="I33" s="11"/>
      <c r="J33" s="11"/>
      <c r="K33" s="11"/>
      <c r="L33" s="1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46"/>
      <c r="B34" s="24" t="s">
        <v>22</v>
      </c>
      <c r="C34" s="49"/>
      <c r="D34" s="49"/>
      <c r="E34" s="49"/>
      <c r="F34" s="49"/>
      <c r="G34" s="50"/>
      <c r="H34" s="80" t="s">
        <v>119</v>
      </c>
      <c r="I34" s="49"/>
      <c r="J34" s="49"/>
      <c r="K34" s="49"/>
      <c r="L34" s="49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46"/>
      <c r="B35" s="24" t="s">
        <v>22</v>
      </c>
      <c r="C35" s="49"/>
      <c r="D35" s="49"/>
      <c r="E35" s="49"/>
      <c r="F35" s="49"/>
      <c r="G35" s="50"/>
      <c r="H35" s="82" t="s">
        <v>121</v>
      </c>
      <c r="I35" s="49"/>
      <c r="J35" s="49"/>
      <c r="K35" s="49"/>
      <c r="L35" s="49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1"/>
      <c r="B36" s="1"/>
      <c r="C36" s="1"/>
      <c r="D36" s="1"/>
      <c r="E36" s="1"/>
      <c r="F36" s="1"/>
      <c r="G36" s="1"/>
      <c r="H36" s="83" t="s">
        <v>122</v>
      </c>
      <c r="I36" s="1">
        <f t="shared" ref="I36:L36" si="1">SUM(I4:I35)</f>
        <v>0.75</v>
      </c>
      <c r="J36" s="1">
        <f t="shared" si="1"/>
        <v>4</v>
      </c>
      <c r="K36" s="1">
        <f t="shared" si="1"/>
        <v>0.75</v>
      </c>
      <c r="L36" s="1">
        <f t="shared" si="1"/>
        <v>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84" t="s">
        <v>125</v>
      </c>
      <c r="I37" s="85"/>
      <c r="J37" s="85"/>
      <c r="K37" s="85"/>
      <c r="L37" s="8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5"/>
      <c r="E2" s="4"/>
      <c r="F2" s="4"/>
      <c r="G2" s="4"/>
      <c r="H2" s="4"/>
      <c r="I2" s="4"/>
      <c r="J2" s="4"/>
      <c r="K2" s="12" t="s">
        <v>9</v>
      </c>
      <c r="L2" s="14"/>
      <c r="M2" s="7"/>
      <c r="N2" s="4"/>
      <c r="O2" s="17" t="s">
        <v>13</v>
      </c>
      <c r="P2" s="4"/>
      <c r="Q2" s="4"/>
      <c r="R2" s="4"/>
      <c r="S2" s="18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/>
      <c r="B3" s="20" t="s">
        <v>15</v>
      </c>
      <c r="C3" s="20" t="s">
        <v>17</v>
      </c>
      <c r="D3" s="20" t="s">
        <v>18</v>
      </c>
      <c r="E3" s="20" t="s">
        <v>19</v>
      </c>
      <c r="F3" s="20" t="s">
        <v>3</v>
      </c>
      <c r="G3" s="20" t="s">
        <v>20</v>
      </c>
      <c r="H3" s="23" t="s">
        <v>21</v>
      </c>
      <c r="I3" s="23" t="s">
        <v>23</v>
      </c>
      <c r="J3" s="25"/>
      <c r="K3" s="27" t="s">
        <v>24</v>
      </c>
      <c r="L3" s="20" t="s">
        <v>25</v>
      </c>
      <c r="M3" s="20" t="s">
        <v>27</v>
      </c>
      <c r="N3" s="4"/>
      <c r="O3" s="31" t="s">
        <v>28</v>
      </c>
      <c r="P3" s="32"/>
      <c r="Q3" s="32"/>
      <c r="R3" s="33"/>
      <c r="S3" s="34"/>
      <c r="T3" s="33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4"/>
      <c r="B4" s="35"/>
      <c r="C4" s="35"/>
      <c r="D4" s="36"/>
      <c r="E4" s="35"/>
      <c r="F4" s="35"/>
      <c r="G4" s="35"/>
      <c r="H4" s="35"/>
      <c r="I4" s="35"/>
      <c r="J4" s="4"/>
      <c r="K4" s="37"/>
      <c r="L4" s="37"/>
      <c r="M4" s="37"/>
      <c r="N4" s="25"/>
      <c r="O4" s="39" t="s">
        <v>31</v>
      </c>
      <c r="P4" s="40" t="s">
        <v>32</v>
      </c>
      <c r="Q4" s="40" t="s">
        <v>33</v>
      </c>
      <c r="R4" s="40" t="s">
        <v>34</v>
      </c>
      <c r="S4" s="40" t="s">
        <v>35</v>
      </c>
      <c r="T4" s="40" t="s">
        <v>36</v>
      </c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5"/>
      <c r="E5" s="42" t="s">
        <v>38</v>
      </c>
      <c r="F5" s="44"/>
      <c r="G5" s="45"/>
      <c r="H5" s="45"/>
      <c r="I5" s="45"/>
      <c r="J5" s="4"/>
      <c r="K5" s="47"/>
      <c r="L5" s="47"/>
      <c r="M5" s="4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5"/>
      <c r="E6" s="52" t="s">
        <v>41</v>
      </c>
      <c r="F6" s="52"/>
      <c r="G6" s="53"/>
      <c r="H6" s="53"/>
      <c r="I6" s="53"/>
      <c r="J6" s="4"/>
      <c r="K6" s="47"/>
      <c r="L6" s="47"/>
      <c r="M6" s="4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5"/>
      <c r="E7" s="52" t="s">
        <v>44</v>
      </c>
      <c r="F7" s="52"/>
      <c r="G7" s="53"/>
      <c r="H7" s="53"/>
      <c r="I7" s="53"/>
      <c r="J7" s="4"/>
      <c r="K7" s="47"/>
      <c r="L7" s="47"/>
      <c r="M7" s="4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5"/>
      <c r="E8" s="52" t="s">
        <v>46</v>
      </c>
      <c r="F8" s="52"/>
      <c r="G8" s="53"/>
      <c r="H8" s="53"/>
      <c r="I8" s="53"/>
      <c r="J8" s="4"/>
      <c r="K8" s="47"/>
      <c r="L8" s="47"/>
      <c r="M8" s="4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C9" s="4"/>
      <c r="D9" s="56"/>
      <c r="E9" s="54" t="s">
        <v>47</v>
      </c>
      <c r="F9" s="52"/>
      <c r="G9" s="53"/>
      <c r="H9" s="53"/>
      <c r="I9" s="53"/>
      <c r="J9" s="4"/>
      <c r="K9" s="47"/>
      <c r="L9" s="47"/>
      <c r="M9" s="4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56"/>
      <c r="E10" s="52" t="s">
        <v>51</v>
      </c>
      <c r="F10" s="52"/>
      <c r="G10" s="53"/>
      <c r="H10" s="53"/>
      <c r="I10" s="53"/>
      <c r="J10" s="4"/>
      <c r="K10" s="47"/>
      <c r="L10" s="47"/>
      <c r="M10" s="4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56"/>
      <c r="E11" s="52" t="s">
        <v>53</v>
      </c>
      <c r="F11" s="52"/>
      <c r="G11" s="53"/>
      <c r="H11" s="53"/>
      <c r="I11" s="53"/>
      <c r="J11" s="4"/>
      <c r="K11" s="47"/>
      <c r="L11" s="47"/>
      <c r="M11" s="4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4"/>
      <c r="D12" s="5"/>
      <c r="E12" s="67" t="s">
        <v>56</v>
      </c>
      <c r="F12" s="68"/>
      <c r="G12" s="68"/>
      <c r="H12" s="68"/>
      <c r="I12" s="68"/>
      <c r="J12" s="4"/>
      <c r="K12" s="47"/>
      <c r="L12" s="47"/>
      <c r="M12" s="4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56"/>
      <c r="E13" s="52" t="s">
        <v>62</v>
      </c>
      <c r="F13" s="52"/>
      <c r="G13" s="53"/>
      <c r="H13" s="53"/>
      <c r="I13" s="53"/>
      <c r="J13" s="4"/>
      <c r="K13" s="47"/>
      <c r="L13" s="47"/>
      <c r="M13" s="4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56"/>
      <c r="E14" s="52" t="s">
        <v>67</v>
      </c>
      <c r="F14" s="52"/>
      <c r="G14" s="53"/>
      <c r="H14" s="53"/>
      <c r="I14" s="53"/>
      <c r="J14" s="4"/>
      <c r="K14" s="47"/>
      <c r="L14" s="47"/>
      <c r="M14" s="47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56"/>
      <c r="E15" s="52" t="s">
        <v>72</v>
      </c>
      <c r="F15" s="52"/>
      <c r="G15" s="53"/>
      <c r="H15" s="53"/>
      <c r="I15" s="53"/>
      <c r="J15" s="4"/>
      <c r="K15" s="47"/>
      <c r="L15" s="47"/>
      <c r="M15" s="47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56"/>
      <c r="E16" s="52" t="s">
        <v>76</v>
      </c>
      <c r="F16" s="52"/>
      <c r="G16" s="53"/>
      <c r="H16" s="53"/>
      <c r="I16" s="53"/>
      <c r="J16" s="4"/>
      <c r="K16" s="47"/>
      <c r="L16" s="47"/>
      <c r="M16" s="4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56"/>
      <c r="E17" s="52" t="s">
        <v>78</v>
      </c>
      <c r="F17" s="52"/>
      <c r="G17" s="53"/>
      <c r="H17" s="53"/>
      <c r="I17" s="53"/>
      <c r="J17" s="4"/>
      <c r="K17" s="47"/>
      <c r="L17" s="47"/>
      <c r="M17" s="47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5"/>
      <c r="E18" s="67" t="s">
        <v>86</v>
      </c>
      <c r="F18" s="68"/>
      <c r="G18" s="68"/>
      <c r="H18" s="68"/>
      <c r="I18" s="68"/>
      <c r="J18" s="4"/>
      <c r="K18" s="47"/>
      <c r="L18" s="47"/>
      <c r="M18" s="4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56"/>
      <c r="E19" s="52" t="s">
        <v>89</v>
      </c>
      <c r="F19" s="52"/>
      <c r="G19" s="53"/>
      <c r="H19" s="53"/>
      <c r="I19" s="53"/>
      <c r="J19" s="4" t="s">
        <v>91</v>
      </c>
      <c r="K19" s="47"/>
      <c r="L19" s="47"/>
      <c r="M19" s="4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56"/>
      <c r="E20" s="52" t="s">
        <v>96</v>
      </c>
      <c r="F20" s="52"/>
      <c r="G20" s="53"/>
      <c r="H20" s="53"/>
      <c r="I20" s="53"/>
      <c r="J20" s="4"/>
      <c r="K20" s="47"/>
      <c r="L20" s="47"/>
      <c r="M20" s="47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5"/>
      <c r="E21" s="67" t="s">
        <v>103</v>
      </c>
      <c r="F21" s="68"/>
      <c r="G21" s="68"/>
      <c r="H21" s="68"/>
      <c r="I21" s="68"/>
      <c r="J21" s="4"/>
      <c r="K21" s="47"/>
      <c r="L21" s="47"/>
      <c r="M21" s="47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56"/>
      <c r="E22" s="52" t="s">
        <v>110</v>
      </c>
      <c r="F22" s="52"/>
      <c r="G22" s="53"/>
      <c r="H22" s="53"/>
      <c r="I22" s="53"/>
      <c r="J22" s="4"/>
      <c r="K22" s="47"/>
      <c r="L22" s="47"/>
      <c r="M22" s="47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56"/>
      <c r="E23" s="52" t="s">
        <v>117</v>
      </c>
      <c r="F23" s="52"/>
      <c r="G23" s="53"/>
      <c r="H23" s="53"/>
      <c r="I23" s="53"/>
      <c r="J23" s="4"/>
      <c r="K23" s="47"/>
      <c r="L23" s="47"/>
      <c r="M23" s="4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5"/>
      <c r="E24" s="67" t="s">
        <v>120</v>
      </c>
      <c r="F24" s="68"/>
      <c r="G24" s="68"/>
      <c r="H24" s="68"/>
      <c r="I24" s="68"/>
      <c r="J24" s="4"/>
      <c r="K24" s="47"/>
      <c r="L24" s="47"/>
      <c r="M24" s="4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56"/>
      <c r="E25" s="52" t="s">
        <v>123</v>
      </c>
      <c r="F25" s="52"/>
      <c r="G25" s="53"/>
      <c r="H25" s="53"/>
      <c r="I25" s="53"/>
      <c r="J25" s="4"/>
      <c r="K25" s="47"/>
      <c r="L25" s="47"/>
      <c r="M25" s="47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56"/>
      <c r="E26" s="52" t="s">
        <v>124</v>
      </c>
      <c r="F26" s="52"/>
      <c r="G26" s="53"/>
      <c r="H26" s="53"/>
      <c r="I26" s="53"/>
      <c r="J26" s="4"/>
      <c r="K26" s="47"/>
      <c r="L26" s="47"/>
      <c r="M26" s="4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5"/>
      <c r="E27" s="67" t="s">
        <v>126</v>
      </c>
      <c r="F27" s="68"/>
      <c r="G27" s="68"/>
      <c r="H27" s="68"/>
      <c r="I27" s="68"/>
      <c r="J27" s="4"/>
      <c r="K27" s="47"/>
      <c r="L27" s="47"/>
      <c r="M27" s="4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56"/>
      <c r="E28" s="52" t="s">
        <v>128</v>
      </c>
      <c r="F28" s="52"/>
      <c r="G28" s="53"/>
      <c r="H28" s="53"/>
      <c r="I28" s="53"/>
      <c r="J28" s="4"/>
      <c r="K28" s="47"/>
      <c r="L28" s="47"/>
      <c r="M28" s="4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5"/>
      <c r="E29" s="86" t="s">
        <v>130</v>
      </c>
      <c r="F29" s="87"/>
      <c r="G29" s="88" t="s">
        <v>131</v>
      </c>
      <c r="H29" s="88" t="s">
        <v>132</v>
      </c>
      <c r="I29" s="89" t="s">
        <v>132</v>
      </c>
      <c r="J29" s="4"/>
      <c r="K29" s="47"/>
      <c r="L29" s="47"/>
      <c r="M29" s="4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56"/>
      <c r="E30" s="52" t="s">
        <v>129</v>
      </c>
      <c r="F30" s="52"/>
      <c r="G30" s="53"/>
      <c r="H30" s="53"/>
      <c r="I30" s="53"/>
      <c r="J30" s="4"/>
      <c r="K30" s="47"/>
      <c r="L30" s="47"/>
      <c r="M30" s="4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56"/>
      <c r="E31" s="52" t="s">
        <v>133</v>
      </c>
      <c r="F31" s="52"/>
      <c r="G31" s="53"/>
      <c r="H31" s="53"/>
      <c r="I31" s="53"/>
      <c r="J31" s="4"/>
      <c r="K31" s="47"/>
      <c r="L31" s="47"/>
      <c r="M31" s="4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56"/>
      <c r="E32" s="52" t="s">
        <v>134</v>
      </c>
      <c r="F32" s="52"/>
      <c r="G32" s="53"/>
      <c r="H32" s="53"/>
      <c r="I32" s="53"/>
      <c r="J32" s="4"/>
      <c r="K32" s="47"/>
      <c r="L32" s="47"/>
      <c r="M32" s="4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5"/>
      <c r="E33" s="67" t="s">
        <v>135</v>
      </c>
      <c r="F33" s="68"/>
      <c r="G33" s="68"/>
      <c r="H33" s="68"/>
      <c r="I33" s="68"/>
      <c r="J33" s="4"/>
      <c r="K33" s="47"/>
      <c r="L33" s="47"/>
      <c r="M33" s="4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56"/>
      <c r="E34" s="52" t="s">
        <v>136</v>
      </c>
      <c r="F34" s="52"/>
      <c r="G34" s="53"/>
      <c r="H34" s="53"/>
      <c r="I34" s="53"/>
      <c r="J34" s="4"/>
      <c r="K34" s="47"/>
      <c r="L34" s="47"/>
      <c r="M34" s="4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56"/>
      <c r="E35" s="52" t="s">
        <v>137</v>
      </c>
      <c r="F35" s="52"/>
      <c r="G35" s="53"/>
      <c r="H35" s="53"/>
      <c r="I35" s="53"/>
      <c r="J35" s="4"/>
      <c r="K35" s="47"/>
      <c r="L35" s="47"/>
      <c r="M35" s="4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5"/>
      <c r="E36" s="67" t="s">
        <v>138</v>
      </c>
      <c r="F36" s="68"/>
      <c r="G36" s="68"/>
      <c r="H36" s="68"/>
      <c r="I36" s="68"/>
      <c r="J36" s="4"/>
      <c r="K36" s="47"/>
      <c r="L36" s="47"/>
      <c r="M36" s="4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56"/>
      <c r="E37" s="90" t="s">
        <v>71</v>
      </c>
      <c r="F37" s="52"/>
      <c r="G37" s="52"/>
      <c r="H37" s="53"/>
      <c r="I37" s="91"/>
      <c r="J37" s="4"/>
      <c r="K37" s="47"/>
      <c r="L37" s="47"/>
      <c r="M37" s="4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56"/>
      <c r="E38" s="90" t="s">
        <v>139</v>
      </c>
      <c r="F38" s="52"/>
      <c r="G38" s="52"/>
      <c r="H38" s="53"/>
      <c r="I38" s="91"/>
      <c r="J38" s="4"/>
      <c r="K38" s="47"/>
      <c r="L38" s="47"/>
      <c r="M38" s="4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56"/>
      <c r="E39" s="54" t="s">
        <v>140</v>
      </c>
      <c r="F39" s="52"/>
      <c r="G39" s="52"/>
      <c r="H39" s="53"/>
      <c r="I39" s="91"/>
      <c r="J39" s="4"/>
      <c r="K39" s="47"/>
      <c r="L39" s="47"/>
      <c r="M39" s="47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56"/>
      <c r="E40" s="90" t="s">
        <v>141</v>
      </c>
      <c r="F40" s="52"/>
      <c r="G40" s="52"/>
      <c r="H40" s="53"/>
      <c r="I40" s="91"/>
      <c r="J40" s="4"/>
      <c r="K40" s="47"/>
      <c r="L40" s="47"/>
      <c r="M40" s="4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56"/>
      <c r="E41" s="90" t="s">
        <v>142</v>
      </c>
      <c r="F41" s="52"/>
      <c r="G41" s="52"/>
      <c r="H41" s="53"/>
      <c r="I41" s="91"/>
      <c r="J41" s="4"/>
      <c r="K41" s="47"/>
      <c r="L41" s="47"/>
      <c r="M41" s="4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56"/>
      <c r="E42" s="90" t="s">
        <v>143</v>
      </c>
      <c r="F42" s="52"/>
      <c r="G42" s="52"/>
      <c r="H42" s="53"/>
      <c r="I42" s="91"/>
      <c r="J42" s="4"/>
      <c r="K42" s="47"/>
      <c r="L42" s="47"/>
      <c r="M42" s="4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5"/>
      <c r="E43" s="67" t="s">
        <v>144</v>
      </c>
      <c r="F43" s="68"/>
      <c r="G43" s="68"/>
      <c r="H43" s="68"/>
      <c r="I43" s="68"/>
      <c r="J43" s="4"/>
      <c r="K43" s="47"/>
      <c r="L43" s="47"/>
      <c r="M43" s="47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56"/>
      <c r="E44" s="52" t="s">
        <v>145</v>
      </c>
      <c r="F44" s="52"/>
      <c r="G44" s="52"/>
      <c r="H44" s="53"/>
      <c r="I44" s="91"/>
      <c r="J44" s="4"/>
      <c r="K44" s="47"/>
      <c r="L44" s="47"/>
      <c r="M44" s="4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5"/>
      <c r="E45" s="67" t="s">
        <v>146</v>
      </c>
      <c r="F45" s="68"/>
      <c r="G45" s="68"/>
      <c r="H45" s="68"/>
      <c r="I45" s="68"/>
      <c r="J45" s="4"/>
      <c r="K45" s="47"/>
      <c r="L45" s="47"/>
      <c r="M45" s="4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5"/>
      <c r="E46" s="52" t="s">
        <v>147</v>
      </c>
      <c r="F46" s="52"/>
      <c r="G46" s="53"/>
      <c r="H46" s="53"/>
      <c r="I46" s="53"/>
      <c r="J46" s="4"/>
      <c r="K46" s="47"/>
      <c r="L46" s="47"/>
      <c r="M46" s="47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5"/>
      <c r="E47" s="52" t="s">
        <v>148</v>
      </c>
      <c r="F47" s="52"/>
      <c r="G47" s="53"/>
      <c r="H47" s="53"/>
      <c r="I47" s="53"/>
      <c r="J47" s="4"/>
      <c r="K47" s="47"/>
      <c r="L47" s="47"/>
      <c r="M47" s="47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5"/>
      <c r="E48" s="94" t="s">
        <v>149</v>
      </c>
      <c r="F48" s="95"/>
      <c r="G48" s="95"/>
      <c r="H48" s="95"/>
      <c r="I48" s="95"/>
      <c r="J48" s="4"/>
      <c r="K48" s="47"/>
      <c r="L48" s="47"/>
      <c r="M48" s="4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5"/>
      <c r="E49" s="4"/>
      <c r="F49" s="4"/>
      <c r="G49" s="96" t="s">
        <v>150</v>
      </c>
      <c r="H49" s="97"/>
      <c r="I49" s="96">
        <f>SUM(I5:I48)</f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5"/>
      <c r="E2" s="4"/>
      <c r="F2" s="4"/>
      <c r="G2" s="4"/>
      <c r="H2" s="4"/>
      <c r="I2" s="4"/>
      <c r="J2" s="4"/>
      <c r="K2" s="12" t="s">
        <v>9</v>
      </c>
      <c r="L2" s="14"/>
      <c r="M2" s="7"/>
      <c r="N2" s="4"/>
      <c r="O2" s="17" t="s">
        <v>13</v>
      </c>
      <c r="P2" s="4"/>
      <c r="Q2" s="4"/>
      <c r="R2" s="4"/>
      <c r="S2" s="18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/>
      <c r="B3" s="20" t="s">
        <v>15</v>
      </c>
      <c r="C3" s="20" t="s">
        <v>17</v>
      </c>
      <c r="D3" s="20" t="s">
        <v>18</v>
      </c>
      <c r="E3" s="20" t="s">
        <v>19</v>
      </c>
      <c r="F3" s="20" t="s">
        <v>3</v>
      </c>
      <c r="G3" s="20" t="s">
        <v>20</v>
      </c>
      <c r="H3" s="23" t="s">
        <v>21</v>
      </c>
      <c r="I3" s="23" t="s">
        <v>23</v>
      </c>
      <c r="J3" s="25"/>
      <c r="K3" s="27" t="s">
        <v>24</v>
      </c>
      <c r="L3" s="20" t="s">
        <v>25</v>
      </c>
      <c r="M3" s="20" t="s">
        <v>27</v>
      </c>
      <c r="N3" s="4"/>
      <c r="O3" s="31" t="s">
        <v>28</v>
      </c>
      <c r="P3" s="32"/>
      <c r="Q3" s="32"/>
      <c r="R3" s="33"/>
      <c r="S3" s="34"/>
      <c r="T3" s="33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4"/>
      <c r="B4" s="35"/>
      <c r="C4" s="35"/>
      <c r="D4" s="36"/>
      <c r="E4" s="35"/>
      <c r="F4" s="35"/>
      <c r="G4" s="35"/>
      <c r="H4" s="35"/>
      <c r="I4" s="35"/>
      <c r="J4" s="4"/>
      <c r="K4" s="37"/>
      <c r="L4" s="37"/>
      <c r="M4" s="37"/>
      <c r="N4" s="25"/>
      <c r="O4" s="39" t="s">
        <v>31</v>
      </c>
      <c r="P4" s="40" t="s">
        <v>32</v>
      </c>
      <c r="Q4" s="40" t="s">
        <v>33</v>
      </c>
      <c r="R4" s="40" t="s">
        <v>34</v>
      </c>
      <c r="S4" s="40" t="s">
        <v>35</v>
      </c>
      <c r="T4" s="40" t="s">
        <v>36</v>
      </c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5"/>
      <c r="E5" s="42" t="s">
        <v>38</v>
      </c>
      <c r="F5" s="44"/>
      <c r="G5" s="45"/>
      <c r="H5" s="45"/>
      <c r="I5" s="45"/>
      <c r="J5" s="4"/>
      <c r="K5" s="47"/>
      <c r="L5" s="47"/>
      <c r="M5" s="4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4"/>
      <c r="C6" s="4"/>
      <c r="D6" s="5"/>
      <c r="E6" s="52" t="s">
        <v>41</v>
      </c>
      <c r="F6" s="52"/>
      <c r="G6" s="53"/>
      <c r="H6" s="53"/>
      <c r="I6" s="53"/>
      <c r="J6" s="4"/>
      <c r="K6" s="47"/>
      <c r="L6" s="47"/>
      <c r="M6" s="4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"/>
      <c r="B7" s="4"/>
      <c r="C7" s="4"/>
      <c r="D7" s="5"/>
      <c r="E7" s="52" t="s">
        <v>44</v>
      </c>
      <c r="F7" s="52"/>
      <c r="G7" s="53"/>
      <c r="H7" s="53"/>
      <c r="I7" s="53"/>
      <c r="J7" s="4"/>
      <c r="K7" s="47"/>
      <c r="L7" s="47"/>
      <c r="M7" s="4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5"/>
      <c r="E8" s="54" t="s">
        <v>47</v>
      </c>
      <c r="F8" s="52"/>
      <c r="G8" s="53"/>
      <c r="H8" s="53"/>
      <c r="I8" s="53"/>
      <c r="J8" s="4"/>
      <c r="K8" s="47"/>
      <c r="L8" s="47"/>
      <c r="M8" s="4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"/>
      <c r="B9" s="4"/>
      <c r="C9" s="4"/>
      <c r="D9" s="5"/>
      <c r="E9" s="52" t="s">
        <v>51</v>
      </c>
      <c r="F9" s="52"/>
      <c r="G9" s="53"/>
      <c r="H9" s="53"/>
      <c r="I9" s="53"/>
      <c r="J9" s="4"/>
      <c r="K9" s="47"/>
      <c r="L9" s="47"/>
      <c r="M9" s="4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5"/>
      <c r="E10" s="52" t="s">
        <v>53</v>
      </c>
      <c r="F10" s="52"/>
      <c r="G10" s="53"/>
      <c r="H10" s="53"/>
      <c r="I10" s="53"/>
      <c r="J10" s="4"/>
      <c r="K10" s="47"/>
      <c r="L10" s="47"/>
      <c r="M10" s="4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5"/>
      <c r="E11" s="67" t="s">
        <v>56</v>
      </c>
      <c r="F11" s="68"/>
      <c r="G11" s="68"/>
      <c r="H11" s="68"/>
      <c r="I11" s="68"/>
      <c r="J11" s="4"/>
      <c r="K11" s="47"/>
      <c r="L11" s="47"/>
      <c r="M11" s="4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4"/>
      <c r="D12" s="5"/>
      <c r="E12" s="52" t="s">
        <v>62</v>
      </c>
      <c r="F12" s="52"/>
      <c r="G12" s="53"/>
      <c r="H12" s="53"/>
      <c r="I12" s="53"/>
      <c r="J12" s="4"/>
      <c r="K12" s="47"/>
      <c r="L12" s="47"/>
      <c r="M12" s="4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5"/>
      <c r="E13" s="52" t="s">
        <v>67</v>
      </c>
      <c r="F13" s="52"/>
      <c r="G13" s="53"/>
      <c r="H13" s="53"/>
      <c r="I13" s="53"/>
      <c r="J13" s="4"/>
      <c r="K13" s="47"/>
      <c r="L13" s="47"/>
      <c r="M13" s="4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5"/>
      <c r="E14" s="52" t="s">
        <v>72</v>
      </c>
      <c r="F14" s="52"/>
      <c r="G14" s="53"/>
      <c r="H14" s="53"/>
      <c r="I14" s="53"/>
      <c r="J14" s="4"/>
      <c r="K14" s="47"/>
      <c r="L14" s="47"/>
      <c r="M14" s="47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5"/>
      <c r="E15" s="52" t="s">
        <v>76</v>
      </c>
      <c r="F15" s="52"/>
      <c r="G15" s="53"/>
      <c r="H15" s="53"/>
      <c r="I15" s="53"/>
      <c r="J15" s="4"/>
      <c r="K15" s="47"/>
      <c r="L15" s="47"/>
      <c r="M15" s="47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5"/>
      <c r="E16" s="52" t="s">
        <v>78</v>
      </c>
      <c r="F16" s="52"/>
      <c r="G16" s="53"/>
      <c r="H16" s="53"/>
      <c r="I16" s="53"/>
      <c r="J16" s="4"/>
      <c r="K16" s="47"/>
      <c r="L16" s="47"/>
      <c r="M16" s="4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5"/>
      <c r="E17" s="67" t="s">
        <v>86</v>
      </c>
      <c r="F17" s="68"/>
      <c r="G17" s="68"/>
      <c r="H17" s="68"/>
      <c r="I17" s="68"/>
      <c r="J17" s="4"/>
      <c r="K17" s="47"/>
      <c r="L17" s="47"/>
      <c r="M17" s="47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5"/>
      <c r="E18" s="52" t="s">
        <v>89</v>
      </c>
      <c r="F18" s="52"/>
      <c r="G18" s="53"/>
      <c r="H18" s="53"/>
      <c r="I18" s="53"/>
      <c r="J18" s="4" t="s">
        <v>91</v>
      </c>
      <c r="K18" s="47"/>
      <c r="L18" s="47"/>
      <c r="M18" s="4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5"/>
      <c r="E19" s="52" t="s">
        <v>96</v>
      </c>
      <c r="F19" s="52"/>
      <c r="G19" s="53"/>
      <c r="H19" s="53"/>
      <c r="I19" s="53"/>
      <c r="J19" s="4"/>
      <c r="K19" s="47"/>
      <c r="L19" s="47"/>
      <c r="M19" s="4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5"/>
      <c r="E20" s="67" t="s">
        <v>103</v>
      </c>
      <c r="F20" s="68"/>
      <c r="G20" s="68"/>
      <c r="H20" s="68"/>
      <c r="I20" s="68"/>
      <c r="J20" s="4"/>
      <c r="K20" s="47"/>
      <c r="L20" s="47"/>
      <c r="M20" s="47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5"/>
      <c r="E21" s="52" t="s">
        <v>110</v>
      </c>
      <c r="F21" s="52"/>
      <c r="G21" s="53"/>
      <c r="H21" s="53"/>
      <c r="I21" s="53"/>
      <c r="J21" s="4"/>
      <c r="K21" s="47"/>
      <c r="L21" s="47"/>
      <c r="M21" s="47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5"/>
      <c r="E22" s="52" t="s">
        <v>117</v>
      </c>
      <c r="F22" s="52"/>
      <c r="G22" s="53"/>
      <c r="H22" s="53"/>
      <c r="I22" s="53"/>
      <c r="J22" s="4"/>
      <c r="K22" s="47"/>
      <c r="L22" s="47"/>
      <c r="M22" s="47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5"/>
      <c r="E23" s="67" t="s">
        <v>120</v>
      </c>
      <c r="F23" s="68"/>
      <c r="G23" s="68"/>
      <c r="H23" s="68"/>
      <c r="I23" s="68"/>
      <c r="J23" s="4"/>
      <c r="K23" s="47"/>
      <c r="L23" s="47"/>
      <c r="M23" s="4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5"/>
      <c r="E24" s="52" t="s">
        <v>123</v>
      </c>
      <c r="F24" s="52"/>
      <c r="G24" s="53"/>
      <c r="H24" s="53"/>
      <c r="I24" s="53"/>
      <c r="J24" s="4"/>
      <c r="K24" s="47"/>
      <c r="L24" s="47"/>
      <c r="M24" s="4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5"/>
      <c r="E25" s="52" t="s">
        <v>124</v>
      </c>
      <c r="F25" s="52"/>
      <c r="G25" s="53"/>
      <c r="H25" s="53"/>
      <c r="I25" s="53"/>
      <c r="J25" s="4"/>
      <c r="K25" s="47"/>
      <c r="L25" s="47"/>
      <c r="M25" s="47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5"/>
      <c r="E26" s="67" t="s">
        <v>126</v>
      </c>
      <c r="F26" s="68"/>
      <c r="G26" s="68"/>
      <c r="H26" s="68"/>
      <c r="I26" s="68"/>
      <c r="J26" s="4"/>
      <c r="K26" s="47"/>
      <c r="L26" s="47"/>
      <c r="M26" s="4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5"/>
      <c r="E27" s="52" t="s">
        <v>128</v>
      </c>
      <c r="F27" s="52"/>
      <c r="G27" s="53"/>
      <c r="H27" s="53"/>
      <c r="I27" s="53"/>
      <c r="J27" s="4"/>
      <c r="K27" s="47"/>
      <c r="L27" s="47"/>
      <c r="M27" s="4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5"/>
      <c r="E28" s="52" t="s">
        <v>129</v>
      </c>
      <c r="F28" s="52"/>
      <c r="G28" s="53"/>
      <c r="H28" s="53"/>
      <c r="I28" s="53"/>
      <c r="J28" s="4"/>
      <c r="K28" s="47"/>
      <c r="L28" s="47"/>
      <c r="M28" s="4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5"/>
      <c r="E29" s="52" t="s">
        <v>133</v>
      </c>
      <c r="F29" s="52"/>
      <c r="G29" s="53"/>
      <c r="H29" s="53"/>
      <c r="I29" s="53"/>
      <c r="J29" s="4"/>
      <c r="K29" s="47"/>
      <c r="L29" s="47"/>
      <c r="M29" s="4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5"/>
      <c r="E30" s="52" t="s">
        <v>134</v>
      </c>
      <c r="F30" s="52"/>
      <c r="G30" s="53"/>
      <c r="H30" s="53"/>
      <c r="I30" s="53"/>
      <c r="J30" s="4"/>
      <c r="K30" s="47"/>
      <c r="L30" s="47"/>
      <c r="M30" s="4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5"/>
      <c r="E31" s="67" t="s">
        <v>135</v>
      </c>
      <c r="F31" s="68"/>
      <c r="G31" s="68"/>
      <c r="H31" s="68"/>
      <c r="I31" s="68"/>
      <c r="J31" s="4"/>
      <c r="K31" s="47"/>
      <c r="L31" s="47"/>
      <c r="M31" s="4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5"/>
      <c r="E32" s="52" t="s">
        <v>136</v>
      </c>
      <c r="F32" s="52"/>
      <c r="G32" s="53"/>
      <c r="H32" s="53"/>
      <c r="I32" s="53"/>
      <c r="J32" s="4"/>
      <c r="K32" s="47"/>
      <c r="L32" s="47"/>
      <c r="M32" s="4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5"/>
      <c r="E33" s="52" t="s">
        <v>137</v>
      </c>
      <c r="F33" s="52"/>
      <c r="G33" s="53"/>
      <c r="H33" s="53"/>
      <c r="I33" s="53"/>
      <c r="J33" s="4"/>
      <c r="K33" s="47"/>
      <c r="L33" s="47"/>
      <c r="M33" s="4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5"/>
      <c r="E34" s="67" t="s">
        <v>138</v>
      </c>
      <c r="F34" s="68"/>
      <c r="G34" s="68"/>
      <c r="H34" s="68"/>
      <c r="I34" s="68"/>
      <c r="J34" s="4"/>
      <c r="K34" s="47"/>
      <c r="L34" s="47"/>
      <c r="M34" s="4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5"/>
      <c r="E35" s="90" t="s">
        <v>71</v>
      </c>
      <c r="F35" s="52"/>
      <c r="G35" s="52"/>
      <c r="H35" s="53"/>
      <c r="I35" s="91"/>
      <c r="J35" s="4"/>
      <c r="K35" s="47"/>
      <c r="L35" s="47"/>
      <c r="M35" s="4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5"/>
      <c r="E36" s="90" t="s">
        <v>139</v>
      </c>
      <c r="F36" s="52"/>
      <c r="G36" s="52"/>
      <c r="H36" s="53"/>
      <c r="I36" s="91"/>
      <c r="J36" s="4"/>
      <c r="K36" s="47"/>
      <c r="L36" s="47"/>
      <c r="M36" s="4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5"/>
      <c r="E37" s="54" t="s">
        <v>140</v>
      </c>
      <c r="F37" s="52"/>
      <c r="G37" s="52"/>
      <c r="H37" s="53"/>
      <c r="I37" s="91"/>
      <c r="J37" s="4"/>
      <c r="K37" s="47"/>
      <c r="L37" s="47"/>
      <c r="M37" s="4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5"/>
      <c r="E38" s="90" t="s">
        <v>141</v>
      </c>
      <c r="F38" s="52"/>
      <c r="G38" s="52"/>
      <c r="H38" s="53"/>
      <c r="I38" s="91"/>
      <c r="J38" s="4"/>
      <c r="K38" s="47"/>
      <c r="L38" s="47"/>
      <c r="M38" s="4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5"/>
      <c r="E39" s="90" t="s">
        <v>142</v>
      </c>
      <c r="F39" s="52"/>
      <c r="G39" s="52"/>
      <c r="H39" s="53"/>
      <c r="I39" s="91"/>
      <c r="J39" s="4"/>
      <c r="K39" s="47"/>
      <c r="L39" s="47"/>
      <c r="M39" s="47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5"/>
      <c r="E40" s="90" t="s">
        <v>143</v>
      </c>
      <c r="F40" s="52"/>
      <c r="G40" s="52"/>
      <c r="H40" s="53"/>
      <c r="I40" s="91"/>
      <c r="J40" s="4"/>
      <c r="K40" s="47"/>
      <c r="L40" s="47"/>
      <c r="M40" s="4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5"/>
      <c r="E41" s="67" t="s">
        <v>144</v>
      </c>
      <c r="F41" s="68"/>
      <c r="G41" s="68"/>
      <c r="H41" s="68"/>
      <c r="I41" s="68"/>
      <c r="J41" s="4"/>
      <c r="K41" s="47"/>
      <c r="L41" s="47"/>
      <c r="M41" s="4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5"/>
      <c r="E42" s="52" t="s">
        <v>145</v>
      </c>
      <c r="F42" s="52"/>
      <c r="G42" s="52"/>
      <c r="H42" s="53"/>
      <c r="I42" s="91"/>
      <c r="J42" s="4"/>
      <c r="K42" s="47"/>
      <c r="L42" s="47"/>
      <c r="M42" s="4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5"/>
      <c r="E43" s="67" t="s">
        <v>146</v>
      </c>
      <c r="F43" s="68"/>
      <c r="G43" s="68"/>
      <c r="H43" s="68"/>
      <c r="I43" s="68"/>
      <c r="J43" s="4"/>
      <c r="K43" s="47"/>
      <c r="L43" s="47"/>
      <c r="M43" s="47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5"/>
      <c r="E44" s="52" t="s">
        <v>46</v>
      </c>
      <c r="F44" s="52"/>
      <c r="G44" s="53"/>
      <c r="H44" s="53"/>
      <c r="I44" s="53"/>
      <c r="J44" s="4"/>
      <c r="K44" s="47"/>
      <c r="L44" s="47"/>
      <c r="M44" s="4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5"/>
      <c r="E45" s="52" t="s">
        <v>147</v>
      </c>
      <c r="F45" s="52"/>
      <c r="G45" s="53"/>
      <c r="H45" s="53"/>
      <c r="I45" s="53"/>
      <c r="J45" s="4"/>
      <c r="K45" s="47"/>
      <c r="L45" s="47"/>
      <c r="M45" s="4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5"/>
      <c r="E46" s="52" t="s">
        <v>148</v>
      </c>
      <c r="F46" s="52"/>
      <c r="G46" s="53"/>
      <c r="H46" s="53"/>
      <c r="I46" s="53"/>
      <c r="J46" s="4"/>
      <c r="K46" s="47"/>
      <c r="L46" s="47"/>
      <c r="M46" s="47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5"/>
      <c r="E47" s="94" t="s">
        <v>149</v>
      </c>
      <c r="F47" s="95"/>
      <c r="G47" s="95"/>
      <c r="H47" s="95"/>
      <c r="I47" s="95"/>
      <c r="J47" s="4"/>
      <c r="K47" s="47"/>
      <c r="L47" s="47"/>
      <c r="M47" s="47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5"/>
      <c r="E48" s="4"/>
      <c r="F48" s="4"/>
      <c r="G48" s="96" t="s">
        <v>150</v>
      </c>
      <c r="H48" s="97"/>
      <c r="I48" s="96">
        <f>SUM(I5:I47)</f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92"/>
      <c r="B20" s="93"/>
      <c r="C20" s="93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drawing r:id="rId1"/>
</worksheet>
</file>