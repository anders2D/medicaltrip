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Detalle de servicios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HvT06riWCTYf3rahhLOaBfmPpbhFU8p78/eNnjV5sT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">
      <text>
        <t xml:space="preserve">======
ID#AAABp5mLH18
MEDICAL RESERVAS    (2025-08-20 12:22:14)
ACV - Ofrecer una propina al conductor para que ayude con las  maletas</t>
      </text>
    </comment>
  </commentList>
  <extLst>
    <ext uri="GoogleSheetsCustomDataVersion2">
      <go:sheetsCustomData xmlns:go="http://customooxmlschemas.google.com/" r:id="rId1" roundtripDataSignature="AMtx7mhhCTBDf5Rso7jloeIEBvlKJjmEDQ=="/>
    </ext>
  </extLst>
</comments>
</file>

<file path=xl/sharedStrings.xml><?xml version="1.0" encoding="utf-8"?>
<sst xmlns="http://schemas.openxmlformats.org/spreadsheetml/2006/main" count="221" uniqueCount="149">
  <si>
    <t>Nombre</t>
  </si>
  <si>
    <t xml:space="preserve">BRADLEY </t>
  </si>
  <si>
    <t>JARVIS CRISPIN</t>
  </si>
  <si>
    <t>Apellido</t>
  </si>
  <si>
    <t>POPPEN</t>
  </si>
  <si>
    <t>Género:  .</t>
  </si>
  <si>
    <t>Masculino</t>
  </si>
  <si>
    <t>Pasaporte</t>
  </si>
  <si>
    <t>NS6RDHB45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</si>
  <si>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</si>
  <si>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</si>
  <si>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</si>
  <si>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</si>
  <si>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</si>
  <si>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</si>
  <si>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bradleypoppen@gmail.com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</si>
  <si>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</si>
  <si>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</si>
  <si>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</si>
  <si>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</si>
  <si>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</si>
  <si>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</si>
  <si>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</si>
  <si>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</si>
  <si>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Salud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</si>
  <si>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</si>
  <si>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</si>
  <si>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</si>
  <si>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</si>
  <si>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</si>
  <si>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</si>
  <si>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</si>
  <si>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</si>
  <si>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</si>
  <si>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</si>
  <si>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</si>
  <si>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</si>
  <si>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</si>
  <si>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</si>
  <si>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</si>
  <si>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</si>
  <si>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</si>
  <si>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</si>
  <si>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</si>
  <si>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</si>
  <si>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</si>
  <si>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</si>
  <si>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</si>
  <si>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</si>
  <si>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</si>
  <si>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PAGOS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</si>
  <si>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</si>
  <si>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</si>
  <si>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</si>
  <si>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</si>
  <si>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</si>
  <si>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</si>
  <si>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</si>
  <si>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BRADLEY</t>
  </si>
  <si>
    <t>Comisionable</t>
  </si>
  <si>
    <t>Póliza de asistencia médica al viajero - producto visitor  por 08 días</t>
  </si>
  <si>
    <t>Colasistencia</t>
  </si>
  <si>
    <t>Tiquete aéreo Curazao - Medellín - Curazao</t>
  </si>
  <si>
    <t>Wingo</t>
  </si>
  <si>
    <t>Sim card física</t>
  </si>
  <si>
    <t>Claro</t>
  </si>
  <si>
    <t>Recarga 10 gigas de datos</t>
  </si>
  <si>
    <t xml:space="preserve">Traslado  aeropuerto - hotel - aeropuerto en MINIVAN </t>
  </si>
  <si>
    <t>Taxi van</t>
  </si>
  <si>
    <t>Paquete de chequeo médico</t>
  </si>
  <si>
    <t>Antígeno de Próstata</t>
  </si>
  <si>
    <t>Echavarría</t>
  </si>
  <si>
    <t xml:space="preserve">Citología  </t>
  </si>
  <si>
    <t>CIMA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</si>
  <si>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</si>
  <si>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</si>
  <si>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</si>
  <si>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</si>
  <si>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</si>
  <si>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</si>
  <si>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</si>
  <si>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</si>
  <si>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</si>
  <si>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</si>
  <si>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</si>
  <si>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</si>
  <si>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</si>
  <si>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</si>
  <si>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</si>
  <si>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</si>
  <si>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</si>
  <si>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</si>
  <si>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</si>
  <si>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</si>
  <si>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</si>
  <si>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</si>
  <si>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Perfil Tiroideo</t>
  </si>
  <si>
    <t>T4 total</t>
  </si>
  <si>
    <t>TSH</t>
  </si>
  <si>
    <t>Enfermedades de transmisión sexual</t>
  </si>
  <si>
    <t>VDRL</t>
  </si>
  <si>
    <t xml:space="preserve">VIH 1 Y 2, Anticuerpos </t>
  </si>
  <si>
    <t>Imágenes diagnósticas</t>
  </si>
  <si>
    <t>Cita con especialista en MEDICINA INTERNA</t>
  </si>
  <si>
    <t>04 Traslados hotel - clínica por trayecto</t>
  </si>
  <si>
    <t>Yenny</t>
  </si>
  <si>
    <t>Medical Trip Colombia SAS - Acompañamiento virtual  y presencial para exámenes y citas</t>
  </si>
  <si>
    <t>ÓRDENES MÉDICAS</t>
  </si>
  <si>
    <t>Entrevista virtual con médico Funcional</t>
  </si>
  <si>
    <t>Marcos Yépes</t>
  </si>
  <si>
    <t>Homocisteína sérica  (HCYSP)</t>
  </si>
  <si>
    <t>Echavarria</t>
  </si>
  <si>
    <t>Frotis de sangre periférica - (extendido de sangre periférica estudio de morfología)</t>
  </si>
  <si>
    <t>Test de sicklemia: (Células Falciformes-drepanocitosis)</t>
  </si>
  <si>
    <t>Paratohormona</t>
  </si>
  <si>
    <t>Doppler arterial miembros inferiores</t>
  </si>
  <si>
    <t>Doppler venoso de miembros inferiores</t>
  </si>
  <si>
    <t>Ecografía del corazón  - ecocardiografía</t>
  </si>
  <si>
    <t xml:space="preserve">Prueba de esfuerzo cardíaco </t>
  </si>
  <si>
    <t>Radiografía de pie derecho</t>
  </si>
  <si>
    <t>Radiografía de pie izquierdo</t>
  </si>
  <si>
    <t>Resonancia de cabeza simple</t>
  </si>
  <si>
    <t>CRE</t>
  </si>
  <si>
    <t>Tomografía de tórax</t>
  </si>
  <si>
    <t>IVS</t>
  </si>
  <si>
    <t>Tomografía de abdomen y pélvis</t>
  </si>
  <si>
    <t>ÓRDEN ESPECIALISTAS</t>
  </si>
  <si>
    <t>Consulta con especialista en NEUROLOGÍA</t>
  </si>
  <si>
    <t>Consulta con especialista en UROLOGÍA</t>
  </si>
  <si>
    <t>Consulta con especialista en NUTRICIÓN</t>
  </si>
  <si>
    <t>Consulta con especialista en FISIATRÍA</t>
  </si>
  <si>
    <t>Consulta con especialista en ORTOPEDIA</t>
  </si>
  <si>
    <t xml:space="preserve">08 Traslados hotel - clínica por trayecto </t>
  </si>
  <si>
    <t>Yenny Roberto</t>
  </si>
  <si>
    <t>Medical Trip Colombia SAS - Acompañamiento virtual permanente en ESPAÑOL</t>
  </si>
  <si>
    <t>Dayana</t>
  </si>
  <si>
    <t>Acompañamiento presencial en español para citas y exámenes</t>
  </si>
  <si>
    <t>Caja menor</t>
  </si>
  <si>
    <t>Total neto</t>
  </si>
  <si>
    <t>Gastos bancarios</t>
  </si>
  <si>
    <t>4 * 1000</t>
  </si>
  <si>
    <t>Transferencia internacional</t>
  </si>
  <si>
    <t>Tasa del dólar</t>
  </si>
  <si>
    <t>Alpha Synuclein Amplification Test (Only if the neurologist recommends It)</t>
  </si>
  <si>
    <t>Levodopa test</t>
  </si>
  <si>
    <t>Servicio Medical Trip Colombia - Acompañamiento Virtual</t>
  </si>
  <si>
    <t xml:space="preserve">VALOR TOTAL </t>
  </si>
  <si>
    <t xml:space="preserve">GWMMR8 </t>
  </si>
  <si>
    <t>LOCALIZADOR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</si>
</sst>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 yyyy"/>
    <numFmt numFmtId="165" formatCode="dd-mm-yyyy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&quot;$&quot;#,##0.00"/>
    <numFmt numFmtId="173" formatCode="0.0%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b/>
      <sz val="10.0"/>
      <color rgb="FF0000FF"/>
      <name val="Lexend"/>
    </font>
    <font>
      <b/>
      <sz val="10.0"/>
      <color rgb="FFFF0000"/>
      <name val="Lexend"/>
    </font>
    <font>
      <sz val="5.0"/>
      <color theme="1"/>
      <name val="Lexend"/>
    </font>
    <font>
      <b/>
      <color theme="1"/>
      <name val="Lexend"/>
    </font>
    <font>
      <b/>
      <sz val="12.0"/>
      <color theme="1"/>
      <name val="Arial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  <xf borderId="0" fillId="0" fontId="3" numFmtId="0" xfId="0" applyFont="1"/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3" fontId="2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4" fontId="8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vertical="center"/>
    </xf>
    <xf borderId="3" fillId="5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2" numFmtId="166" xfId="0" applyAlignment="1" applyBorder="1" applyFont="1" applyNumberFormat="1">
      <alignment vertical="center"/>
    </xf>
    <xf borderId="2" fillId="0" fontId="2" numFmtId="166" xfId="0" applyAlignment="1" applyBorder="1" applyFont="1" applyNumberFormat="1">
      <alignment vertical="center"/>
    </xf>
    <xf borderId="1" fillId="6" fontId="7" numFmtId="0" xfId="0" applyAlignment="1" applyBorder="1" applyFill="1" applyFont="1">
      <alignment vertical="center"/>
    </xf>
    <xf borderId="1" fillId="7" fontId="7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8" fontId="7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1" numFmtId="167" xfId="0" applyAlignment="1" applyFont="1" applyNumberFormat="1">
      <alignment vertical="center"/>
    </xf>
    <xf borderId="0" fillId="0" fontId="11" numFmtId="168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168" xfId="0" applyAlignment="1" applyFont="1" applyNumberFormat="1">
      <alignment horizontal="center" vertical="center"/>
    </xf>
    <xf borderId="5" fillId="0" fontId="12" numFmtId="0" xfId="0" applyAlignment="1" applyBorder="1" applyFont="1">
      <alignment horizontal="left" shrinkToFit="0" vertical="center" wrapText="0"/>
    </xf>
    <xf borderId="0" fillId="4" fontId="11" numFmtId="0" xfId="0" applyAlignment="1" applyFont="1">
      <alignment vertical="center"/>
    </xf>
    <xf borderId="1" fillId="4" fontId="13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vertical="center"/>
    </xf>
    <xf borderId="1" fillId="4" fontId="5" numFmtId="0" xfId="0" applyAlignment="1" applyBorder="1" applyFont="1">
      <alignment vertical="center"/>
    </xf>
    <xf borderId="5" fillId="4" fontId="13" numFmtId="167" xfId="0" applyAlignment="1" applyBorder="1" applyFont="1" applyNumberFormat="1">
      <alignment readingOrder="0" vertical="center"/>
    </xf>
    <xf borderId="5" fillId="4" fontId="13" numFmtId="167" xfId="0" applyAlignment="1" applyBorder="1" applyFont="1" applyNumberFormat="1">
      <alignment readingOrder="0" vertical="center"/>
    </xf>
    <xf borderId="5" fillId="4" fontId="11" numFmtId="0" xfId="0" applyAlignment="1" applyBorder="1" applyFont="1">
      <alignment vertical="center"/>
    </xf>
    <xf borderId="1" fillId="4" fontId="14" numFmtId="0" xfId="0" applyAlignment="1" applyBorder="1" applyFont="1">
      <alignment shrinkToFit="0" vertical="center" wrapText="1"/>
    </xf>
    <xf borderId="1" fillId="4" fontId="5" numFmtId="169" xfId="0" applyAlignment="1" applyBorder="1" applyFont="1" applyNumberFormat="1">
      <alignment vertical="center"/>
    </xf>
    <xf borderId="0" fillId="0" fontId="11" numFmtId="169" xfId="0" applyAlignment="1" applyFont="1" applyNumberFormat="1">
      <alignment vertical="center"/>
    </xf>
    <xf borderId="5" fillId="4" fontId="13" numFmtId="169" xfId="0" applyAlignment="1" applyBorder="1" applyFont="1" applyNumberFormat="1">
      <alignment shrinkToFit="0" vertical="center" wrapText="0"/>
    </xf>
    <xf borderId="5" fillId="4" fontId="11" numFmtId="168" xfId="0" applyAlignment="1" applyBorder="1" applyFont="1" applyNumberFormat="1">
      <alignment vertical="center"/>
    </xf>
    <xf borderId="5" fillId="4" fontId="13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5" fillId="4" fontId="11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9" fontId="18" numFmtId="169" xfId="0" applyAlignment="1" applyBorder="1" applyFill="1" applyFont="1" applyNumberFormat="1">
      <alignment horizontal="center" shrinkToFit="0" vertical="center" wrapText="1"/>
    </xf>
    <xf borderId="1" fillId="9" fontId="10" numFmtId="169" xfId="0" applyAlignment="1" applyBorder="1" applyFont="1" applyNumberFormat="1">
      <alignment horizontal="center" shrinkToFit="0" vertical="center" wrapText="1"/>
    </xf>
    <xf borderId="2" fillId="5" fontId="18" numFmtId="169" xfId="0" applyAlignment="1" applyBorder="1" applyFont="1" applyNumberFormat="1">
      <alignment horizontal="center" shrinkToFit="0" vertical="center" wrapText="1"/>
    </xf>
    <xf borderId="3" fillId="5" fontId="18" numFmtId="168" xfId="0" applyAlignment="1" applyBorder="1" applyFont="1" applyNumberFormat="1">
      <alignment horizontal="center" shrinkToFit="0" vertical="center" wrapText="1"/>
    </xf>
    <xf borderId="4" fillId="10" fontId="19" numFmtId="169" xfId="0" applyAlignment="1" applyBorder="1" applyFill="1" applyFont="1" applyNumberFormat="1">
      <alignment horizontal="center" shrinkToFit="0" vertical="center" wrapText="1"/>
    </xf>
    <xf borderId="4" fillId="10" fontId="19" numFmtId="170" xfId="0" applyAlignment="1" applyBorder="1" applyFont="1" applyNumberFormat="1">
      <alignment horizontal="center" shrinkToFit="0" vertical="center" wrapText="1"/>
    </xf>
    <xf borderId="1" fillId="11" fontId="11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1" numFmtId="167" xfId="0" applyAlignment="1" applyBorder="1" applyFont="1" applyNumberFormat="1">
      <alignment horizontal="center" shrinkToFit="0" vertical="center" wrapText="1"/>
    </xf>
    <xf borderId="3" fillId="0" fontId="11" numFmtId="0" xfId="0" applyAlignment="1" applyBorder="1" applyFont="1">
      <alignment horizontal="center" readingOrder="0" vertical="center"/>
    </xf>
    <xf borderId="1" fillId="5" fontId="11" numFmtId="167" xfId="0" applyAlignment="1" applyBorder="1" applyFont="1" applyNumberFormat="1">
      <alignment horizontal="center" shrinkToFit="0" vertical="center" wrapText="1"/>
    </xf>
    <xf borderId="0" fillId="0" fontId="11" numFmtId="171" xfId="0" applyAlignment="1" applyFont="1" applyNumberFormat="1">
      <alignment vertical="center"/>
    </xf>
    <xf borderId="1" fillId="9" fontId="5" numFmtId="167" xfId="0" applyAlignment="1" applyBorder="1" applyFont="1" applyNumberFormat="1">
      <alignment vertical="center"/>
    </xf>
    <xf borderId="2" fillId="5" fontId="11" numFmtId="169" xfId="0" applyAlignment="1" applyBorder="1" applyFont="1" applyNumberFormat="1">
      <alignment horizontal="center" shrinkToFit="0" vertical="center" wrapText="1"/>
    </xf>
    <xf borderId="3" fillId="5" fontId="20" numFmtId="168" xfId="0" applyAlignment="1" applyBorder="1" applyFont="1" applyNumberFormat="1">
      <alignment horizontal="center" shrinkToFit="0" vertical="center" wrapText="1"/>
    </xf>
    <xf borderId="1" fillId="0" fontId="11" numFmtId="169" xfId="0" applyAlignment="1" applyBorder="1" applyFont="1" applyNumberFormat="1">
      <alignment horizontal="center" vertical="center"/>
    </xf>
    <xf borderId="1" fillId="0" fontId="11" numFmtId="168" xfId="0" applyAlignment="1" applyBorder="1" applyFont="1" applyNumberFormat="1">
      <alignment horizontal="center" vertical="center"/>
    </xf>
    <xf borderId="1" fillId="11" fontId="11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1" fillId="0" fontId="11" numFmtId="167" xfId="0" applyAlignment="1" applyBorder="1" applyFont="1" applyNumberFormat="1">
      <alignment horizontal="center" readingOrder="0" shrinkToFit="0" vertical="center" wrapText="1"/>
    </xf>
    <xf borderId="1" fillId="5" fontId="11" numFmtId="167" xfId="0" applyAlignment="1" applyBorder="1" applyFont="1" applyNumberFormat="1">
      <alignment horizontal="center" readingOrder="0" shrinkToFit="0" vertical="center" wrapText="1"/>
    </xf>
    <xf borderId="2" fillId="5" fontId="11" numFmtId="169" xfId="0" applyAlignment="1" applyBorder="1" applyFont="1" applyNumberFormat="1">
      <alignment vertical="center"/>
    </xf>
    <xf borderId="3" fillId="5" fontId="11" numFmtId="168" xfId="0" applyAlignment="1" applyBorder="1" applyFont="1" applyNumberFormat="1">
      <alignment vertical="center"/>
    </xf>
    <xf borderId="2" fillId="11" fontId="11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0" fontId="11" numFmtId="167" xfId="0" applyAlignment="1" applyBorder="1" applyFont="1" applyNumberForma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1" fillId="0" fontId="11" numFmtId="167" xfId="0" applyAlignment="1" applyBorder="1" applyFont="1" applyNumberFormat="1">
      <alignment vertical="center"/>
    </xf>
    <xf borderId="1" fillId="9" fontId="5" numFmtId="169" xfId="0" applyAlignment="1" applyBorder="1" applyFont="1" applyNumberFormat="1">
      <alignment vertical="center"/>
    </xf>
    <xf borderId="1" fillId="9" fontId="5" numFmtId="169" xfId="0" applyAlignment="1" applyBorder="1" applyFont="1" applyNumberFormat="1">
      <alignment horizontal="center" shrinkToFit="0" vertical="center" wrapText="1"/>
    </xf>
    <xf borderId="3" fillId="5" fontId="21" numFmtId="168" xfId="0" applyAlignment="1" applyBorder="1" applyFont="1" applyNumberFormat="1">
      <alignment horizontal="center" shrinkToFit="0" vertical="center" wrapText="1"/>
    </xf>
    <xf borderId="0" fillId="12" fontId="11" numFmtId="0" xfId="0" applyAlignment="1" applyFill="1" applyFont="1">
      <alignment vertical="center"/>
    </xf>
    <xf borderId="1" fillId="13" fontId="4" numFmtId="0" xfId="0" applyAlignment="1" applyBorder="1" applyFill="1" applyFont="1">
      <alignment shrinkToFit="0" wrapText="1"/>
    </xf>
    <xf borderId="1" fillId="13" fontId="5" numFmtId="0" xfId="0" applyAlignment="1" applyBorder="1" applyFont="1">
      <alignment vertical="center"/>
    </xf>
    <xf borderId="1" fillId="13" fontId="11" numFmtId="167" xfId="0" applyAlignment="1" applyBorder="1" applyFont="1" applyNumberFormat="1">
      <alignment vertical="center"/>
    </xf>
    <xf borderId="3" fillId="13" fontId="11" numFmtId="0" xfId="0" applyAlignment="1" applyBorder="1" applyFont="1">
      <alignment horizontal="center" vertical="center"/>
    </xf>
    <xf borderId="1" fillId="13" fontId="11" numFmtId="167" xfId="0" applyAlignment="1" applyBorder="1" applyFont="1" applyNumberFormat="1">
      <alignment horizontal="center" vertical="center"/>
    </xf>
    <xf borderId="1" fillId="9" fontId="1" numFmtId="0" xfId="0" applyAlignment="1" applyBorder="1" applyFont="1">
      <alignment shrinkToFit="0" wrapText="1"/>
    </xf>
    <xf borderId="1" fillId="9" fontId="5" numFmtId="0" xfId="0" applyAlignment="1" applyBorder="1" applyFont="1">
      <alignment shrinkToFit="0" vertical="center" wrapText="1"/>
    </xf>
    <xf borderId="1" fillId="9" fontId="11" numFmtId="167" xfId="0" applyAlignment="1" applyBorder="1" applyFont="1" applyNumberFormat="1">
      <alignment horizontal="center" shrinkToFit="0" vertical="center" wrapText="1"/>
    </xf>
    <xf borderId="3" fillId="9" fontId="11" numFmtId="0" xfId="0" applyAlignment="1" applyBorder="1" applyFont="1">
      <alignment horizontal="center" vertical="center"/>
    </xf>
    <xf borderId="1" fillId="9" fontId="11" numFmtId="167" xfId="0" applyAlignment="1" applyBorder="1" applyFont="1" applyNumberFormat="1">
      <alignment horizontal="right" shrinkToFit="0" vertical="center" wrapText="1"/>
    </xf>
    <xf borderId="1" fillId="14" fontId="11" numFmtId="167" xfId="0" applyAlignment="1" applyBorder="1" applyFill="1" applyFont="1" applyNumberFormat="1">
      <alignment horizontal="center" shrinkToFit="0" vertical="center" wrapText="1"/>
    </xf>
    <xf borderId="1" fillId="13" fontId="4" numFmtId="0" xfId="0" applyAlignment="1" applyBorder="1" applyFont="1">
      <alignment shrinkToFit="0" vertical="center" wrapText="1"/>
    </xf>
    <xf borderId="1" fillId="9" fontId="11" numFmtId="0" xfId="0" applyAlignment="1" applyBorder="1" applyFont="1">
      <alignment shrinkToFit="0" vertical="center" wrapText="1"/>
    </xf>
    <xf borderId="3" fillId="9" fontId="11" numFmtId="0" xfId="0" applyAlignment="1" applyBorder="1" applyFont="1">
      <alignment horizontal="center" shrinkToFit="0" vertical="center" wrapText="1"/>
    </xf>
    <xf borderId="1" fillId="9" fontId="11" numFmtId="167" xfId="0" applyAlignment="1" applyBorder="1" applyFont="1" applyNumberFormat="1">
      <alignment vertical="center"/>
    </xf>
    <xf borderId="1" fillId="9" fontId="12" numFmtId="0" xfId="0" applyAlignment="1" applyBorder="1" applyFont="1">
      <alignment shrinkToFit="0" vertical="center" wrapText="1"/>
    </xf>
    <xf borderId="1" fillId="15" fontId="12" numFmtId="0" xfId="0" applyAlignment="1" applyBorder="1" applyFill="1" applyFont="1">
      <alignment shrinkToFit="0" vertical="center" wrapText="1"/>
    </xf>
    <xf borderId="1" fillId="15" fontId="5" numFmtId="0" xfId="0" applyAlignment="1" applyBorder="1" applyFont="1">
      <alignment vertical="center"/>
    </xf>
    <xf borderId="1" fillId="15" fontId="11" numFmtId="167" xfId="0" applyAlignment="1" applyBorder="1" applyFont="1" applyNumberFormat="1">
      <alignment vertical="center"/>
    </xf>
    <xf borderId="3" fillId="15" fontId="11" numFmtId="0" xfId="0" applyAlignment="1" applyBorder="1" applyFont="1">
      <alignment vertical="center"/>
    </xf>
    <xf borderId="1" fillId="6" fontId="11" numFmtId="0" xfId="0" applyAlignment="1" applyBorder="1" applyFont="1">
      <alignment shrinkToFit="0" vertical="center" wrapText="1"/>
    </xf>
    <xf borderId="1" fillId="0" fontId="11" numFmtId="167" xfId="0" applyAlignment="1" applyBorder="1" applyFont="1" applyNumberFormat="1">
      <alignment horizontal="right" shrinkToFit="0" vertical="center" wrapText="1"/>
    </xf>
    <xf borderId="1" fillId="14" fontId="5" numFmtId="167" xfId="0" applyAlignment="1" applyBorder="1" applyFont="1" applyNumberFormat="1">
      <alignment horizontal="center" shrinkToFit="0" vertical="center" wrapText="1"/>
    </xf>
    <xf borderId="1" fillId="9" fontId="5" numFmtId="172" xfId="0" applyAlignment="1" applyBorder="1" applyFont="1" applyNumberFormat="1">
      <alignment vertical="center"/>
    </xf>
    <xf borderId="1" fillId="0" fontId="11" numFmtId="165" xfId="0" applyAlignment="1" applyBorder="1" applyFont="1" applyNumberFormat="1">
      <alignment horizontal="center" vertical="center"/>
    </xf>
    <xf borderId="1" fillId="0" fontId="11" numFmtId="167" xfId="0" applyAlignment="1" applyBorder="1" applyFont="1" applyNumberFormat="1">
      <alignment horizontal="center" vertical="center"/>
    </xf>
    <xf borderId="1" fillId="16" fontId="11" numFmtId="0" xfId="0" applyAlignment="1" applyBorder="1" applyFill="1" applyFont="1">
      <alignment shrinkToFit="0" vertical="center" wrapText="1"/>
    </xf>
    <xf borderId="1" fillId="17" fontId="12" numFmtId="0" xfId="0" applyAlignment="1" applyBorder="1" applyFill="1" applyFont="1">
      <alignment shrinkToFit="0" vertical="center" wrapText="1"/>
    </xf>
    <xf borderId="1" fillId="17" fontId="5" numFmtId="0" xfId="0" applyAlignment="1" applyBorder="1" applyFont="1">
      <alignment vertical="center"/>
    </xf>
    <xf borderId="1" fillId="17" fontId="11" numFmtId="167" xfId="0" applyAlignment="1" applyBorder="1" applyFont="1" applyNumberFormat="1">
      <alignment vertical="center"/>
    </xf>
    <xf borderId="3" fillId="17" fontId="11" numFmtId="0" xfId="0" applyAlignment="1" applyBorder="1" applyFont="1">
      <alignment vertical="center"/>
    </xf>
    <xf borderId="1" fillId="18" fontId="11" numFmtId="0" xfId="0" applyAlignment="1" applyBorder="1" applyFill="1" applyFont="1">
      <alignment shrinkToFit="0" vertical="center" wrapText="1"/>
    </xf>
    <xf borderId="1" fillId="7" fontId="11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vertical="center"/>
    </xf>
    <xf borderId="1" fillId="3" fontId="11" numFmtId="167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14" fontId="11" numFmtId="167" xfId="0" applyAlignment="1" applyBorder="1" applyFont="1" applyNumberFormat="1">
      <alignment vertical="center"/>
    </xf>
    <xf borderId="0" fillId="0" fontId="11" numFmtId="173" xfId="0" applyAlignment="1" applyFont="1" applyNumberFormat="1">
      <alignment vertical="center"/>
    </xf>
    <xf borderId="0" fillId="0" fontId="5" numFmtId="167" xfId="0" applyAlignment="1" applyFont="1" applyNumberFormat="1">
      <alignment horizontal="center" shrinkToFit="0" vertical="center" wrapText="1"/>
    </xf>
    <xf borderId="0" fillId="0" fontId="11" numFmtId="167" xfId="0" applyAlignment="1" applyFont="1" applyNumberFormat="1">
      <alignment horizontal="center" shrinkToFit="0" vertical="center" wrapText="1"/>
    </xf>
    <xf borderId="0" fillId="0" fontId="5" numFmtId="10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vertical="center"/>
    </xf>
    <xf borderId="0" fillId="0" fontId="22" numFmtId="167" xfId="0" applyAlignment="1" applyFont="1" applyNumberFormat="1">
      <alignment horizontal="center" shrinkToFit="0" vertical="center" wrapText="1"/>
    </xf>
    <xf borderId="0" fillId="19" fontId="12" numFmtId="167" xfId="0" applyAlignment="1" applyFill="1" applyFont="1" applyNumberFormat="1">
      <alignment horizontal="center" shrinkToFit="0" vertical="center" wrapText="1"/>
    </xf>
    <xf borderId="0" fillId="20" fontId="11" numFmtId="167" xfId="0" applyAlignment="1" applyFill="1" applyFont="1" applyNumberFormat="1">
      <alignment horizontal="center" shrinkToFit="0" vertical="center" wrapText="1"/>
    </xf>
    <xf borderId="1" fillId="6" fontId="5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1" fillId="11" fontId="11" numFmtId="0" xfId="0" applyAlignment="1" applyBorder="1" applyFont="1">
      <alignment horizontal="center" shrinkToFit="0" vertical="center" wrapText="1"/>
    </xf>
    <xf borderId="1" fillId="0" fontId="2" numFmtId="167" xfId="0" applyAlignment="1" applyBorder="1" applyFont="1" applyNumberFormat="1">
      <alignment horizontal="center" vertical="center"/>
    </xf>
    <xf borderId="1" fillId="11" fontId="11" numFmtId="0" xfId="0" applyAlignment="1" applyBorder="1" applyFont="1">
      <alignment horizontal="center" readingOrder="0" shrinkToFit="0" vertical="center" wrapText="1"/>
    </xf>
    <xf borderId="1" fillId="19" fontId="12" numFmtId="0" xfId="0" applyAlignment="1" applyBorder="1" applyFont="1">
      <alignment horizontal="center" readingOrder="0" shrinkToFit="0" vertical="center" wrapText="1"/>
    </xf>
    <xf borderId="1" fillId="19" fontId="23" numFmtId="167" xfId="0" applyAlignment="1" applyBorder="1" applyFont="1" applyNumberFormat="1">
      <alignment horizontal="center" readingOrder="0" vertical="center"/>
    </xf>
    <xf borderId="0" fillId="0" fontId="24" numFmtId="0" xfId="0" applyFont="1"/>
    <xf borderId="0" fillId="0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5114925" cy="3009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7</xdr:row>
      <xdr:rowOff>38100</xdr:rowOff>
    </xdr:from>
    <xdr:ext cx="12068175" cy="27717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0</v>
      </c>
      <c r="B19" s="4" t="s">
        <v>2</v>
      </c>
      <c r="C19" s="2"/>
      <c r="D19" s="1" t="s">
        <v>0</v>
      </c>
      <c r="E19" s="1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3</v>
      </c>
      <c r="B20" s="4" t="s">
        <v>4</v>
      </c>
      <c r="C20" s="2"/>
      <c r="D20" s="1" t="s">
        <v>3</v>
      </c>
      <c r="E20" s="1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3" t="s">
        <v>5</v>
      </c>
      <c r="B21" s="5" t="s">
        <v>6</v>
      </c>
      <c r="C21" s="2"/>
      <c r="D21" s="1" t="s">
        <v>5</v>
      </c>
      <c r="E21" s="1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7</v>
      </c>
      <c r="B22" s="5" t="s">
        <v>8</v>
      </c>
      <c r="C22" s="2"/>
      <c r="D22" s="1" t="s">
        <v>7</v>
      </c>
      <c r="E22" s="1"/>
      <c r="F22" s="2"/>
      <c r="G22" s="3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9</v>
      </c>
      <c r="B23" s="6">
        <v>21597.0</v>
      </c>
      <c r="C23" s="2"/>
      <c r="D23" s="1" t="s">
        <v>9</v>
      </c>
      <c r="E23" s="1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10</v>
      </c>
      <c r="B24" s="5">
        <v>66.0</v>
      </c>
      <c r="C24" s="2"/>
      <c r="D24" s="1" t="s">
        <v>10</v>
      </c>
      <c r="E24" s="1"/>
      <c r="F24" s="2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11</v>
      </c>
      <c r="B25" s="1"/>
      <c r="C25" s="2"/>
      <c r="D25" s="1" t="s">
        <v>11</v>
      </c>
      <c r="E25" s="1"/>
      <c r="F25" s="2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12</v>
      </c>
      <c r="B26" s="1"/>
      <c r="C26" s="2"/>
      <c r="D26" s="1" t="s">
        <v>12</v>
      </c>
      <c r="E26" s="1"/>
      <c r="F26" s="2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13</v>
      </c>
      <c r="B27" s="1"/>
      <c r="C27" s="2"/>
      <c r="D27" s="1" t="s">
        <v>13</v>
      </c>
      <c r="E27" s="1"/>
      <c r="F27" s="2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14</v>
      </c>
      <c r="B28" s="5" t="s">
        <v>15</v>
      </c>
      <c r="C28" s="2"/>
      <c r="D28" s="1" t="s">
        <v>14</v>
      </c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16</v>
      </c>
      <c r="B29" s="9">
        <v>5.9995684619E10</v>
      </c>
      <c r="C29" s="2"/>
      <c r="D29" s="1" t="s">
        <v>16</v>
      </c>
      <c r="E29" s="1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17</v>
      </c>
      <c r="B30" s="1"/>
      <c r="C30" s="2"/>
      <c r="D30" s="1" t="s">
        <v>17</v>
      </c>
      <c r="E30" s="1"/>
      <c r="F30" s="2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18</v>
      </c>
      <c r="B31" s="1"/>
      <c r="C31" s="2"/>
      <c r="D31" s="1" t="s">
        <v>18</v>
      </c>
      <c r="E31" s="1"/>
      <c r="F31" s="2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19</v>
      </c>
      <c r="B32" s="1"/>
      <c r="C32" s="2"/>
      <c r="D32" s="1" t="s">
        <v>19</v>
      </c>
      <c r="E32" s="1"/>
      <c r="F32" s="2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20</v>
      </c>
      <c r="B33" s="1"/>
      <c r="C33" s="2"/>
      <c r="D33" s="1" t="s">
        <v>20</v>
      </c>
      <c r="E33" s="1"/>
      <c r="F33" s="2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21</v>
      </c>
      <c r="B34" s="1"/>
      <c r="C34" s="2"/>
      <c r="D34" s="1" t="s">
        <v>21</v>
      </c>
      <c r="E34" s="1"/>
      <c r="F34" s="2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22</v>
      </c>
      <c r="B35" s="1"/>
      <c r="C35" s="2"/>
      <c r="D35" s="1" t="s">
        <v>22</v>
      </c>
      <c r="E35" s="1"/>
      <c r="F35" s="2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0" t="s">
        <v>23</v>
      </c>
      <c r="B36" s="10"/>
      <c r="C36" s="2"/>
      <c r="D36" s="1"/>
      <c r="E36" s="1"/>
      <c r="F36" s="2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1"/>
      <c r="C37" s="2"/>
      <c r="D37" s="1" t="s">
        <v>24</v>
      </c>
      <c r="E37" s="1"/>
      <c r="F37" s="2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2"/>
      <c r="D38" s="1"/>
      <c r="E38" s="1"/>
      <c r="F38" s="2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2"/>
      <c r="B1" s="13"/>
      <c r="C1" s="13"/>
      <c r="D1" s="13"/>
      <c r="E1" s="14"/>
      <c r="F1" s="14"/>
      <c r="G1" s="14"/>
      <c r="H1" s="15"/>
      <c r="I1" s="16"/>
      <c r="J1" s="16"/>
    </row>
    <row r="2" ht="23.25" customHeight="1">
      <c r="A2" s="17"/>
      <c r="B2" s="13"/>
      <c r="C2" s="13"/>
      <c r="D2" s="13"/>
      <c r="E2" s="14"/>
      <c r="F2" s="14"/>
      <c r="G2" s="14"/>
      <c r="H2" s="15"/>
      <c r="I2" s="16"/>
      <c r="J2" s="16"/>
    </row>
    <row r="3" ht="23.25" customHeight="1">
      <c r="A3" s="17"/>
      <c r="B3" s="18" t="s">
        <v>25</v>
      </c>
      <c r="C3" s="19"/>
      <c r="D3" s="19"/>
      <c r="E3" s="20"/>
      <c r="F3" s="20"/>
      <c r="G3" s="20"/>
      <c r="H3" s="20"/>
      <c r="I3" s="16"/>
      <c r="J3" s="16"/>
    </row>
    <row r="4">
      <c r="A4" s="17"/>
      <c r="B4" s="21" t="s">
        <v>26</v>
      </c>
      <c r="C4" s="22" t="s">
        <v>27</v>
      </c>
      <c r="D4" s="23" t="s">
        <v>28</v>
      </c>
      <c r="E4" s="22" t="s">
        <v>29</v>
      </c>
      <c r="F4" s="24" t="s">
        <v>30</v>
      </c>
      <c r="G4" s="24" t="s">
        <v>31</v>
      </c>
      <c r="H4" s="24" t="s">
        <v>32</v>
      </c>
      <c r="I4" s="16"/>
      <c r="J4" s="16"/>
    </row>
    <row r="5">
      <c r="A5" s="17"/>
      <c r="B5" s="25"/>
      <c r="C5" s="25">
        <v>1.0</v>
      </c>
      <c r="D5" s="26"/>
      <c r="E5" s="25"/>
      <c r="F5" s="27"/>
      <c r="G5" s="28"/>
      <c r="H5" s="28"/>
      <c r="I5" s="16"/>
      <c r="J5" s="16"/>
    </row>
    <row r="6">
      <c r="A6" s="17"/>
      <c r="B6" s="29"/>
      <c r="C6" s="29"/>
      <c r="D6" s="30"/>
      <c r="E6" s="31" t="s">
        <v>33</v>
      </c>
      <c r="F6" s="32"/>
      <c r="G6" s="33"/>
      <c r="H6" s="33"/>
      <c r="I6" s="16"/>
      <c r="J6" s="16"/>
    </row>
    <row r="7">
      <c r="A7" s="17"/>
      <c r="B7" s="29"/>
      <c r="C7" s="29"/>
      <c r="D7" s="30"/>
      <c r="E7" s="34" t="s">
        <v>34</v>
      </c>
      <c r="F7" s="32"/>
      <c r="G7" s="33"/>
      <c r="H7" s="33"/>
      <c r="I7" s="16"/>
      <c r="J7" s="16"/>
    </row>
    <row r="8">
      <c r="A8" s="17"/>
      <c r="B8" s="29"/>
      <c r="C8" s="29"/>
      <c r="D8" s="30"/>
      <c r="E8" s="35" t="s">
        <v>35</v>
      </c>
      <c r="F8" s="31"/>
      <c r="G8" s="31"/>
      <c r="H8" s="31"/>
      <c r="I8" s="16"/>
      <c r="J8" s="16"/>
    </row>
    <row r="9">
      <c r="A9" s="17"/>
      <c r="B9" s="25"/>
      <c r="C9" s="25"/>
      <c r="D9" s="26"/>
      <c r="E9" s="25"/>
      <c r="F9" s="27"/>
      <c r="G9" s="28"/>
      <c r="H9" s="28"/>
      <c r="I9" s="16"/>
      <c r="J9" s="16"/>
    </row>
    <row r="10">
      <c r="A10" s="17"/>
      <c r="B10" s="25"/>
      <c r="C10" s="25"/>
      <c r="D10" s="26"/>
      <c r="E10" s="25"/>
      <c r="F10" s="27"/>
      <c r="G10" s="28"/>
      <c r="H10" s="28"/>
      <c r="I10" s="16"/>
      <c r="J10" s="16"/>
    </row>
    <row r="11">
      <c r="A11" s="17"/>
      <c r="B11" s="29"/>
      <c r="C11" s="29"/>
      <c r="D11" s="36"/>
      <c r="E11" s="31" t="s">
        <v>36</v>
      </c>
      <c r="F11" s="37"/>
      <c r="G11" s="38"/>
      <c r="H11" s="38"/>
      <c r="I11" s="16"/>
      <c r="J11" s="16"/>
    </row>
    <row r="12">
      <c r="A12" s="17"/>
      <c r="B12" s="29"/>
      <c r="C12" s="29"/>
      <c r="D12" s="39"/>
      <c r="E12" s="34" t="s">
        <v>37</v>
      </c>
      <c r="F12" s="39">
        <v>0.5</v>
      </c>
      <c r="G12" s="39">
        <v>1.0</v>
      </c>
      <c r="H12" s="38"/>
      <c r="I12" s="16"/>
      <c r="J12" s="16"/>
    </row>
    <row r="13">
      <c r="A13" s="17"/>
      <c r="B13" s="29"/>
      <c r="C13" s="40"/>
      <c r="D13" s="39"/>
      <c r="E13" s="41" t="s">
        <v>38</v>
      </c>
      <c r="F13" s="39"/>
      <c r="G13" s="39"/>
      <c r="H13" s="38"/>
      <c r="I13" s="16"/>
      <c r="J13" s="16"/>
    </row>
    <row r="14">
      <c r="A14" s="17"/>
      <c r="B14" s="29"/>
      <c r="C14" s="40"/>
      <c r="D14" s="39"/>
      <c r="E14" s="41" t="s">
        <v>39</v>
      </c>
      <c r="F14" s="39"/>
      <c r="G14" s="39"/>
      <c r="H14" s="38"/>
      <c r="I14" s="16"/>
      <c r="J14" s="16"/>
    </row>
    <row r="15">
      <c r="A15" s="17"/>
      <c r="B15" s="29"/>
      <c r="C15" s="40"/>
      <c r="D15" s="39"/>
      <c r="E15" s="41" t="s">
        <v>40</v>
      </c>
      <c r="F15" s="36"/>
      <c r="G15" s="42"/>
      <c r="H15" s="38"/>
      <c r="I15" s="16"/>
      <c r="J15" s="16"/>
    </row>
    <row r="16">
      <c r="A16" s="17"/>
      <c r="B16" s="29"/>
      <c r="C16" s="40"/>
      <c r="D16" s="39"/>
      <c r="E16" s="41" t="s">
        <v>41</v>
      </c>
      <c r="F16" s="36"/>
      <c r="G16" s="42"/>
      <c r="H16" s="38"/>
      <c r="I16" s="16"/>
      <c r="J16" s="16"/>
    </row>
    <row r="17">
      <c r="A17" s="17"/>
      <c r="B17" s="29"/>
      <c r="C17" s="40"/>
      <c r="D17" s="39"/>
      <c r="E17" s="41" t="s">
        <v>42</v>
      </c>
      <c r="F17" s="36"/>
      <c r="G17" s="42"/>
      <c r="H17" s="38"/>
      <c r="I17" s="16"/>
      <c r="J17" s="16"/>
    </row>
    <row r="18">
      <c r="A18" s="17"/>
      <c r="B18" s="29"/>
      <c r="C18" s="40"/>
      <c r="D18" s="43"/>
      <c r="E18" s="41" t="s">
        <v>43</v>
      </c>
      <c r="F18" s="36"/>
      <c r="G18" s="42"/>
      <c r="H18" s="38"/>
      <c r="I18" s="16"/>
      <c r="J18" s="16"/>
    </row>
    <row r="19">
      <c r="A19" s="17"/>
      <c r="B19" s="29"/>
      <c r="C19" s="40"/>
      <c r="D19" s="39"/>
      <c r="E19" s="41" t="s">
        <v>44</v>
      </c>
      <c r="F19" s="42"/>
      <c r="G19" s="42"/>
      <c r="H19" s="38"/>
      <c r="I19" s="16"/>
      <c r="J19" s="16"/>
    </row>
    <row r="20">
      <c r="A20" s="17"/>
      <c r="B20" s="29"/>
      <c r="C20" s="29"/>
      <c r="D20" s="39"/>
      <c r="E20" s="34" t="s">
        <v>45</v>
      </c>
      <c r="F20" s="38"/>
      <c r="G20" s="39">
        <v>1.0</v>
      </c>
      <c r="H20" s="38"/>
      <c r="I20" s="16"/>
      <c r="J20" s="16"/>
    </row>
    <row r="21">
      <c r="A21" s="17"/>
      <c r="B21" s="29"/>
      <c r="C21" s="29"/>
      <c r="D21" s="29"/>
      <c r="E21" s="31" t="s">
        <v>46</v>
      </c>
      <c r="F21" s="29"/>
      <c r="G21" s="29"/>
      <c r="H21" s="38"/>
      <c r="I21" s="16"/>
      <c r="J21" s="16"/>
    </row>
    <row r="22">
      <c r="A22" s="17"/>
      <c r="B22" s="25"/>
      <c r="C22" s="25"/>
      <c r="D22" s="26"/>
      <c r="E22" s="25"/>
      <c r="F22" s="27"/>
      <c r="G22" s="28"/>
      <c r="H22" s="28"/>
      <c r="I22" s="16"/>
      <c r="J22" s="16"/>
    </row>
    <row r="23">
      <c r="A23" s="17"/>
      <c r="B23" s="25"/>
      <c r="C23" s="25"/>
      <c r="D23" s="26"/>
      <c r="E23" s="25"/>
      <c r="F23" s="27"/>
      <c r="G23" s="28"/>
      <c r="H23" s="28"/>
      <c r="I23" s="16"/>
      <c r="J23" s="16"/>
    </row>
    <row r="24">
      <c r="A24" s="17"/>
      <c r="B24" s="25"/>
      <c r="C24" s="25"/>
      <c r="D24" s="26"/>
      <c r="E24" s="25"/>
      <c r="F24" s="27"/>
      <c r="G24" s="28"/>
      <c r="H24" s="28"/>
      <c r="I24" s="16"/>
      <c r="J24" s="16"/>
    </row>
    <row r="25">
      <c r="A25" s="17"/>
      <c r="B25" s="29"/>
      <c r="C25" s="29"/>
      <c r="D25" s="29"/>
      <c r="E25" s="44" t="s">
        <v>47</v>
      </c>
      <c r="F25" s="29"/>
      <c r="G25" s="29"/>
      <c r="H25" s="29"/>
      <c r="I25" s="16"/>
      <c r="J25" s="16"/>
    </row>
    <row r="26">
      <c r="A26" s="17"/>
      <c r="B26" s="29"/>
      <c r="C26" s="29"/>
      <c r="D26" s="37"/>
      <c r="E26" s="34" t="s">
        <v>48</v>
      </c>
      <c r="F26" s="29"/>
      <c r="G26" s="29"/>
      <c r="H26" s="29"/>
      <c r="I26" s="16"/>
      <c r="J26" s="16"/>
    </row>
    <row r="27">
      <c r="A27" s="17"/>
      <c r="B27" s="29"/>
      <c r="C27" s="29"/>
      <c r="D27" s="37"/>
      <c r="E27" s="44" t="s">
        <v>49</v>
      </c>
      <c r="F27" s="29"/>
      <c r="G27" s="29"/>
      <c r="H27" s="29"/>
      <c r="I27" s="16"/>
      <c r="J27" s="16"/>
    </row>
    <row r="28" ht="23.25" customHeight="1">
      <c r="A28" s="45"/>
      <c r="B28" s="13"/>
      <c r="C28" s="46"/>
      <c r="D28" s="13"/>
      <c r="E28" s="16"/>
      <c r="F28" s="47">
        <f t="shared" ref="F28:H28" si="1">SUM(F5:F27)</f>
        <v>0.5</v>
      </c>
      <c r="G28" s="47">
        <f t="shared" si="1"/>
        <v>2</v>
      </c>
      <c r="H28" s="47">
        <f t="shared" si="1"/>
        <v>0</v>
      </c>
      <c r="I28" s="16"/>
      <c r="J28" s="16"/>
    </row>
    <row r="29" ht="23.25" customHeight="1">
      <c r="A29" s="17"/>
      <c r="B29" s="13"/>
      <c r="C29" s="46"/>
      <c r="D29" s="13"/>
      <c r="E29" s="16"/>
      <c r="F29" s="48"/>
      <c r="G29" s="16"/>
      <c r="H29" s="16"/>
      <c r="I29" s="16"/>
      <c r="J29" s="16"/>
    </row>
    <row r="30" ht="23.25" customHeight="1">
      <c r="A30" s="17"/>
      <c r="B30" s="13"/>
      <c r="C30" s="46"/>
      <c r="D30" s="13"/>
      <c r="E30" s="16"/>
      <c r="F30" s="48"/>
      <c r="G30" s="16"/>
      <c r="H30" s="16"/>
      <c r="I30" s="16"/>
      <c r="J30" s="16"/>
    </row>
    <row r="31" ht="23.25" customHeight="1">
      <c r="A31" s="17"/>
      <c r="B31" s="13"/>
      <c r="C31" s="46"/>
      <c r="D31" s="13"/>
      <c r="E31" s="16"/>
      <c r="F31" s="48"/>
      <c r="G31" s="16"/>
      <c r="H31" s="16"/>
      <c r="I31" s="16"/>
      <c r="J31" s="16"/>
    </row>
    <row r="32" ht="23.25" customHeight="1">
      <c r="A32" s="17"/>
      <c r="B32" s="13"/>
      <c r="C32" s="46"/>
      <c r="D32" s="13"/>
      <c r="E32" s="16"/>
      <c r="F32" s="48"/>
      <c r="G32" s="16"/>
      <c r="H32" s="16"/>
      <c r="I32" s="16"/>
      <c r="J32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9"/>
      <c r="B1" s="49"/>
      <c r="C1" s="49"/>
      <c r="D1" s="49"/>
      <c r="E1" s="49"/>
      <c r="F1" s="17"/>
      <c r="G1" s="49"/>
      <c r="H1" s="49"/>
      <c r="I1" s="49"/>
      <c r="J1" s="49"/>
      <c r="K1" s="49"/>
      <c r="L1" s="50"/>
      <c r="M1" s="50"/>
      <c r="N1" s="49"/>
      <c r="O1" s="49"/>
      <c r="P1" s="49"/>
      <c r="Q1" s="49"/>
      <c r="R1" s="17"/>
      <c r="S1" s="17"/>
      <c r="T1" s="17"/>
      <c r="U1" s="17"/>
      <c r="V1" s="17"/>
      <c r="W1" s="49"/>
      <c r="X1" s="49"/>
      <c r="Y1" s="51"/>
      <c r="Z1" s="49"/>
      <c r="AA1" s="52"/>
      <c r="AB1" s="53"/>
      <c r="AC1" s="52"/>
      <c r="AD1" s="52"/>
      <c r="AE1" s="52"/>
      <c r="AF1" s="52"/>
      <c r="AG1" s="52"/>
      <c r="AH1" s="49"/>
    </row>
    <row r="2" ht="15.75" customHeight="1">
      <c r="A2" s="49"/>
      <c r="B2" s="49"/>
      <c r="C2" s="49"/>
      <c r="D2" s="49"/>
      <c r="E2" s="49"/>
      <c r="F2" s="17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17"/>
      <c r="S2" s="17"/>
      <c r="T2" s="17"/>
      <c r="U2" s="17"/>
      <c r="V2" s="17"/>
      <c r="W2" s="49"/>
      <c r="X2" s="49"/>
      <c r="Y2" s="51"/>
      <c r="Z2" s="49"/>
      <c r="AA2" s="54"/>
      <c r="AB2" s="53"/>
      <c r="AC2" s="52"/>
      <c r="AD2" s="52"/>
      <c r="AE2" s="52"/>
      <c r="AF2" s="52"/>
      <c r="AG2" s="52"/>
      <c r="AH2" s="49"/>
    </row>
    <row r="3">
      <c r="A3" s="49"/>
      <c r="B3" s="55"/>
      <c r="C3" s="56" t="s">
        <v>50</v>
      </c>
      <c r="D3" s="57"/>
      <c r="E3" s="57"/>
      <c r="F3" s="58"/>
      <c r="G3" s="57"/>
      <c r="H3" s="57"/>
      <c r="I3" s="55"/>
      <c r="J3" s="55"/>
      <c r="K3" s="55"/>
      <c r="L3" s="49"/>
      <c r="M3" s="59">
        <v>3700.0</v>
      </c>
      <c r="N3" s="60"/>
      <c r="O3" s="61"/>
      <c r="P3" s="61"/>
      <c r="Q3" s="49"/>
      <c r="R3" s="62"/>
      <c r="S3" s="63"/>
      <c r="T3" s="63"/>
      <c r="U3" s="63"/>
      <c r="V3" s="58"/>
      <c r="W3" s="64"/>
      <c r="X3" s="65"/>
      <c r="Y3" s="66"/>
      <c r="Z3" s="49"/>
      <c r="AA3" s="67"/>
      <c r="AB3" s="68"/>
      <c r="AC3" s="68"/>
      <c r="AD3" s="68"/>
      <c r="AE3" s="69"/>
      <c r="AF3" s="69"/>
      <c r="AG3" s="69"/>
      <c r="AH3" s="49"/>
    </row>
    <row r="4">
      <c r="A4" s="49"/>
      <c r="B4" s="70" t="s">
        <v>51</v>
      </c>
      <c r="C4" s="70" t="s">
        <v>52</v>
      </c>
      <c r="D4" s="70" t="s">
        <v>53</v>
      </c>
      <c r="E4" s="71" t="s">
        <v>54</v>
      </c>
      <c r="F4" s="72" t="s">
        <v>55</v>
      </c>
      <c r="G4" s="73" t="s">
        <v>56</v>
      </c>
      <c r="H4" s="73" t="s">
        <v>57</v>
      </c>
      <c r="I4" s="74" t="s">
        <v>58</v>
      </c>
      <c r="J4" s="75"/>
      <c r="K4" s="75"/>
      <c r="L4" s="49"/>
      <c r="M4" s="76" t="s">
        <v>59</v>
      </c>
      <c r="N4" s="75"/>
      <c r="O4" s="75"/>
      <c r="P4" s="75"/>
      <c r="Q4" s="49"/>
      <c r="R4" s="77"/>
      <c r="S4" s="77"/>
      <c r="T4" s="77"/>
      <c r="U4" s="78"/>
      <c r="V4" s="79"/>
      <c r="W4" s="49"/>
      <c r="X4" s="80"/>
      <c r="Y4" s="81"/>
      <c r="Z4" s="49"/>
      <c r="AA4" s="82"/>
      <c r="AB4" s="83"/>
      <c r="AC4" s="83"/>
      <c r="AD4" s="83"/>
      <c r="AE4" s="83"/>
      <c r="AF4" s="83"/>
      <c r="AG4" s="83"/>
      <c r="AH4" s="49"/>
    </row>
    <row r="5">
      <c r="A5" s="49"/>
      <c r="B5" s="49"/>
      <c r="C5" s="49"/>
      <c r="D5" s="49"/>
      <c r="E5" s="84" t="s">
        <v>60</v>
      </c>
      <c r="F5" s="85" t="s">
        <v>61</v>
      </c>
      <c r="G5" s="86">
        <v>3500.0</v>
      </c>
      <c r="H5" s="87">
        <v>8.0</v>
      </c>
      <c r="I5" s="86">
        <f t="shared" ref="I5:I8" si="1">G5*H5</f>
        <v>28000</v>
      </c>
      <c r="J5" s="86"/>
      <c r="K5" s="86"/>
      <c r="L5" s="50"/>
      <c r="M5" s="86">
        <f>I5/0.6</f>
        <v>46666.66667</v>
      </c>
      <c r="N5" s="88">
        <f>M5/$M$3</f>
        <v>12.61261261</v>
      </c>
      <c r="O5" s="88"/>
      <c r="P5" s="88"/>
      <c r="Q5" s="89"/>
      <c r="R5" s="90"/>
      <c r="S5" s="90"/>
      <c r="T5" s="90"/>
      <c r="U5" s="90"/>
      <c r="V5" s="90"/>
      <c r="W5" s="64"/>
      <c r="X5" s="91"/>
      <c r="Y5" s="92"/>
      <c r="Z5" s="49"/>
      <c r="AA5" s="93"/>
      <c r="AB5" s="94"/>
      <c r="AC5" s="30"/>
      <c r="AD5" s="30"/>
      <c r="AE5" s="30"/>
      <c r="AF5" s="30"/>
      <c r="AG5" s="30"/>
      <c r="AH5" s="49"/>
    </row>
    <row r="6">
      <c r="A6" s="49"/>
      <c r="B6" s="49"/>
      <c r="C6" s="49"/>
      <c r="D6" s="49"/>
      <c r="E6" s="95" t="s">
        <v>62</v>
      </c>
      <c r="F6" s="96" t="s">
        <v>63</v>
      </c>
      <c r="G6" s="97">
        <v>1870000.0</v>
      </c>
      <c r="H6" s="87">
        <v>1.0</v>
      </c>
      <c r="I6" s="86">
        <f t="shared" si="1"/>
        <v>1870000</v>
      </c>
      <c r="J6" s="86"/>
      <c r="K6" s="86"/>
      <c r="L6" s="50"/>
      <c r="M6" s="86">
        <f>I6</f>
        <v>1870000</v>
      </c>
      <c r="N6" s="98">
        <v>500.0</v>
      </c>
      <c r="O6" s="88"/>
      <c r="P6" s="88"/>
      <c r="Q6" s="89"/>
      <c r="R6" s="90"/>
      <c r="S6" s="90"/>
      <c r="T6" s="90"/>
      <c r="U6" s="90"/>
      <c r="V6" s="90"/>
      <c r="W6" s="64"/>
      <c r="X6" s="99"/>
      <c r="Y6" s="100"/>
      <c r="Z6" s="49"/>
      <c r="AA6" s="93"/>
      <c r="AB6" s="94"/>
      <c r="AC6" s="30"/>
      <c r="AD6" s="30"/>
      <c r="AE6" s="30"/>
      <c r="AF6" s="30"/>
      <c r="AG6" s="30"/>
      <c r="AH6" s="49"/>
    </row>
    <row r="7">
      <c r="A7" s="49"/>
      <c r="B7" s="49"/>
      <c r="C7" s="49"/>
      <c r="D7" s="49"/>
      <c r="E7" s="101" t="s">
        <v>64</v>
      </c>
      <c r="F7" s="102" t="s">
        <v>65</v>
      </c>
      <c r="G7" s="103">
        <v>6000.0</v>
      </c>
      <c r="H7" s="87">
        <v>0.0</v>
      </c>
      <c r="I7" s="86">
        <f t="shared" si="1"/>
        <v>0</v>
      </c>
      <c r="J7" s="86"/>
      <c r="K7" s="86"/>
      <c r="L7" s="50"/>
      <c r="M7" s="86">
        <f>I7/0.6</f>
        <v>0</v>
      </c>
      <c r="N7" s="88"/>
      <c r="O7" s="88"/>
      <c r="P7" s="88"/>
      <c r="Q7" s="89"/>
      <c r="R7" s="90"/>
      <c r="S7" s="90"/>
      <c r="T7" s="90"/>
      <c r="U7" s="90"/>
      <c r="V7" s="90"/>
      <c r="W7" s="64"/>
      <c r="X7" s="99"/>
      <c r="Y7" s="100"/>
      <c r="Z7" s="49"/>
      <c r="AA7" s="93"/>
      <c r="AB7" s="94"/>
      <c r="AC7" s="30"/>
      <c r="AD7" s="30"/>
      <c r="AE7" s="30"/>
      <c r="AF7" s="30"/>
      <c r="AG7" s="30"/>
      <c r="AH7" s="49"/>
    </row>
    <row r="8">
      <c r="A8" s="49"/>
      <c r="B8" s="49"/>
      <c r="C8" s="49"/>
      <c r="D8" s="49"/>
      <c r="E8" s="101" t="s">
        <v>66</v>
      </c>
      <c r="F8" s="102" t="s">
        <v>65</v>
      </c>
      <c r="G8" s="103">
        <v>12000.0</v>
      </c>
      <c r="H8" s="104">
        <v>0.0</v>
      </c>
      <c r="I8" s="86">
        <f t="shared" si="1"/>
        <v>0</v>
      </c>
      <c r="J8" s="86"/>
      <c r="K8" s="86"/>
      <c r="L8" s="50"/>
      <c r="M8" s="86">
        <f>I8/0.75</f>
        <v>0</v>
      </c>
      <c r="N8" s="88"/>
      <c r="O8" s="88"/>
      <c r="P8" s="88"/>
      <c r="Q8" s="89"/>
      <c r="R8" s="90"/>
      <c r="S8" s="90"/>
      <c r="T8" s="90"/>
      <c r="U8" s="90"/>
      <c r="V8" s="90"/>
      <c r="W8" s="64"/>
      <c r="X8" s="99"/>
      <c r="Y8" s="100"/>
      <c r="Z8" s="49"/>
      <c r="AA8" s="93"/>
      <c r="AB8" s="94"/>
      <c r="AC8" s="30"/>
      <c r="AD8" s="30"/>
      <c r="AE8" s="30"/>
      <c r="AF8" s="30"/>
      <c r="AG8" s="30"/>
      <c r="AH8" s="49"/>
    </row>
    <row r="9">
      <c r="A9" s="49"/>
      <c r="B9" s="49"/>
      <c r="C9" s="49"/>
      <c r="D9" s="49"/>
      <c r="E9" s="84" t="s">
        <v>67</v>
      </c>
      <c r="F9" s="85" t="s">
        <v>68</v>
      </c>
      <c r="G9" s="86">
        <v>260000.0</v>
      </c>
      <c r="H9" s="105">
        <v>0.0</v>
      </c>
      <c r="I9" s="86">
        <f>G9*H9/3</f>
        <v>0</v>
      </c>
      <c r="J9" s="106"/>
      <c r="K9" s="106"/>
      <c r="L9" s="50"/>
      <c r="M9" s="86">
        <f>I9/0.95</f>
        <v>0</v>
      </c>
      <c r="N9" s="88"/>
      <c r="O9" s="88"/>
      <c r="P9" s="88"/>
      <c r="Q9" s="89"/>
      <c r="R9" s="107"/>
      <c r="S9" s="107"/>
      <c r="T9" s="107"/>
      <c r="U9" s="108"/>
      <c r="V9" s="108"/>
      <c r="W9" s="64"/>
      <c r="X9" s="91"/>
      <c r="Y9" s="109"/>
      <c r="Z9" s="49"/>
      <c r="AA9" s="93"/>
      <c r="AB9" s="94"/>
      <c r="AC9" s="30"/>
      <c r="AD9" s="30"/>
      <c r="AE9" s="30"/>
      <c r="AF9" s="30"/>
      <c r="AG9" s="30"/>
      <c r="AH9" s="49"/>
    </row>
    <row r="10">
      <c r="A10" s="49"/>
      <c r="B10" s="110"/>
      <c r="C10" s="110"/>
      <c r="D10" s="110"/>
      <c r="E10" s="111" t="s">
        <v>69</v>
      </c>
      <c r="F10" s="112"/>
      <c r="G10" s="113"/>
      <c r="H10" s="114">
        <v>0.0</v>
      </c>
      <c r="I10" s="113">
        <v>1300000.0</v>
      </c>
      <c r="J10" s="113"/>
      <c r="K10" s="113"/>
      <c r="L10" s="50"/>
      <c r="M10" s="113"/>
      <c r="N10" s="115"/>
      <c r="O10" s="115"/>
      <c r="P10" s="115"/>
      <c r="Q10" s="89"/>
      <c r="R10" s="107"/>
      <c r="S10" s="107"/>
      <c r="T10" s="107"/>
      <c r="U10" s="107"/>
      <c r="V10" s="107"/>
      <c r="W10" s="64"/>
      <c r="X10" s="99"/>
      <c r="Y10" s="100"/>
      <c r="Z10" s="49"/>
      <c r="AA10" s="93"/>
      <c r="AB10" s="94"/>
      <c r="AC10" s="30"/>
      <c r="AD10" s="30"/>
      <c r="AE10" s="30"/>
      <c r="AF10" s="30"/>
      <c r="AG10" s="30"/>
      <c r="AH10" s="49"/>
    </row>
    <row r="11">
      <c r="A11" s="49"/>
      <c r="B11" s="49"/>
      <c r="C11" s="49"/>
      <c r="D11" s="49"/>
      <c r="E11" s="116" t="s">
        <v>70</v>
      </c>
      <c r="F11" s="117" t="s">
        <v>71</v>
      </c>
      <c r="G11" s="118"/>
      <c r="H11" s="119"/>
      <c r="I11" s="119"/>
      <c r="J11" s="118"/>
      <c r="K11" s="118"/>
      <c r="L11" s="50"/>
      <c r="M11" s="120"/>
      <c r="N11" s="88"/>
      <c r="O11" s="88"/>
      <c r="P11" s="88"/>
      <c r="Q11" s="89"/>
      <c r="R11" s="107"/>
      <c r="S11" s="107"/>
      <c r="T11" s="107"/>
      <c r="U11" s="107"/>
      <c r="V11" s="107"/>
      <c r="W11" s="64"/>
      <c r="X11" s="99"/>
      <c r="Y11" s="100"/>
      <c r="Z11" s="49"/>
      <c r="AA11" s="93"/>
      <c r="AB11" s="94"/>
      <c r="AC11" s="30"/>
      <c r="AD11" s="30"/>
      <c r="AE11" s="30"/>
      <c r="AF11" s="30"/>
      <c r="AG11" s="30"/>
      <c r="AH11" s="49"/>
    </row>
    <row r="12">
      <c r="A12" s="49"/>
      <c r="B12" s="49"/>
      <c r="C12" s="49"/>
      <c r="D12" s="49"/>
      <c r="E12" s="116" t="s">
        <v>72</v>
      </c>
      <c r="F12" s="117" t="s">
        <v>73</v>
      </c>
      <c r="G12" s="118"/>
      <c r="H12" s="119"/>
      <c r="I12" s="121"/>
      <c r="J12" s="118"/>
      <c r="K12" s="118"/>
      <c r="L12" s="50"/>
      <c r="M12" s="120"/>
      <c r="N12" s="88"/>
      <c r="O12" s="88"/>
      <c r="P12" s="88"/>
      <c r="Q12" s="89"/>
      <c r="R12" s="107"/>
      <c r="S12" s="107"/>
      <c r="T12" s="107"/>
      <c r="U12" s="107"/>
      <c r="V12" s="107"/>
      <c r="W12" s="64"/>
      <c r="X12" s="99"/>
      <c r="Y12" s="100"/>
      <c r="Z12" s="49"/>
      <c r="AA12" s="93"/>
      <c r="AB12" s="94"/>
      <c r="AC12" s="30"/>
      <c r="AD12" s="30"/>
      <c r="AE12" s="30"/>
      <c r="AF12" s="30"/>
      <c r="AG12" s="30"/>
      <c r="AH12" s="49"/>
    </row>
    <row r="13">
      <c r="A13" s="49"/>
      <c r="B13" s="49"/>
      <c r="C13" s="49"/>
      <c r="D13" s="49"/>
      <c r="E13" s="116" t="s">
        <v>74</v>
      </c>
      <c r="F13" s="117" t="s">
        <v>73</v>
      </c>
      <c r="G13" s="118"/>
      <c r="H13" s="119"/>
      <c r="I13" s="118"/>
      <c r="J13" s="118"/>
      <c r="K13" s="118"/>
      <c r="L13" s="50"/>
      <c r="M13" s="120"/>
      <c r="N13" s="88"/>
      <c r="O13" s="88"/>
      <c r="P13" s="88"/>
      <c r="Q13" s="89"/>
      <c r="R13" s="107"/>
      <c r="S13" s="107"/>
      <c r="T13" s="107"/>
      <c r="U13" s="107"/>
      <c r="V13" s="107"/>
      <c r="W13" s="64"/>
      <c r="X13" s="99"/>
      <c r="Y13" s="100"/>
      <c r="Z13" s="49"/>
      <c r="AA13" s="93"/>
      <c r="AB13" s="94"/>
      <c r="AC13" s="30"/>
      <c r="AD13" s="30"/>
      <c r="AE13" s="30"/>
      <c r="AF13" s="30"/>
      <c r="AG13" s="30"/>
      <c r="AH13" s="49"/>
    </row>
    <row r="14">
      <c r="A14" s="49"/>
      <c r="B14" s="49"/>
      <c r="C14" s="49"/>
      <c r="D14" s="49"/>
      <c r="E14" s="116" t="s">
        <v>75</v>
      </c>
      <c r="F14" s="117" t="s">
        <v>73</v>
      </c>
      <c r="G14" s="118"/>
      <c r="H14" s="119"/>
      <c r="I14" s="118"/>
      <c r="J14" s="118"/>
      <c r="K14" s="118"/>
      <c r="L14" s="50"/>
      <c r="M14" s="120"/>
      <c r="N14" s="88"/>
      <c r="O14" s="88"/>
      <c r="P14" s="88"/>
      <c r="Q14" s="89"/>
      <c r="R14" s="107"/>
      <c r="S14" s="107"/>
      <c r="T14" s="107"/>
      <c r="U14" s="107"/>
      <c r="V14" s="107"/>
      <c r="W14" s="64"/>
      <c r="X14" s="99"/>
      <c r="Y14" s="100"/>
      <c r="Z14" s="49"/>
      <c r="AA14" s="93"/>
      <c r="AB14" s="94"/>
      <c r="AC14" s="30"/>
      <c r="AD14" s="30"/>
      <c r="AE14" s="30"/>
      <c r="AF14" s="30"/>
      <c r="AG14" s="30"/>
      <c r="AH14" s="49"/>
    </row>
    <row r="15">
      <c r="A15" s="49"/>
      <c r="B15" s="49"/>
      <c r="C15" s="49"/>
      <c r="D15" s="49"/>
      <c r="E15" s="116" t="s">
        <v>76</v>
      </c>
      <c r="F15" s="117" t="s">
        <v>73</v>
      </c>
      <c r="G15" s="118"/>
      <c r="H15" s="119"/>
      <c r="I15" s="118"/>
      <c r="J15" s="118"/>
      <c r="K15" s="118"/>
      <c r="L15" s="50"/>
      <c r="M15" s="120"/>
      <c r="N15" s="88"/>
      <c r="O15" s="88"/>
      <c r="P15" s="88"/>
      <c r="Q15" s="89"/>
      <c r="R15" s="107"/>
      <c r="S15" s="107"/>
      <c r="T15" s="107"/>
      <c r="U15" s="107"/>
      <c r="V15" s="107"/>
      <c r="W15" s="64"/>
      <c r="X15" s="99"/>
      <c r="Y15" s="100"/>
      <c r="Z15" s="49"/>
      <c r="AA15" s="93"/>
      <c r="AB15" s="94"/>
      <c r="AC15" s="30"/>
      <c r="AD15" s="30"/>
      <c r="AE15" s="30"/>
      <c r="AF15" s="30"/>
      <c r="AG15" s="30"/>
      <c r="AH15" s="49"/>
    </row>
    <row r="16">
      <c r="A16" s="49"/>
      <c r="B16" s="49"/>
      <c r="C16" s="49"/>
      <c r="D16" s="49"/>
      <c r="E16" s="111" t="s">
        <v>77</v>
      </c>
      <c r="F16" s="117" t="s">
        <v>73</v>
      </c>
      <c r="G16" s="118"/>
      <c r="H16" s="119"/>
      <c r="I16" s="118"/>
      <c r="J16" s="118"/>
      <c r="K16" s="118"/>
      <c r="L16" s="50"/>
      <c r="M16" s="120"/>
      <c r="N16" s="88"/>
      <c r="O16" s="88"/>
      <c r="P16" s="88"/>
      <c r="Q16" s="89"/>
      <c r="R16" s="107"/>
      <c r="S16" s="107"/>
      <c r="T16" s="107"/>
      <c r="U16" s="107"/>
      <c r="V16" s="107"/>
      <c r="W16" s="64"/>
      <c r="X16" s="99"/>
      <c r="Y16" s="100"/>
      <c r="Z16" s="49"/>
      <c r="AA16" s="93"/>
      <c r="AB16" s="94"/>
      <c r="AC16" s="30"/>
      <c r="AD16" s="30"/>
      <c r="AE16" s="30"/>
      <c r="AF16" s="30"/>
      <c r="AG16" s="30"/>
      <c r="AH16" s="49"/>
    </row>
    <row r="17">
      <c r="A17" s="49"/>
      <c r="B17" s="49"/>
      <c r="C17" s="49"/>
      <c r="D17" s="49"/>
      <c r="E17" s="116" t="s">
        <v>78</v>
      </c>
      <c r="F17" s="117" t="s">
        <v>73</v>
      </c>
      <c r="G17" s="118"/>
      <c r="H17" s="119"/>
      <c r="I17" s="118"/>
      <c r="J17" s="118"/>
      <c r="K17" s="118"/>
      <c r="L17" s="50"/>
      <c r="M17" s="120"/>
      <c r="N17" s="88"/>
      <c r="O17" s="88"/>
      <c r="P17" s="88"/>
      <c r="Q17" s="89"/>
      <c r="R17" s="107"/>
      <c r="S17" s="107"/>
      <c r="T17" s="107"/>
      <c r="U17" s="107"/>
      <c r="V17" s="107"/>
      <c r="W17" s="64"/>
      <c r="X17" s="99"/>
      <c r="Y17" s="100"/>
      <c r="Z17" s="49"/>
      <c r="AA17" s="93"/>
      <c r="AB17" s="94"/>
      <c r="AC17" s="30"/>
      <c r="AD17" s="30"/>
      <c r="AE17" s="30"/>
      <c r="AF17" s="30"/>
      <c r="AG17" s="30"/>
      <c r="AH17" s="49"/>
    </row>
    <row r="18">
      <c r="A18" s="49"/>
      <c r="B18" s="49"/>
      <c r="C18" s="49"/>
      <c r="D18" s="49"/>
      <c r="E18" s="116" t="s">
        <v>79</v>
      </c>
      <c r="F18" s="117" t="s">
        <v>73</v>
      </c>
      <c r="G18" s="118"/>
      <c r="H18" s="119"/>
      <c r="I18" s="118"/>
      <c r="J18" s="118"/>
      <c r="K18" s="118"/>
      <c r="L18" s="50"/>
      <c r="M18" s="120"/>
      <c r="N18" s="88"/>
      <c r="O18" s="88"/>
      <c r="P18" s="88"/>
      <c r="Q18" s="89"/>
      <c r="R18" s="107"/>
      <c r="S18" s="107"/>
      <c r="T18" s="107"/>
      <c r="U18" s="107"/>
      <c r="V18" s="107"/>
      <c r="W18" s="64"/>
      <c r="X18" s="99"/>
      <c r="Y18" s="100"/>
      <c r="Z18" s="49"/>
      <c r="AA18" s="93"/>
      <c r="AB18" s="94"/>
      <c r="AC18" s="30"/>
      <c r="AD18" s="30"/>
      <c r="AE18" s="30"/>
      <c r="AF18" s="30"/>
      <c r="AG18" s="30"/>
      <c r="AH18" s="49"/>
    </row>
    <row r="19">
      <c r="A19" s="49"/>
      <c r="B19" s="49"/>
      <c r="C19" s="49"/>
      <c r="D19" s="49"/>
      <c r="E19" s="116" t="s">
        <v>80</v>
      </c>
      <c r="F19" s="117" t="s">
        <v>73</v>
      </c>
      <c r="G19" s="118"/>
      <c r="H19" s="119"/>
      <c r="I19" s="118"/>
      <c r="J19" s="118"/>
      <c r="K19" s="118"/>
      <c r="L19" s="50"/>
      <c r="M19" s="120"/>
      <c r="N19" s="88"/>
      <c r="O19" s="88"/>
      <c r="P19" s="88"/>
      <c r="Q19" s="89"/>
      <c r="R19" s="107"/>
      <c r="S19" s="107"/>
      <c r="T19" s="107"/>
      <c r="U19" s="107"/>
      <c r="V19" s="107"/>
      <c r="W19" s="64"/>
      <c r="X19" s="99"/>
      <c r="Y19" s="100"/>
      <c r="Z19" s="49"/>
      <c r="AA19" s="93"/>
      <c r="AB19" s="94"/>
      <c r="AC19" s="30"/>
      <c r="AD19" s="30"/>
      <c r="AE19" s="30"/>
      <c r="AF19" s="30"/>
      <c r="AG19" s="30"/>
      <c r="AH19" s="49"/>
    </row>
    <row r="20">
      <c r="A20" s="49"/>
      <c r="B20" s="49"/>
      <c r="C20" s="49"/>
      <c r="D20" s="49"/>
      <c r="E20" s="116" t="s">
        <v>81</v>
      </c>
      <c r="F20" s="117" t="s">
        <v>73</v>
      </c>
      <c r="G20" s="118"/>
      <c r="H20" s="119"/>
      <c r="I20" s="118"/>
      <c r="J20" s="118"/>
      <c r="K20" s="118"/>
      <c r="L20" s="50"/>
      <c r="M20" s="120"/>
      <c r="N20" s="88"/>
      <c r="O20" s="88"/>
      <c r="P20" s="88"/>
      <c r="Q20" s="89"/>
      <c r="R20" s="107"/>
      <c r="S20" s="107"/>
      <c r="T20" s="107"/>
      <c r="U20" s="107"/>
      <c r="V20" s="107"/>
      <c r="W20" s="64"/>
      <c r="X20" s="99"/>
      <c r="Y20" s="100"/>
      <c r="Z20" s="49"/>
      <c r="AA20" s="93"/>
      <c r="AB20" s="94"/>
      <c r="AC20" s="30"/>
      <c r="AD20" s="30"/>
      <c r="AE20" s="30"/>
      <c r="AF20" s="30"/>
      <c r="AG20" s="30"/>
      <c r="AH20" s="49"/>
    </row>
    <row r="21">
      <c r="A21" s="49"/>
      <c r="B21" s="49"/>
      <c r="C21" s="49"/>
      <c r="D21" s="49"/>
      <c r="E21" s="111" t="s">
        <v>82</v>
      </c>
      <c r="F21" s="117" t="s">
        <v>73</v>
      </c>
      <c r="G21" s="118"/>
      <c r="H21" s="119"/>
      <c r="I21" s="118"/>
      <c r="J21" s="118"/>
      <c r="K21" s="118"/>
      <c r="L21" s="50"/>
      <c r="M21" s="120"/>
      <c r="N21" s="88"/>
      <c r="O21" s="88"/>
      <c r="P21" s="88"/>
      <c r="Q21" s="89"/>
      <c r="R21" s="107"/>
      <c r="S21" s="107"/>
      <c r="T21" s="107"/>
      <c r="U21" s="107"/>
      <c r="V21" s="107"/>
      <c r="W21" s="64"/>
      <c r="X21" s="99"/>
      <c r="Y21" s="100"/>
      <c r="Z21" s="49"/>
      <c r="AA21" s="93"/>
      <c r="AB21" s="94"/>
      <c r="AC21" s="30"/>
      <c r="AD21" s="30"/>
      <c r="AE21" s="30"/>
      <c r="AF21" s="30"/>
      <c r="AG21" s="30"/>
      <c r="AH21" s="49"/>
    </row>
    <row r="22">
      <c r="A22" s="49"/>
      <c r="B22" s="49"/>
      <c r="C22" s="49"/>
      <c r="D22" s="49"/>
      <c r="E22" s="116" t="s">
        <v>83</v>
      </c>
      <c r="F22" s="117" t="s">
        <v>73</v>
      </c>
      <c r="G22" s="118"/>
      <c r="H22" s="119"/>
      <c r="I22" s="118"/>
      <c r="J22" s="118"/>
      <c r="K22" s="118"/>
      <c r="L22" s="50"/>
      <c r="M22" s="120"/>
      <c r="N22" s="88"/>
      <c r="O22" s="88"/>
      <c r="P22" s="88"/>
      <c r="Q22" s="89"/>
      <c r="R22" s="107"/>
      <c r="S22" s="107"/>
      <c r="T22" s="107"/>
      <c r="U22" s="107"/>
      <c r="V22" s="107"/>
      <c r="W22" s="64"/>
      <c r="X22" s="99"/>
      <c r="Y22" s="100"/>
      <c r="Z22" s="49"/>
      <c r="AA22" s="93"/>
      <c r="AB22" s="94"/>
      <c r="AC22" s="30"/>
      <c r="AD22" s="30"/>
      <c r="AE22" s="30"/>
      <c r="AF22" s="30"/>
      <c r="AG22" s="30"/>
      <c r="AH22" s="49"/>
    </row>
    <row r="23">
      <c r="A23" s="49"/>
      <c r="B23" s="49"/>
      <c r="C23" s="49"/>
      <c r="D23" s="49"/>
      <c r="E23" s="116" t="s">
        <v>84</v>
      </c>
      <c r="F23" s="117" t="s">
        <v>73</v>
      </c>
      <c r="G23" s="118"/>
      <c r="H23" s="119"/>
      <c r="I23" s="118"/>
      <c r="J23" s="118"/>
      <c r="K23" s="118"/>
      <c r="L23" s="50"/>
      <c r="M23" s="120"/>
      <c r="N23" s="88"/>
      <c r="O23" s="88"/>
      <c r="P23" s="88"/>
      <c r="Q23" s="89"/>
      <c r="R23" s="107"/>
      <c r="S23" s="107"/>
      <c r="T23" s="107"/>
      <c r="U23" s="107"/>
      <c r="V23" s="107"/>
      <c r="W23" s="64"/>
      <c r="X23" s="99"/>
      <c r="Y23" s="100"/>
      <c r="Z23" s="49"/>
      <c r="AA23" s="93"/>
      <c r="AB23" s="94"/>
      <c r="AC23" s="30"/>
      <c r="AD23" s="30"/>
      <c r="AE23" s="30"/>
      <c r="AF23" s="30"/>
      <c r="AG23" s="30"/>
      <c r="AH23" s="49"/>
    </row>
    <row r="24">
      <c r="A24" s="49"/>
      <c r="B24" s="49"/>
      <c r="C24" s="49"/>
      <c r="D24" s="49"/>
      <c r="E24" s="116" t="s">
        <v>85</v>
      </c>
      <c r="F24" s="117" t="s">
        <v>73</v>
      </c>
      <c r="G24" s="118"/>
      <c r="H24" s="119"/>
      <c r="I24" s="118"/>
      <c r="J24" s="118"/>
      <c r="K24" s="118"/>
      <c r="L24" s="50"/>
      <c r="M24" s="120"/>
      <c r="N24" s="88"/>
      <c r="O24" s="88"/>
      <c r="P24" s="88"/>
      <c r="Q24" s="89"/>
      <c r="R24" s="107"/>
      <c r="S24" s="107"/>
      <c r="T24" s="107"/>
      <c r="U24" s="107"/>
      <c r="V24" s="107"/>
      <c r="W24" s="64"/>
      <c r="X24" s="99"/>
      <c r="Y24" s="100"/>
      <c r="Z24" s="49"/>
      <c r="AA24" s="93"/>
      <c r="AB24" s="94"/>
      <c r="AC24" s="30"/>
      <c r="AD24" s="30"/>
      <c r="AE24" s="30"/>
      <c r="AF24" s="30"/>
      <c r="AG24" s="30"/>
      <c r="AH24" s="49"/>
    </row>
    <row r="25">
      <c r="A25" s="49"/>
      <c r="B25" s="49"/>
      <c r="C25" s="49"/>
      <c r="D25" s="49"/>
      <c r="E25" s="116" t="s">
        <v>86</v>
      </c>
      <c r="F25" s="117" t="s">
        <v>73</v>
      </c>
      <c r="G25" s="118"/>
      <c r="H25" s="119"/>
      <c r="I25" s="118"/>
      <c r="J25" s="118"/>
      <c r="K25" s="118"/>
      <c r="L25" s="50"/>
      <c r="M25" s="120"/>
      <c r="N25" s="88"/>
      <c r="O25" s="88"/>
      <c r="P25" s="88"/>
      <c r="Q25" s="89"/>
      <c r="R25" s="107"/>
      <c r="S25" s="107"/>
      <c r="T25" s="107"/>
      <c r="U25" s="107"/>
      <c r="V25" s="107"/>
      <c r="W25" s="64"/>
      <c r="X25" s="99"/>
      <c r="Y25" s="100"/>
      <c r="Z25" s="49"/>
      <c r="AA25" s="93"/>
      <c r="AB25" s="94"/>
      <c r="AC25" s="30"/>
      <c r="AD25" s="30"/>
      <c r="AE25" s="30"/>
      <c r="AF25" s="30"/>
      <c r="AG25" s="30"/>
      <c r="AH25" s="49"/>
    </row>
    <row r="26">
      <c r="A26" s="49"/>
      <c r="B26" s="49"/>
      <c r="C26" s="49"/>
      <c r="D26" s="49"/>
      <c r="E26" s="111" t="s">
        <v>87</v>
      </c>
      <c r="F26" s="117" t="s">
        <v>73</v>
      </c>
      <c r="G26" s="118"/>
      <c r="H26" s="119"/>
      <c r="I26" s="118"/>
      <c r="J26" s="118"/>
      <c r="K26" s="118"/>
      <c r="L26" s="50"/>
      <c r="M26" s="120"/>
      <c r="N26" s="88"/>
      <c r="O26" s="88"/>
      <c r="P26" s="88"/>
      <c r="Q26" s="89"/>
      <c r="R26" s="107"/>
      <c r="S26" s="107"/>
      <c r="T26" s="107"/>
      <c r="U26" s="107"/>
      <c r="V26" s="107"/>
      <c r="W26" s="64"/>
      <c r="X26" s="99"/>
      <c r="Y26" s="100"/>
      <c r="Z26" s="49"/>
      <c r="AA26" s="93"/>
      <c r="AB26" s="94"/>
      <c r="AC26" s="30"/>
      <c r="AD26" s="30"/>
      <c r="AE26" s="30"/>
      <c r="AF26" s="30"/>
      <c r="AG26" s="30"/>
      <c r="AH26" s="49"/>
    </row>
    <row r="27">
      <c r="A27" s="49"/>
      <c r="B27" s="49"/>
      <c r="C27" s="49"/>
      <c r="D27" s="49"/>
      <c r="E27" s="116" t="s">
        <v>88</v>
      </c>
      <c r="F27" s="117" t="s">
        <v>73</v>
      </c>
      <c r="G27" s="118"/>
      <c r="H27" s="119"/>
      <c r="I27" s="118"/>
      <c r="J27" s="118"/>
      <c r="K27" s="118"/>
      <c r="L27" s="50"/>
      <c r="M27" s="120"/>
      <c r="N27" s="88"/>
      <c r="O27" s="88"/>
      <c r="P27" s="88"/>
      <c r="Q27" s="89"/>
      <c r="R27" s="107"/>
      <c r="S27" s="107"/>
      <c r="T27" s="107"/>
      <c r="U27" s="107"/>
      <c r="V27" s="107"/>
      <c r="W27" s="64"/>
      <c r="X27" s="99"/>
      <c r="Y27" s="100"/>
      <c r="Z27" s="49"/>
      <c r="AA27" s="93"/>
      <c r="AB27" s="94"/>
      <c r="AC27" s="30"/>
      <c r="AD27" s="30"/>
      <c r="AE27" s="30"/>
      <c r="AF27" s="30"/>
      <c r="AG27" s="30"/>
      <c r="AH27" s="49"/>
    </row>
    <row r="28">
      <c r="A28" s="49"/>
      <c r="B28" s="49"/>
      <c r="C28" s="49"/>
      <c r="D28" s="49"/>
      <c r="E28" s="116" t="s">
        <v>89</v>
      </c>
      <c r="F28" s="117" t="s">
        <v>73</v>
      </c>
      <c r="G28" s="118"/>
      <c r="H28" s="119"/>
      <c r="I28" s="118"/>
      <c r="J28" s="118"/>
      <c r="K28" s="118"/>
      <c r="L28" s="50"/>
      <c r="M28" s="120"/>
      <c r="N28" s="88"/>
      <c r="O28" s="88"/>
      <c r="P28" s="88"/>
      <c r="Q28" s="89"/>
      <c r="R28" s="107"/>
      <c r="S28" s="107"/>
      <c r="T28" s="107"/>
      <c r="U28" s="107"/>
      <c r="V28" s="107"/>
      <c r="W28" s="64"/>
      <c r="X28" s="99"/>
      <c r="Y28" s="100"/>
      <c r="Z28" s="49"/>
      <c r="AA28" s="93"/>
      <c r="AB28" s="94"/>
      <c r="AC28" s="30"/>
      <c r="AD28" s="30"/>
      <c r="AE28" s="30"/>
      <c r="AF28" s="30"/>
      <c r="AG28" s="30"/>
      <c r="AH28" s="49"/>
    </row>
    <row r="29">
      <c r="A29" s="49"/>
      <c r="B29" s="49"/>
      <c r="C29" s="49"/>
      <c r="D29" s="49"/>
      <c r="E29" s="116" t="s">
        <v>90</v>
      </c>
      <c r="F29" s="117" t="s">
        <v>73</v>
      </c>
      <c r="G29" s="118"/>
      <c r="H29" s="119"/>
      <c r="I29" s="118"/>
      <c r="J29" s="118"/>
      <c r="K29" s="118"/>
      <c r="L29" s="50"/>
      <c r="M29" s="120"/>
      <c r="N29" s="88"/>
      <c r="O29" s="88"/>
      <c r="P29" s="88"/>
      <c r="Q29" s="89"/>
      <c r="R29" s="107"/>
      <c r="S29" s="107"/>
      <c r="T29" s="107"/>
      <c r="U29" s="107"/>
      <c r="V29" s="107"/>
      <c r="W29" s="64"/>
      <c r="X29" s="99"/>
      <c r="Y29" s="100"/>
      <c r="Z29" s="49"/>
      <c r="AA29" s="93"/>
      <c r="AB29" s="94"/>
      <c r="AC29" s="30"/>
      <c r="AD29" s="30"/>
      <c r="AE29" s="30"/>
      <c r="AF29" s="30"/>
      <c r="AG29" s="30"/>
      <c r="AH29" s="49"/>
    </row>
    <row r="30">
      <c r="A30" s="49"/>
      <c r="B30" s="49"/>
      <c r="C30" s="49"/>
      <c r="D30" s="49"/>
      <c r="E30" s="111" t="s">
        <v>91</v>
      </c>
      <c r="F30" s="117" t="s">
        <v>73</v>
      </c>
      <c r="G30" s="118"/>
      <c r="H30" s="119"/>
      <c r="I30" s="118"/>
      <c r="J30" s="118"/>
      <c r="K30" s="118"/>
      <c r="L30" s="50"/>
      <c r="M30" s="120"/>
      <c r="N30" s="88"/>
      <c r="O30" s="88"/>
      <c r="P30" s="88"/>
      <c r="Q30" s="89"/>
      <c r="R30" s="107"/>
      <c r="S30" s="107"/>
      <c r="T30" s="107"/>
      <c r="U30" s="107"/>
      <c r="V30" s="107"/>
      <c r="W30" s="64"/>
      <c r="X30" s="99"/>
      <c r="Y30" s="100"/>
      <c r="Z30" s="49"/>
      <c r="AA30" s="93"/>
      <c r="AB30" s="94"/>
      <c r="AC30" s="30"/>
      <c r="AD30" s="30"/>
      <c r="AE30" s="30"/>
      <c r="AF30" s="30"/>
      <c r="AG30" s="30"/>
      <c r="AH30" s="49"/>
    </row>
    <row r="31">
      <c r="A31" s="49"/>
      <c r="B31" s="49"/>
      <c r="C31" s="49"/>
      <c r="D31" s="49"/>
      <c r="E31" s="116" t="s">
        <v>92</v>
      </c>
      <c r="F31" s="117" t="s">
        <v>73</v>
      </c>
      <c r="G31" s="118"/>
      <c r="H31" s="119"/>
      <c r="I31" s="118"/>
      <c r="J31" s="118"/>
      <c r="K31" s="118"/>
      <c r="L31" s="50"/>
      <c r="M31" s="120"/>
      <c r="N31" s="88"/>
      <c r="O31" s="88"/>
      <c r="P31" s="88"/>
      <c r="Q31" s="89"/>
      <c r="R31" s="107"/>
      <c r="S31" s="107"/>
      <c r="T31" s="107"/>
      <c r="U31" s="107"/>
      <c r="V31" s="107"/>
      <c r="W31" s="64"/>
      <c r="X31" s="99"/>
      <c r="Y31" s="100"/>
      <c r="Z31" s="49"/>
      <c r="AA31" s="93"/>
      <c r="AB31" s="94"/>
      <c r="AC31" s="30"/>
      <c r="AD31" s="30"/>
      <c r="AE31" s="30"/>
      <c r="AF31" s="30"/>
      <c r="AG31" s="30"/>
      <c r="AH31" s="49"/>
    </row>
    <row r="32">
      <c r="A32" s="49"/>
      <c r="B32" s="49"/>
      <c r="C32" s="49"/>
      <c r="D32" s="49"/>
      <c r="E32" s="116" t="s">
        <v>93</v>
      </c>
      <c r="F32" s="117" t="s">
        <v>73</v>
      </c>
      <c r="G32" s="118"/>
      <c r="H32" s="119"/>
      <c r="I32" s="118"/>
      <c r="J32" s="118"/>
      <c r="K32" s="118"/>
      <c r="L32" s="50"/>
      <c r="M32" s="120"/>
      <c r="N32" s="88"/>
      <c r="O32" s="88"/>
      <c r="P32" s="88"/>
      <c r="Q32" s="89"/>
      <c r="R32" s="107"/>
      <c r="S32" s="107"/>
      <c r="T32" s="107"/>
      <c r="U32" s="107"/>
      <c r="V32" s="107"/>
      <c r="W32" s="64"/>
      <c r="X32" s="99"/>
      <c r="Y32" s="100"/>
      <c r="Z32" s="49"/>
      <c r="AA32" s="93"/>
      <c r="AB32" s="94"/>
      <c r="AC32" s="30"/>
      <c r="AD32" s="30"/>
      <c r="AE32" s="30"/>
      <c r="AF32" s="30"/>
      <c r="AG32" s="30"/>
      <c r="AH32" s="49"/>
    </row>
    <row r="33">
      <c r="A33" s="49"/>
      <c r="B33" s="49"/>
      <c r="C33" s="49"/>
      <c r="D33" s="49"/>
      <c r="E33" s="116" t="s">
        <v>94</v>
      </c>
      <c r="F33" s="117" t="s">
        <v>73</v>
      </c>
      <c r="G33" s="118"/>
      <c r="H33" s="119"/>
      <c r="I33" s="118"/>
      <c r="J33" s="118"/>
      <c r="K33" s="118"/>
      <c r="L33" s="50"/>
      <c r="M33" s="120"/>
      <c r="N33" s="88"/>
      <c r="O33" s="88"/>
      <c r="P33" s="88"/>
      <c r="Q33" s="89"/>
      <c r="R33" s="107"/>
      <c r="S33" s="107"/>
      <c r="T33" s="107"/>
      <c r="U33" s="107"/>
      <c r="V33" s="107"/>
      <c r="W33" s="64"/>
      <c r="X33" s="99"/>
      <c r="Y33" s="100"/>
      <c r="Z33" s="49"/>
      <c r="AA33" s="93"/>
      <c r="AB33" s="94"/>
      <c r="AC33" s="30"/>
      <c r="AD33" s="30"/>
      <c r="AE33" s="30"/>
      <c r="AF33" s="30"/>
      <c r="AG33" s="30"/>
      <c r="AH33" s="49"/>
    </row>
    <row r="34">
      <c r="A34" s="49"/>
      <c r="B34" s="49"/>
      <c r="C34" s="49"/>
      <c r="D34" s="49"/>
      <c r="E34" s="116" t="s">
        <v>95</v>
      </c>
      <c r="F34" s="117" t="s">
        <v>73</v>
      </c>
      <c r="G34" s="118"/>
      <c r="H34" s="119"/>
      <c r="I34" s="118"/>
      <c r="J34" s="118"/>
      <c r="K34" s="118"/>
      <c r="L34" s="50"/>
      <c r="M34" s="120"/>
      <c r="N34" s="88"/>
      <c r="O34" s="88"/>
      <c r="P34" s="88"/>
      <c r="Q34" s="89"/>
      <c r="R34" s="107"/>
      <c r="S34" s="107"/>
      <c r="T34" s="107"/>
      <c r="U34" s="107"/>
      <c r="V34" s="107"/>
      <c r="W34" s="64"/>
      <c r="X34" s="99"/>
      <c r="Y34" s="100"/>
      <c r="Z34" s="49"/>
      <c r="AA34" s="93"/>
      <c r="AB34" s="94"/>
      <c r="AC34" s="30"/>
      <c r="AD34" s="30"/>
      <c r="AE34" s="30"/>
      <c r="AF34" s="30"/>
      <c r="AG34" s="30"/>
      <c r="AH34" s="49"/>
    </row>
    <row r="35">
      <c r="A35" s="49"/>
      <c r="B35" s="49"/>
      <c r="C35" s="49"/>
      <c r="D35" s="49"/>
      <c r="E35" s="111" t="s">
        <v>96</v>
      </c>
      <c r="F35" s="117" t="s">
        <v>73</v>
      </c>
      <c r="G35" s="118"/>
      <c r="H35" s="119"/>
      <c r="I35" s="118"/>
      <c r="J35" s="118"/>
      <c r="K35" s="118"/>
      <c r="L35" s="50"/>
      <c r="M35" s="120"/>
      <c r="N35" s="88"/>
      <c r="O35" s="88"/>
      <c r="P35" s="88"/>
      <c r="Q35" s="89"/>
      <c r="R35" s="107"/>
      <c r="S35" s="107"/>
      <c r="T35" s="107"/>
      <c r="U35" s="107"/>
      <c r="V35" s="107"/>
      <c r="W35" s="64"/>
      <c r="X35" s="99"/>
      <c r="Y35" s="100"/>
      <c r="Z35" s="49"/>
      <c r="AA35" s="93"/>
      <c r="AB35" s="94"/>
      <c r="AC35" s="30"/>
      <c r="AD35" s="30"/>
      <c r="AE35" s="30"/>
      <c r="AF35" s="30"/>
      <c r="AG35" s="30"/>
      <c r="AH35" s="49"/>
    </row>
    <row r="36">
      <c r="A36" s="49"/>
      <c r="B36" s="49"/>
      <c r="C36" s="49"/>
      <c r="D36" s="49"/>
      <c r="E36" s="116" t="s">
        <v>97</v>
      </c>
      <c r="F36" s="117" t="s">
        <v>73</v>
      </c>
      <c r="G36" s="118"/>
      <c r="H36" s="119"/>
      <c r="I36" s="118"/>
      <c r="J36" s="118"/>
      <c r="K36" s="118"/>
      <c r="L36" s="50"/>
      <c r="M36" s="120"/>
      <c r="N36" s="88"/>
      <c r="O36" s="88"/>
      <c r="P36" s="88"/>
      <c r="Q36" s="89"/>
      <c r="R36" s="107"/>
      <c r="S36" s="107"/>
      <c r="T36" s="107"/>
      <c r="U36" s="107"/>
      <c r="V36" s="107"/>
      <c r="W36" s="64"/>
      <c r="X36" s="99"/>
      <c r="Y36" s="100"/>
      <c r="Z36" s="49"/>
      <c r="AA36" s="93"/>
      <c r="AB36" s="94"/>
      <c r="AC36" s="30"/>
      <c r="AD36" s="30"/>
      <c r="AE36" s="30"/>
      <c r="AF36" s="30"/>
      <c r="AG36" s="30"/>
      <c r="AH36" s="49"/>
    </row>
    <row r="37">
      <c r="A37" s="49"/>
      <c r="B37" s="49"/>
      <c r="C37" s="49"/>
      <c r="D37" s="49"/>
      <c r="E37" s="116" t="s">
        <v>98</v>
      </c>
      <c r="F37" s="117" t="s">
        <v>73</v>
      </c>
      <c r="G37" s="118"/>
      <c r="H37" s="119"/>
      <c r="I37" s="118"/>
      <c r="J37" s="118"/>
      <c r="K37" s="118"/>
      <c r="L37" s="50"/>
      <c r="M37" s="120"/>
      <c r="N37" s="88"/>
      <c r="O37" s="88"/>
      <c r="P37" s="88"/>
      <c r="Q37" s="89"/>
      <c r="R37" s="107"/>
      <c r="S37" s="107"/>
      <c r="T37" s="107"/>
      <c r="U37" s="107"/>
      <c r="V37" s="107"/>
      <c r="W37" s="64"/>
      <c r="X37" s="99"/>
      <c r="Y37" s="100"/>
      <c r="Z37" s="49"/>
      <c r="AA37" s="93"/>
      <c r="AB37" s="94"/>
      <c r="AC37" s="30"/>
      <c r="AD37" s="30"/>
      <c r="AE37" s="30"/>
      <c r="AF37" s="30"/>
      <c r="AG37" s="30"/>
      <c r="AH37" s="49"/>
    </row>
    <row r="38">
      <c r="A38" s="49"/>
      <c r="B38" s="49"/>
      <c r="C38" s="49"/>
      <c r="D38" s="49"/>
      <c r="E38" s="111" t="s">
        <v>99</v>
      </c>
      <c r="F38" s="117" t="s">
        <v>73</v>
      </c>
      <c r="G38" s="118"/>
      <c r="H38" s="119"/>
      <c r="I38" s="118"/>
      <c r="J38" s="118"/>
      <c r="K38" s="118"/>
      <c r="L38" s="50"/>
      <c r="M38" s="120"/>
      <c r="N38" s="88"/>
      <c r="O38" s="88"/>
      <c r="P38" s="88"/>
      <c r="Q38" s="89"/>
      <c r="R38" s="107"/>
      <c r="S38" s="107"/>
      <c r="T38" s="107"/>
      <c r="U38" s="107"/>
      <c r="V38" s="107"/>
      <c r="W38" s="64"/>
      <c r="X38" s="99"/>
      <c r="Y38" s="100"/>
      <c r="Z38" s="49"/>
      <c r="AA38" s="93"/>
      <c r="AB38" s="94"/>
      <c r="AC38" s="30"/>
      <c r="AD38" s="30"/>
      <c r="AE38" s="30"/>
      <c r="AF38" s="30"/>
      <c r="AG38" s="30"/>
      <c r="AH38" s="49"/>
    </row>
    <row r="39">
      <c r="A39" s="49"/>
      <c r="B39" s="49"/>
      <c r="C39" s="49"/>
      <c r="D39" s="49"/>
      <c r="E39" s="116" t="s">
        <v>100</v>
      </c>
      <c r="F39" s="117" t="s">
        <v>73</v>
      </c>
      <c r="G39" s="118"/>
      <c r="H39" s="119"/>
      <c r="I39" s="118"/>
      <c r="J39" s="118"/>
      <c r="K39" s="118"/>
      <c r="L39" s="50"/>
      <c r="M39" s="120"/>
      <c r="N39" s="88"/>
      <c r="O39" s="88"/>
      <c r="P39" s="88"/>
      <c r="Q39" s="89"/>
      <c r="R39" s="107"/>
      <c r="S39" s="107"/>
      <c r="T39" s="107"/>
      <c r="U39" s="107"/>
      <c r="V39" s="107"/>
      <c r="W39" s="64"/>
      <c r="X39" s="99"/>
      <c r="Y39" s="100"/>
      <c r="Z39" s="49"/>
      <c r="AA39" s="93"/>
      <c r="AB39" s="94"/>
      <c r="AC39" s="30"/>
      <c r="AD39" s="30"/>
      <c r="AE39" s="30"/>
      <c r="AF39" s="30"/>
      <c r="AG39" s="30"/>
      <c r="AH39" s="49"/>
    </row>
    <row r="40">
      <c r="A40" s="49"/>
      <c r="B40" s="49"/>
      <c r="C40" s="49"/>
      <c r="D40" s="49"/>
      <c r="E40" s="116" t="s">
        <v>101</v>
      </c>
      <c r="F40" s="117" t="s">
        <v>73</v>
      </c>
      <c r="G40" s="118"/>
      <c r="H40" s="119"/>
      <c r="I40" s="118"/>
      <c r="J40" s="118"/>
      <c r="K40" s="118"/>
      <c r="L40" s="50"/>
      <c r="M40" s="120"/>
      <c r="N40" s="88"/>
      <c r="O40" s="88"/>
      <c r="P40" s="88"/>
      <c r="Q40" s="89"/>
      <c r="R40" s="107"/>
      <c r="S40" s="107"/>
      <c r="T40" s="107"/>
      <c r="U40" s="107"/>
      <c r="V40" s="107"/>
      <c r="W40" s="64"/>
      <c r="X40" s="99"/>
      <c r="Y40" s="100"/>
      <c r="Z40" s="49"/>
      <c r="AA40" s="93"/>
      <c r="AB40" s="94"/>
      <c r="AC40" s="30"/>
      <c r="AD40" s="30"/>
      <c r="AE40" s="30"/>
      <c r="AF40" s="30"/>
      <c r="AG40" s="30"/>
      <c r="AH40" s="49"/>
    </row>
    <row r="41">
      <c r="A41" s="49"/>
      <c r="B41" s="49"/>
      <c r="C41" s="49"/>
      <c r="D41" s="49"/>
      <c r="E41" s="122" t="s">
        <v>102</v>
      </c>
      <c r="F41" s="117"/>
      <c r="G41" s="118"/>
      <c r="H41" s="119"/>
      <c r="I41" s="118"/>
      <c r="J41" s="118"/>
      <c r="K41" s="118"/>
      <c r="L41" s="50"/>
      <c r="M41" s="120"/>
      <c r="N41" s="88"/>
      <c r="O41" s="88"/>
      <c r="P41" s="88"/>
      <c r="Q41" s="89"/>
      <c r="R41" s="107"/>
      <c r="S41" s="107"/>
      <c r="T41" s="107"/>
      <c r="U41" s="107"/>
      <c r="V41" s="107"/>
      <c r="W41" s="64"/>
      <c r="X41" s="99"/>
      <c r="Y41" s="100"/>
      <c r="Z41" s="49"/>
      <c r="AA41" s="93"/>
      <c r="AB41" s="94"/>
      <c r="AC41" s="30"/>
      <c r="AD41" s="30"/>
      <c r="AE41" s="30"/>
      <c r="AF41" s="30"/>
      <c r="AG41" s="30"/>
      <c r="AH41" s="49"/>
    </row>
    <row r="42">
      <c r="A42" s="49"/>
      <c r="B42" s="49"/>
      <c r="C42" s="49"/>
      <c r="D42" s="49"/>
      <c r="E42" s="123" t="s">
        <v>42</v>
      </c>
      <c r="F42" s="117" t="s">
        <v>73</v>
      </c>
      <c r="G42" s="118"/>
      <c r="H42" s="124"/>
      <c r="I42" s="118"/>
      <c r="J42" s="121"/>
      <c r="K42" s="125"/>
      <c r="L42" s="50"/>
      <c r="M42" s="120"/>
      <c r="N42" s="88"/>
      <c r="O42" s="88"/>
      <c r="P42" s="88"/>
      <c r="Q42" s="89"/>
      <c r="R42" s="90"/>
      <c r="S42" s="107"/>
      <c r="T42" s="107"/>
      <c r="U42" s="107"/>
      <c r="V42" s="107"/>
      <c r="W42" s="64"/>
      <c r="X42" s="99"/>
      <c r="Y42" s="100"/>
      <c r="Z42" s="49"/>
      <c r="AA42" s="93"/>
      <c r="AB42" s="94"/>
      <c r="AC42" s="30"/>
      <c r="AD42" s="30"/>
      <c r="AE42" s="30"/>
      <c r="AF42" s="30"/>
      <c r="AG42" s="30"/>
      <c r="AH42" s="49"/>
    </row>
    <row r="43">
      <c r="A43" s="49"/>
      <c r="B43" s="49"/>
      <c r="C43" s="49"/>
      <c r="D43" s="49"/>
      <c r="E43" s="123" t="s">
        <v>41</v>
      </c>
      <c r="F43" s="117" t="s">
        <v>73</v>
      </c>
      <c r="G43" s="118"/>
      <c r="H43" s="119"/>
      <c r="I43" s="121"/>
      <c r="J43" s="125"/>
      <c r="K43" s="125"/>
      <c r="L43" s="50"/>
      <c r="M43" s="120"/>
      <c r="N43" s="88"/>
      <c r="O43" s="88"/>
      <c r="P43" s="88"/>
      <c r="Q43" s="89"/>
      <c r="R43" s="107"/>
      <c r="S43" s="107"/>
      <c r="T43" s="107"/>
      <c r="U43" s="107"/>
      <c r="V43" s="107"/>
      <c r="W43" s="64"/>
      <c r="X43" s="99"/>
      <c r="Y43" s="100"/>
      <c r="Z43" s="49"/>
      <c r="AA43" s="93"/>
      <c r="AB43" s="94"/>
      <c r="AC43" s="30"/>
      <c r="AD43" s="30"/>
      <c r="AE43" s="30"/>
      <c r="AF43" s="30"/>
      <c r="AG43" s="30"/>
      <c r="AH43" s="49"/>
    </row>
    <row r="44">
      <c r="A44" s="49"/>
      <c r="B44" s="49"/>
      <c r="C44" s="49"/>
      <c r="D44" s="49"/>
      <c r="E44" s="123" t="s">
        <v>39</v>
      </c>
      <c r="F44" s="117" t="s">
        <v>73</v>
      </c>
      <c r="G44" s="118"/>
      <c r="H44" s="124"/>
      <c r="I44" s="118"/>
      <c r="J44" s="121"/>
      <c r="K44" s="125"/>
      <c r="L44" s="50"/>
      <c r="M44" s="120"/>
      <c r="N44" s="88"/>
      <c r="O44" s="88"/>
      <c r="P44" s="88"/>
      <c r="Q44" s="89"/>
      <c r="R44" s="90"/>
      <c r="S44" s="107"/>
      <c r="T44" s="107"/>
      <c r="U44" s="107"/>
      <c r="V44" s="107"/>
      <c r="W44" s="64"/>
      <c r="X44" s="99"/>
      <c r="Y44" s="100"/>
      <c r="Z44" s="49"/>
      <c r="AA44" s="93"/>
      <c r="AB44" s="94"/>
      <c r="AC44" s="30"/>
      <c r="AD44" s="30"/>
      <c r="AE44" s="30"/>
      <c r="AF44" s="30"/>
      <c r="AG44" s="30"/>
      <c r="AH44" s="49"/>
    </row>
    <row r="45">
      <c r="A45" s="49"/>
      <c r="B45" s="49"/>
      <c r="C45" s="49"/>
      <c r="D45" s="49"/>
      <c r="E45" s="123" t="s">
        <v>44</v>
      </c>
      <c r="F45" s="117" t="s">
        <v>73</v>
      </c>
      <c r="G45" s="118"/>
      <c r="H45" s="124"/>
      <c r="I45" s="118"/>
      <c r="J45" s="125"/>
      <c r="K45" s="125"/>
      <c r="L45" s="50"/>
      <c r="M45" s="120"/>
      <c r="N45" s="88"/>
      <c r="O45" s="88"/>
      <c r="P45" s="88"/>
      <c r="Q45" s="89"/>
      <c r="R45" s="90"/>
      <c r="S45" s="107"/>
      <c r="T45" s="107"/>
      <c r="U45" s="107"/>
      <c r="V45" s="107"/>
      <c r="W45" s="64"/>
      <c r="X45" s="99"/>
      <c r="Y45" s="100"/>
      <c r="Z45" s="49"/>
      <c r="AA45" s="93"/>
      <c r="AB45" s="94"/>
      <c r="AC45" s="30"/>
      <c r="AD45" s="30"/>
      <c r="AE45" s="30"/>
      <c r="AF45" s="30"/>
      <c r="AG45" s="30"/>
      <c r="AH45" s="49"/>
    </row>
    <row r="46">
      <c r="A46" s="49"/>
      <c r="B46" s="49"/>
      <c r="C46" s="49"/>
      <c r="D46" s="49"/>
      <c r="E46" s="126" t="s">
        <v>103</v>
      </c>
      <c r="F46" s="117"/>
      <c r="G46" s="118"/>
      <c r="H46" s="124"/>
      <c r="I46" s="121"/>
      <c r="J46" s="125"/>
      <c r="K46" s="125"/>
      <c r="L46" s="50"/>
      <c r="M46" s="120"/>
      <c r="N46" s="88"/>
      <c r="O46" s="88"/>
      <c r="P46" s="88"/>
      <c r="Q46" s="89"/>
      <c r="R46" s="107"/>
      <c r="S46" s="107"/>
      <c r="T46" s="107"/>
      <c r="U46" s="107"/>
      <c r="V46" s="107"/>
      <c r="W46" s="64"/>
      <c r="X46" s="99"/>
      <c r="Y46" s="100"/>
      <c r="Z46" s="49"/>
      <c r="AA46" s="93"/>
      <c r="AB46" s="94"/>
      <c r="AC46" s="30"/>
      <c r="AD46" s="30"/>
      <c r="AE46" s="30"/>
      <c r="AF46" s="30"/>
      <c r="AG46" s="30"/>
      <c r="AH46" s="49"/>
    </row>
    <row r="47">
      <c r="A47" s="49"/>
      <c r="B47" s="49"/>
      <c r="C47" s="49"/>
      <c r="D47" s="49"/>
      <c r="E47" s="126" t="s">
        <v>104</v>
      </c>
      <c r="F47" s="117" t="s">
        <v>105</v>
      </c>
      <c r="G47" s="118"/>
      <c r="H47" s="124"/>
      <c r="I47" s="118"/>
      <c r="J47" s="125"/>
      <c r="K47" s="125"/>
      <c r="L47" s="50"/>
      <c r="M47" s="120"/>
      <c r="N47" s="88"/>
      <c r="O47" s="88"/>
      <c r="P47" s="88"/>
      <c r="Q47" s="89"/>
      <c r="R47" s="107"/>
      <c r="S47" s="107"/>
      <c r="T47" s="107"/>
      <c r="U47" s="107"/>
      <c r="V47" s="107"/>
      <c r="W47" s="64"/>
      <c r="X47" s="99"/>
      <c r="Y47" s="100"/>
      <c r="Z47" s="49"/>
      <c r="AA47" s="93"/>
      <c r="AB47" s="94"/>
      <c r="AC47" s="30"/>
      <c r="AD47" s="30"/>
      <c r="AE47" s="30"/>
      <c r="AF47" s="30"/>
      <c r="AG47" s="30"/>
      <c r="AH47" s="49"/>
    </row>
    <row r="48">
      <c r="A48" s="49"/>
      <c r="B48" s="49"/>
      <c r="C48" s="49"/>
      <c r="D48" s="49"/>
      <c r="E48" s="126" t="s">
        <v>106</v>
      </c>
      <c r="F48" s="117" t="s">
        <v>105</v>
      </c>
      <c r="G48" s="118"/>
      <c r="H48" s="124"/>
      <c r="I48" s="118"/>
      <c r="J48" s="125"/>
      <c r="K48" s="125"/>
      <c r="L48" s="50"/>
      <c r="M48" s="120"/>
      <c r="N48" s="88"/>
      <c r="O48" s="88"/>
      <c r="P48" s="88"/>
      <c r="Q48" s="89"/>
      <c r="R48" s="107"/>
      <c r="S48" s="107"/>
      <c r="T48" s="107"/>
      <c r="U48" s="107"/>
      <c r="V48" s="107"/>
      <c r="W48" s="64"/>
      <c r="X48" s="99"/>
      <c r="Y48" s="100"/>
      <c r="Z48" s="49"/>
      <c r="AA48" s="93"/>
      <c r="AB48" s="94"/>
      <c r="AC48" s="30"/>
      <c r="AD48" s="30"/>
      <c r="AE48" s="30"/>
      <c r="AF48" s="30"/>
      <c r="AG48" s="30"/>
      <c r="AH48" s="49"/>
    </row>
    <row r="49">
      <c r="A49" s="49"/>
      <c r="B49" s="49"/>
      <c r="C49" s="110"/>
      <c r="D49" s="110"/>
      <c r="E49" s="127" t="s">
        <v>107</v>
      </c>
      <c r="F49" s="128"/>
      <c r="G49" s="129"/>
      <c r="H49" s="130"/>
      <c r="I49" s="129"/>
      <c r="J49" s="129"/>
      <c r="K49" s="129"/>
      <c r="L49" s="50"/>
      <c r="M49" s="129"/>
      <c r="N49" s="129"/>
      <c r="O49" s="129"/>
      <c r="P49" s="129"/>
      <c r="Q49" s="89"/>
      <c r="R49" s="107"/>
      <c r="S49" s="107"/>
      <c r="T49" s="107"/>
      <c r="U49" s="107"/>
      <c r="V49" s="107"/>
      <c r="W49" s="64"/>
      <c r="X49" s="99"/>
      <c r="Y49" s="100"/>
      <c r="Z49" s="49"/>
      <c r="AA49" s="93"/>
      <c r="AB49" s="94"/>
      <c r="AC49" s="30"/>
      <c r="AD49" s="30"/>
      <c r="AE49" s="30"/>
      <c r="AF49" s="30"/>
      <c r="AG49" s="30"/>
      <c r="AH49" s="49"/>
    </row>
    <row r="50">
      <c r="A50" s="49"/>
      <c r="B50" s="49"/>
      <c r="C50" s="49"/>
      <c r="D50" s="49"/>
      <c r="E50" s="131" t="s">
        <v>108</v>
      </c>
      <c r="F50" s="85" t="s">
        <v>109</v>
      </c>
      <c r="G50" s="86">
        <v>150000.0</v>
      </c>
      <c r="H50" s="105">
        <v>0.0</v>
      </c>
      <c r="I50" s="86">
        <f t="shared" ref="I50:I61" si="2">G50*H50</f>
        <v>0</v>
      </c>
      <c r="J50" s="106"/>
      <c r="K50" s="121"/>
      <c r="L50" s="50"/>
      <c r="M50" s="132">
        <f>I50/0.98</f>
        <v>0</v>
      </c>
      <c r="N50" s="88"/>
      <c r="O50" s="88"/>
      <c r="P50" s="121"/>
      <c r="Q50" s="89"/>
      <c r="R50" s="90"/>
      <c r="S50" s="90"/>
      <c r="T50" s="133"/>
      <c r="U50" s="134"/>
      <c r="V50" s="90"/>
      <c r="W50" s="64"/>
      <c r="X50" s="99"/>
      <c r="Y50" s="100"/>
      <c r="Z50" s="49"/>
      <c r="AA50" s="93"/>
      <c r="AB50" s="94"/>
      <c r="AC50" s="135"/>
      <c r="AD50" s="136"/>
      <c r="AE50" s="30"/>
      <c r="AF50" s="30"/>
      <c r="AG50" s="30"/>
      <c r="AH50" s="49"/>
    </row>
    <row r="51">
      <c r="A51" s="49"/>
      <c r="B51" s="49"/>
      <c r="C51" s="49"/>
      <c r="D51" s="49"/>
      <c r="E51" s="131" t="s">
        <v>110</v>
      </c>
      <c r="F51" s="85" t="s">
        <v>111</v>
      </c>
      <c r="G51" s="86">
        <v>108000.0</v>
      </c>
      <c r="H51" s="105">
        <v>0.0</v>
      </c>
      <c r="I51" s="86">
        <f t="shared" si="2"/>
        <v>0</v>
      </c>
      <c r="J51" s="106"/>
      <c r="K51" s="106"/>
      <c r="L51" s="50"/>
      <c r="M51" s="132">
        <f>I51/0.85</f>
        <v>0</v>
      </c>
      <c r="N51" s="88"/>
      <c r="O51" s="88"/>
      <c r="P51" s="88"/>
      <c r="Q51" s="89"/>
      <c r="R51" s="107"/>
      <c r="S51" s="107"/>
      <c r="T51" s="107"/>
      <c r="U51" s="107"/>
      <c r="V51" s="107"/>
      <c r="W51" s="64"/>
      <c r="X51" s="99"/>
      <c r="Y51" s="100"/>
      <c r="Z51" s="49"/>
      <c r="AA51" s="93"/>
      <c r="AB51" s="94"/>
      <c r="AC51" s="30"/>
      <c r="AD51" s="30"/>
      <c r="AE51" s="30"/>
      <c r="AF51" s="30"/>
      <c r="AG51" s="30"/>
      <c r="AH51" s="49"/>
    </row>
    <row r="52">
      <c r="A52" s="49"/>
      <c r="B52" s="49"/>
      <c r="C52" s="49"/>
      <c r="D52" s="49"/>
      <c r="E52" s="131" t="s">
        <v>112</v>
      </c>
      <c r="F52" s="85" t="s">
        <v>111</v>
      </c>
      <c r="G52" s="86">
        <v>45000.0</v>
      </c>
      <c r="H52" s="105">
        <v>0.0</v>
      </c>
      <c r="I52" s="86">
        <f t="shared" si="2"/>
        <v>0</v>
      </c>
      <c r="J52" s="106"/>
      <c r="K52" s="121"/>
      <c r="L52" s="50"/>
      <c r="M52" s="132">
        <f t="shared" ref="M52:M53" si="3">I52/0.6</f>
        <v>0</v>
      </c>
      <c r="N52" s="88"/>
      <c r="O52" s="88"/>
      <c r="P52" s="121"/>
      <c r="Q52" s="89"/>
      <c r="R52" s="107"/>
      <c r="S52" s="107"/>
      <c r="T52" s="107"/>
      <c r="U52" s="107"/>
      <c r="V52" s="107"/>
      <c r="W52" s="64"/>
      <c r="X52" s="99"/>
      <c r="Y52" s="100"/>
      <c r="Z52" s="49"/>
      <c r="AA52" s="93"/>
      <c r="AB52" s="94"/>
      <c r="AC52" s="30"/>
      <c r="AD52" s="30"/>
      <c r="AE52" s="30"/>
      <c r="AF52" s="30"/>
      <c r="AG52" s="30"/>
      <c r="AH52" s="49"/>
    </row>
    <row r="53">
      <c r="A53" s="49"/>
      <c r="B53" s="49"/>
      <c r="C53" s="49"/>
      <c r="D53" s="49"/>
      <c r="E53" s="131" t="s">
        <v>113</v>
      </c>
      <c r="F53" s="85" t="s">
        <v>71</v>
      </c>
      <c r="G53" s="86">
        <v>40000.0</v>
      </c>
      <c r="H53" s="105">
        <v>0.0</v>
      </c>
      <c r="I53" s="86">
        <f t="shared" si="2"/>
        <v>0</v>
      </c>
      <c r="J53" s="106"/>
      <c r="K53" s="121"/>
      <c r="L53" s="50"/>
      <c r="M53" s="132">
        <f t="shared" si="3"/>
        <v>0</v>
      </c>
      <c r="N53" s="88"/>
      <c r="O53" s="88"/>
      <c r="P53" s="121"/>
      <c r="Q53" s="89"/>
      <c r="R53" s="107"/>
      <c r="S53" s="107"/>
      <c r="T53" s="107"/>
      <c r="U53" s="107"/>
      <c r="V53" s="107"/>
      <c r="W53" s="64"/>
      <c r="X53" s="99"/>
      <c r="Y53" s="100"/>
      <c r="Z53" s="49"/>
      <c r="AA53" s="93"/>
      <c r="AB53" s="94"/>
      <c r="AC53" s="30"/>
      <c r="AD53" s="30"/>
      <c r="AE53" s="30"/>
      <c r="AF53" s="30"/>
      <c r="AG53" s="30"/>
      <c r="AH53" s="49"/>
    </row>
    <row r="54">
      <c r="A54" s="49"/>
      <c r="B54" s="49"/>
      <c r="C54" s="49"/>
      <c r="D54" s="49"/>
      <c r="E54" s="131" t="s">
        <v>114</v>
      </c>
      <c r="F54" s="85" t="s">
        <v>111</v>
      </c>
      <c r="G54" s="86">
        <v>116000.0</v>
      </c>
      <c r="H54" s="105">
        <v>0.0</v>
      </c>
      <c r="I54" s="86">
        <f t="shared" si="2"/>
        <v>0</v>
      </c>
      <c r="J54" s="106"/>
      <c r="K54" s="106"/>
      <c r="L54" s="50"/>
      <c r="M54" s="132">
        <f>I54/0.85</f>
        <v>0</v>
      </c>
      <c r="N54" s="88"/>
      <c r="O54" s="88"/>
      <c r="P54" s="88"/>
      <c r="Q54" s="89"/>
      <c r="R54" s="107"/>
      <c r="S54" s="107"/>
      <c r="T54" s="107"/>
      <c r="U54" s="107"/>
      <c r="V54" s="107"/>
      <c r="W54" s="64"/>
      <c r="X54" s="99"/>
      <c r="Y54" s="100"/>
      <c r="Z54" s="49"/>
      <c r="AA54" s="93"/>
      <c r="AB54" s="94"/>
      <c r="AC54" s="30"/>
      <c r="AD54" s="30"/>
      <c r="AE54" s="30"/>
      <c r="AF54" s="30"/>
      <c r="AG54" s="30"/>
      <c r="AH54" s="49"/>
    </row>
    <row r="55">
      <c r="A55" s="49"/>
      <c r="B55" s="49"/>
      <c r="C55" s="49"/>
      <c r="D55" s="49"/>
      <c r="E55" s="137" t="s">
        <v>115</v>
      </c>
      <c r="F55" s="85" t="s">
        <v>73</v>
      </c>
      <c r="G55" s="86">
        <v>255000.0</v>
      </c>
      <c r="H55" s="105">
        <v>0.0</v>
      </c>
      <c r="I55" s="86">
        <f t="shared" si="2"/>
        <v>0</v>
      </c>
      <c r="J55" s="106"/>
      <c r="K55" s="106"/>
      <c r="L55" s="50"/>
      <c r="M55" s="132">
        <f t="shared" ref="M55:M56" si="4">I55/0.8</f>
        <v>0</v>
      </c>
      <c r="N55" s="88"/>
      <c r="O55" s="88"/>
      <c r="P55" s="88"/>
      <c r="Q55" s="89"/>
      <c r="R55" s="90"/>
      <c r="S55" s="107"/>
      <c r="T55" s="107"/>
      <c r="U55" s="107"/>
      <c r="V55" s="107"/>
      <c r="W55" s="64"/>
      <c r="X55" s="99"/>
      <c r="Y55" s="100"/>
      <c r="Z55" s="49"/>
      <c r="AA55" s="93"/>
      <c r="AB55" s="94"/>
      <c r="AC55" s="30"/>
      <c r="AD55" s="30"/>
      <c r="AE55" s="30"/>
      <c r="AF55" s="30"/>
      <c r="AG55" s="30"/>
      <c r="AH55" s="49"/>
    </row>
    <row r="56">
      <c r="A56" s="49"/>
      <c r="B56" s="49"/>
      <c r="C56" s="49"/>
      <c r="D56" s="49"/>
      <c r="E56" s="137" t="s">
        <v>116</v>
      </c>
      <c r="F56" s="85" t="s">
        <v>73</v>
      </c>
      <c r="G56" s="86">
        <v>221000.0</v>
      </c>
      <c r="H56" s="105">
        <v>0.0</v>
      </c>
      <c r="I56" s="86">
        <f t="shared" si="2"/>
        <v>0</v>
      </c>
      <c r="J56" s="106"/>
      <c r="K56" s="106"/>
      <c r="L56" s="50"/>
      <c r="M56" s="132">
        <f t="shared" si="4"/>
        <v>0</v>
      </c>
      <c r="N56" s="88"/>
      <c r="O56" s="88"/>
      <c r="P56" s="88"/>
      <c r="Q56" s="89"/>
      <c r="R56" s="90"/>
      <c r="S56" s="107"/>
      <c r="T56" s="107"/>
      <c r="U56" s="107"/>
      <c r="V56" s="107"/>
      <c r="W56" s="64"/>
      <c r="X56" s="99"/>
      <c r="Y56" s="100"/>
      <c r="Z56" s="49"/>
      <c r="AA56" s="93"/>
      <c r="AB56" s="94"/>
      <c r="AC56" s="30"/>
      <c r="AD56" s="30"/>
      <c r="AE56" s="30"/>
      <c r="AF56" s="30"/>
      <c r="AG56" s="30"/>
      <c r="AH56" s="49"/>
    </row>
    <row r="57">
      <c r="A57" s="49"/>
      <c r="B57" s="49"/>
      <c r="C57" s="49"/>
      <c r="D57" s="49"/>
      <c r="E57" s="137" t="s">
        <v>117</v>
      </c>
      <c r="F57" s="85" t="s">
        <v>73</v>
      </c>
      <c r="G57" s="86">
        <v>320000.0</v>
      </c>
      <c r="H57" s="104">
        <v>0.0</v>
      </c>
      <c r="I57" s="86">
        <f t="shared" si="2"/>
        <v>0</v>
      </c>
      <c r="J57" s="121"/>
      <c r="K57" s="106"/>
      <c r="L57" s="50"/>
      <c r="M57" s="132">
        <f>I57/0.85</f>
        <v>0</v>
      </c>
      <c r="N57" s="88"/>
      <c r="O57" s="121"/>
      <c r="P57" s="88"/>
      <c r="Q57" s="89"/>
      <c r="R57" s="107"/>
      <c r="S57" s="107"/>
      <c r="T57" s="107"/>
      <c r="U57" s="107"/>
      <c r="V57" s="107"/>
      <c r="W57" s="64"/>
      <c r="X57" s="99"/>
      <c r="Y57" s="100"/>
      <c r="Z57" s="49"/>
      <c r="AA57" s="93"/>
      <c r="AB57" s="94"/>
      <c r="AC57" s="30"/>
      <c r="AD57" s="30"/>
      <c r="AE57" s="30"/>
      <c r="AF57" s="30"/>
      <c r="AG57" s="30"/>
      <c r="AH57" s="49"/>
    </row>
    <row r="58">
      <c r="A58" s="49"/>
      <c r="B58" s="49"/>
      <c r="C58" s="49"/>
      <c r="D58" s="49"/>
      <c r="E58" s="137" t="s">
        <v>118</v>
      </c>
      <c r="F58" s="85" t="s">
        <v>73</v>
      </c>
      <c r="G58" s="86">
        <v>240000.0</v>
      </c>
      <c r="H58" s="104">
        <v>0.0</v>
      </c>
      <c r="I58" s="86">
        <f t="shared" si="2"/>
        <v>0</v>
      </c>
      <c r="J58" s="121"/>
      <c r="K58" s="106"/>
      <c r="L58" s="50"/>
      <c r="M58" s="132">
        <f t="shared" ref="M58:M61" si="5">I58/0.8</f>
        <v>0</v>
      </c>
      <c r="N58" s="88"/>
      <c r="O58" s="121"/>
      <c r="P58" s="88"/>
      <c r="Q58" s="89"/>
      <c r="R58" s="107"/>
      <c r="S58" s="107"/>
      <c r="T58" s="107"/>
      <c r="U58" s="107"/>
      <c r="V58" s="107"/>
      <c r="W58" s="64"/>
      <c r="X58" s="99"/>
      <c r="Y58" s="100"/>
      <c r="Z58" s="49"/>
      <c r="AA58" s="93"/>
      <c r="AB58" s="94"/>
      <c r="AC58" s="30"/>
      <c r="AD58" s="30"/>
      <c r="AE58" s="30"/>
      <c r="AF58" s="30"/>
      <c r="AG58" s="30"/>
      <c r="AH58" s="49"/>
    </row>
    <row r="59">
      <c r="A59" s="49"/>
      <c r="B59" s="49"/>
      <c r="C59" s="49"/>
      <c r="D59" s="49"/>
      <c r="E59" s="137" t="s">
        <v>119</v>
      </c>
      <c r="F59" s="85" t="s">
        <v>73</v>
      </c>
      <c r="G59" s="86">
        <v>70000.0</v>
      </c>
      <c r="H59" s="104">
        <v>0.0</v>
      </c>
      <c r="I59" s="86">
        <f t="shared" si="2"/>
        <v>0</v>
      </c>
      <c r="J59" s="121"/>
      <c r="K59" s="121"/>
      <c r="L59" s="50"/>
      <c r="M59" s="132">
        <f t="shared" si="5"/>
        <v>0</v>
      </c>
      <c r="N59" s="88"/>
      <c r="O59" s="121"/>
      <c r="P59" s="121"/>
      <c r="Q59" s="89"/>
      <c r="R59" s="90"/>
      <c r="S59" s="107"/>
      <c r="T59" s="107"/>
      <c r="U59" s="107"/>
      <c r="V59" s="107"/>
      <c r="W59" s="64"/>
      <c r="X59" s="99"/>
      <c r="Y59" s="100"/>
      <c r="Z59" s="49"/>
      <c r="AA59" s="93"/>
      <c r="AB59" s="94"/>
      <c r="AC59" s="30"/>
      <c r="AD59" s="30"/>
      <c r="AE59" s="30"/>
      <c r="AF59" s="30"/>
      <c r="AG59" s="30"/>
      <c r="AH59" s="49"/>
    </row>
    <row r="60">
      <c r="A60" s="49"/>
      <c r="B60" s="49"/>
      <c r="C60" s="49"/>
      <c r="D60" s="49"/>
      <c r="E60" s="137" t="s">
        <v>120</v>
      </c>
      <c r="F60" s="85" t="s">
        <v>73</v>
      </c>
      <c r="G60" s="86">
        <v>70000.0</v>
      </c>
      <c r="H60" s="104">
        <v>0.0</v>
      </c>
      <c r="I60" s="86">
        <f t="shared" si="2"/>
        <v>0</v>
      </c>
      <c r="J60" s="121"/>
      <c r="K60" s="121"/>
      <c r="L60" s="50"/>
      <c r="M60" s="132">
        <f t="shared" si="5"/>
        <v>0</v>
      </c>
      <c r="N60" s="88"/>
      <c r="O60" s="121"/>
      <c r="P60" s="121"/>
      <c r="Q60" s="89"/>
      <c r="R60" s="90"/>
      <c r="S60" s="107"/>
      <c r="T60" s="107"/>
      <c r="U60" s="107"/>
      <c r="V60" s="107"/>
      <c r="W60" s="64"/>
      <c r="X60" s="99"/>
      <c r="Y60" s="100"/>
      <c r="Z60" s="49"/>
      <c r="AA60" s="93"/>
      <c r="AB60" s="94"/>
      <c r="AC60" s="30"/>
      <c r="AD60" s="30"/>
      <c r="AE60" s="30"/>
      <c r="AF60" s="30"/>
      <c r="AG60" s="30"/>
      <c r="AH60" s="49"/>
    </row>
    <row r="61">
      <c r="A61" s="49"/>
      <c r="B61" s="49"/>
      <c r="C61" s="49"/>
      <c r="D61" s="49"/>
      <c r="E61" s="137" t="s">
        <v>121</v>
      </c>
      <c r="F61" s="85" t="s">
        <v>122</v>
      </c>
      <c r="G61" s="86">
        <v>650000.0</v>
      </c>
      <c r="H61" s="104">
        <v>0.0</v>
      </c>
      <c r="I61" s="86">
        <f t="shared" si="2"/>
        <v>0</v>
      </c>
      <c r="J61" s="106"/>
      <c r="K61" s="121"/>
      <c r="L61" s="50"/>
      <c r="M61" s="132">
        <f t="shared" si="5"/>
        <v>0</v>
      </c>
      <c r="N61" s="88"/>
      <c r="O61" s="88"/>
      <c r="P61" s="121"/>
      <c r="Q61" s="89"/>
      <c r="R61" s="107"/>
      <c r="S61" s="107"/>
      <c r="T61" s="107"/>
      <c r="U61" s="107"/>
      <c r="V61" s="107"/>
      <c r="W61" s="64"/>
      <c r="X61" s="99"/>
      <c r="Y61" s="100"/>
      <c r="Z61" s="49"/>
      <c r="AA61" s="93"/>
      <c r="AB61" s="94"/>
      <c r="AC61" s="30"/>
      <c r="AD61" s="30"/>
      <c r="AE61" s="30"/>
      <c r="AF61" s="30"/>
      <c r="AG61" s="30"/>
      <c r="AH61" s="49"/>
    </row>
    <row r="62">
      <c r="A62" s="49"/>
      <c r="B62" s="49"/>
      <c r="C62" s="49"/>
      <c r="D62" s="49"/>
      <c r="E62" s="137" t="s">
        <v>123</v>
      </c>
      <c r="F62" s="85" t="s">
        <v>124</v>
      </c>
      <c r="G62" s="86">
        <v>230000.0</v>
      </c>
      <c r="H62" s="104">
        <v>0.0</v>
      </c>
      <c r="I62" s="121"/>
      <c r="J62" s="106"/>
      <c r="K62" s="121"/>
      <c r="L62" s="50"/>
      <c r="M62" s="132">
        <f t="shared" ref="M62:M63" si="6">J62/0.8</f>
        <v>0</v>
      </c>
      <c r="N62" s="121"/>
      <c r="O62" s="88"/>
      <c r="P62" s="121"/>
      <c r="Q62" s="89"/>
      <c r="R62" s="90"/>
      <c r="S62" s="107"/>
      <c r="T62" s="107"/>
      <c r="U62" s="107"/>
      <c r="V62" s="107"/>
      <c r="W62" s="64"/>
      <c r="X62" s="99"/>
      <c r="Y62" s="100"/>
      <c r="Z62" s="49"/>
      <c r="AA62" s="93"/>
      <c r="AB62" s="94"/>
      <c r="AC62" s="30"/>
      <c r="AD62" s="30"/>
      <c r="AE62" s="30"/>
      <c r="AF62" s="30"/>
      <c r="AG62" s="30"/>
      <c r="AH62" s="49"/>
    </row>
    <row r="63">
      <c r="A63" s="49"/>
      <c r="B63" s="49"/>
      <c r="C63" s="49"/>
      <c r="D63" s="49"/>
      <c r="E63" s="137" t="s">
        <v>125</v>
      </c>
      <c r="F63" s="85" t="s">
        <v>124</v>
      </c>
      <c r="G63" s="86">
        <v>250000.0</v>
      </c>
      <c r="H63" s="104">
        <v>0.0</v>
      </c>
      <c r="I63" s="121"/>
      <c r="J63" s="106"/>
      <c r="K63" s="121"/>
      <c r="L63" s="50"/>
      <c r="M63" s="132">
        <f t="shared" si="6"/>
        <v>0</v>
      </c>
      <c r="N63" s="121"/>
      <c r="O63" s="88"/>
      <c r="P63" s="121"/>
      <c r="Q63" s="89"/>
      <c r="R63" s="90"/>
      <c r="S63" s="107"/>
      <c r="T63" s="107"/>
      <c r="U63" s="107"/>
      <c r="V63" s="107"/>
      <c r="W63" s="64"/>
      <c r="X63" s="99"/>
      <c r="Y63" s="100"/>
      <c r="Z63" s="49"/>
      <c r="AA63" s="93"/>
      <c r="AB63" s="94"/>
      <c r="AC63" s="30"/>
      <c r="AD63" s="30"/>
      <c r="AE63" s="30"/>
      <c r="AF63" s="30"/>
      <c r="AG63" s="30"/>
      <c r="AH63" s="49"/>
    </row>
    <row r="64">
      <c r="A64" s="49"/>
      <c r="B64" s="49"/>
      <c r="C64" s="49"/>
      <c r="D64" s="49"/>
      <c r="E64" s="138" t="s">
        <v>126</v>
      </c>
      <c r="F64" s="139"/>
      <c r="G64" s="140"/>
      <c r="H64" s="141"/>
      <c r="I64" s="140"/>
      <c r="J64" s="140"/>
      <c r="K64" s="140"/>
      <c r="L64" s="50"/>
      <c r="M64" s="140"/>
      <c r="N64" s="140"/>
      <c r="O64" s="140"/>
      <c r="P64" s="140"/>
      <c r="Q64" s="89"/>
      <c r="R64" s="140"/>
      <c r="S64" s="140"/>
      <c r="T64" s="140"/>
      <c r="U64" s="140"/>
      <c r="V64" s="140"/>
      <c r="W64" s="64"/>
      <c r="X64" s="99"/>
      <c r="Y64" s="100"/>
      <c r="Z64" s="49"/>
      <c r="AA64" s="93"/>
      <c r="AB64" s="94"/>
      <c r="AC64" s="30"/>
      <c r="AD64" s="30"/>
      <c r="AE64" s="30"/>
      <c r="AF64" s="30"/>
      <c r="AG64" s="30"/>
      <c r="AH64" s="49"/>
    </row>
    <row r="65">
      <c r="A65" s="49"/>
      <c r="B65" s="49"/>
      <c r="C65" s="49"/>
      <c r="D65" s="49"/>
      <c r="E65" s="142" t="s">
        <v>127</v>
      </c>
      <c r="F65" s="85"/>
      <c r="G65" s="86">
        <v>250000.0</v>
      </c>
      <c r="H65" s="104">
        <v>0.0</v>
      </c>
      <c r="I65" s="86">
        <f t="shared" ref="I65:I67" si="7">G65*H65</f>
        <v>0</v>
      </c>
      <c r="J65" s="121"/>
      <c r="K65" s="121"/>
      <c r="L65" s="50"/>
      <c r="M65" s="132">
        <f t="shared" ref="M65:M67" si="8">I65/0.85</f>
        <v>0</v>
      </c>
      <c r="N65" s="88"/>
      <c r="O65" s="121"/>
      <c r="P65" s="121"/>
      <c r="Q65" s="89"/>
      <c r="R65" s="107"/>
      <c r="S65" s="107"/>
      <c r="T65" s="107"/>
      <c r="U65" s="107"/>
      <c r="V65" s="107"/>
      <c r="W65" s="64"/>
      <c r="X65" s="99"/>
      <c r="Y65" s="100"/>
      <c r="Z65" s="49"/>
      <c r="AA65" s="93"/>
      <c r="AB65" s="94"/>
      <c r="AC65" s="30"/>
      <c r="AD65" s="30"/>
      <c r="AE65" s="30"/>
      <c r="AF65" s="30"/>
      <c r="AG65" s="30"/>
      <c r="AH65" s="49"/>
    </row>
    <row r="66">
      <c r="A66" s="49"/>
      <c r="B66" s="49"/>
      <c r="C66" s="49"/>
      <c r="D66" s="49"/>
      <c r="E66" s="142" t="s">
        <v>128</v>
      </c>
      <c r="F66" s="85"/>
      <c r="G66" s="86">
        <v>250000.0</v>
      </c>
      <c r="H66" s="104">
        <v>0.0</v>
      </c>
      <c r="I66" s="86">
        <f t="shared" si="7"/>
        <v>0</v>
      </c>
      <c r="J66" s="121"/>
      <c r="K66" s="121"/>
      <c r="L66" s="50"/>
      <c r="M66" s="132">
        <f t="shared" si="8"/>
        <v>0</v>
      </c>
      <c r="N66" s="88"/>
      <c r="O66" s="121"/>
      <c r="P66" s="121"/>
      <c r="Q66" s="89"/>
      <c r="R66" s="107"/>
      <c r="S66" s="107"/>
      <c r="T66" s="107"/>
      <c r="U66" s="107"/>
      <c r="V66" s="107"/>
      <c r="W66" s="64"/>
      <c r="X66" s="99"/>
      <c r="Y66" s="100"/>
      <c r="Z66" s="49"/>
      <c r="AA66" s="93"/>
      <c r="AB66" s="94"/>
      <c r="AC66" s="30"/>
      <c r="AD66" s="30"/>
      <c r="AE66" s="30"/>
      <c r="AF66" s="30"/>
      <c r="AG66" s="30"/>
      <c r="AH66" s="49"/>
    </row>
    <row r="67">
      <c r="A67" s="49"/>
      <c r="B67" s="49"/>
      <c r="C67" s="49"/>
      <c r="D67" s="49"/>
      <c r="E67" s="142" t="s">
        <v>129</v>
      </c>
      <c r="F67" s="85"/>
      <c r="G67" s="86">
        <v>250000.0</v>
      </c>
      <c r="H67" s="104">
        <v>0.0</v>
      </c>
      <c r="I67" s="86">
        <f t="shared" si="7"/>
        <v>0</v>
      </c>
      <c r="J67" s="106"/>
      <c r="K67" s="121"/>
      <c r="L67" s="50"/>
      <c r="M67" s="132">
        <f t="shared" si="8"/>
        <v>0</v>
      </c>
      <c r="N67" s="88"/>
      <c r="O67" s="88"/>
      <c r="P67" s="88"/>
      <c r="Q67" s="89"/>
      <c r="R67" s="107"/>
      <c r="S67" s="107"/>
      <c r="T67" s="107"/>
      <c r="U67" s="107"/>
      <c r="V67" s="107"/>
      <c r="W67" s="64"/>
      <c r="X67" s="99"/>
      <c r="Y67" s="100"/>
      <c r="Z67" s="49"/>
      <c r="AA67" s="93"/>
      <c r="AB67" s="94"/>
      <c r="AC67" s="30"/>
      <c r="AD67" s="30"/>
      <c r="AE67" s="30"/>
      <c r="AF67" s="30"/>
      <c r="AG67" s="30"/>
      <c r="AH67" s="49"/>
    </row>
    <row r="68">
      <c r="A68" s="49"/>
      <c r="B68" s="49"/>
      <c r="D68" s="49"/>
      <c r="E68" s="142" t="s">
        <v>130</v>
      </c>
      <c r="F68" s="85"/>
      <c r="G68" s="86">
        <v>250000.0</v>
      </c>
      <c r="H68" s="104">
        <v>0.0</v>
      </c>
      <c r="I68" s="121"/>
      <c r="J68" s="106"/>
      <c r="K68" s="121"/>
      <c r="L68" s="50"/>
      <c r="M68" s="132">
        <f t="shared" ref="M68:M69" si="9">J68/0.85</f>
        <v>0</v>
      </c>
      <c r="N68" s="121"/>
      <c r="O68" s="88"/>
      <c r="P68" s="121"/>
      <c r="Q68" s="89"/>
      <c r="R68" s="107"/>
      <c r="S68" s="107"/>
      <c r="T68" s="107"/>
      <c r="U68" s="107"/>
      <c r="V68" s="107"/>
      <c r="W68" s="64"/>
      <c r="X68" s="99"/>
      <c r="Y68" s="100"/>
      <c r="Z68" s="49"/>
      <c r="AA68" s="93"/>
      <c r="AB68" s="94"/>
      <c r="AC68" s="30"/>
      <c r="AD68" s="30"/>
      <c r="AE68" s="30"/>
      <c r="AF68" s="30"/>
      <c r="AG68" s="30"/>
      <c r="AH68" s="49"/>
    </row>
    <row r="69">
      <c r="A69" s="49"/>
      <c r="B69" s="49"/>
      <c r="D69" s="49"/>
      <c r="E69" s="142" t="s">
        <v>131</v>
      </c>
      <c r="F69" s="85"/>
      <c r="G69" s="86">
        <v>250000.0</v>
      </c>
      <c r="H69" s="104">
        <v>0.0</v>
      </c>
      <c r="I69" s="121"/>
      <c r="J69" s="106"/>
      <c r="K69" s="121"/>
      <c r="L69" s="50"/>
      <c r="M69" s="132">
        <f t="shared" si="9"/>
        <v>0</v>
      </c>
      <c r="N69" s="121"/>
      <c r="O69" s="88"/>
      <c r="P69" s="121"/>
      <c r="Q69" s="89"/>
      <c r="R69" s="107"/>
      <c r="S69" s="107"/>
      <c r="T69" s="107"/>
      <c r="U69" s="107"/>
      <c r="V69" s="107"/>
      <c r="W69" s="64"/>
      <c r="X69" s="99"/>
      <c r="Y69" s="100"/>
      <c r="Z69" s="49"/>
      <c r="AA69" s="93"/>
      <c r="AB69" s="94"/>
      <c r="AC69" s="30"/>
      <c r="AD69" s="30"/>
      <c r="AE69" s="30"/>
      <c r="AF69" s="30"/>
      <c r="AG69" s="30"/>
      <c r="AH69" s="49"/>
    </row>
    <row r="70">
      <c r="A70" s="49"/>
      <c r="B70" s="49"/>
      <c r="C70" s="49"/>
      <c r="D70" s="49"/>
      <c r="E70" s="143" t="s">
        <v>132</v>
      </c>
      <c r="F70" s="144" t="s">
        <v>133</v>
      </c>
      <c r="G70" s="86">
        <v>40000.0</v>
      </c>
      <c r="H70" s="104">
        <v>0.0</v>
      </c>
      <c r="I70" s="145">
        <f t="shared" ref="I70:I71" si="10">G70*H70/3</f>
        <v>0</v>
      </c>
      <c r="J70" s="145"/>
      <c r="K70" s="145"/>
      <c r="L70" s="50"/>
      <c r="M70" s="132">
        <f>I70/0.95</f>
        <v>0</v>
      </c>
      <c r="N70" s="88"/>
      <c r="O70" s="88"/>
      <c r="P70" s="88"/>
      <c r="Q70" s="89"/>
      <c r="R70" s="107"/>
      <c r="S70" s="107"/>
      <c r="T70" s="107"/>
      <c r="U70" s="107"/>
      <c r="V70" s="107"/>
      <c r="W70" s="64"/>
      <c r="X70" s="99"/>
      <c r="Y70" s="100"/>
      <c r="Z70" s="49"/>
      <c r="AA70" s="93"/>
      <c r="AB70" s="94"/>
      <c r="AC70" s="30"/>
      <c r="AD70" s="30"/>
      <c r="AE70" s="30"/>
      <c r="AF70" s="30"/>
      <c r="AG70" s="30"/>
      <c r="AH70" s="49"/>
    </row>
    <row r="71">
      <c r="A71" s="49"/>
      <c r="B71" s="49"/>
      <c r="C71" s="49"/>
      <c r="D71" s="49"/>
      <c r="E71" s="143" t="s">
        <v>134</v>
      </c>
      <c r="F71" s="85" t="s">
        <v>135</v>
      </c>
      <c r="G71" s="86">
        <v>250000.0</v>
      </c>
      <c r="H71" s="146">
        <v>0.0</v>
      </c>
      <c r="I71" s="145">
        <f t="shared" si="10"/>
        <v>0</v>
      </c>
      <c r="J71" s="145"/>
      <c r="K71" s="145"/>
      <c r="L71" s="50"/>
      <c r="M71" s="132">
        <f>I71</f>
        <v>0</v>
      </c>
      <c r="N71" s="88"/>
      <c r="O71" s="88"/>
      <c r="P71" s="88"/>
      <c r="Q71" s="89"/>
      <c r="R71" s="107"/>
      <c r="S71" s="107"/>
      <c r="T71" s="107"/>
      <c r="U71" s="107"/>
      <c r="V71" s="107"/>
      <c r="W71" s="64"/>
      <c r="X71" s="99"/>
      <c r="Y71" s="100"/>
      <c r="Z71" s="49"/>
      <c r="AA71" s="93"/>
      <c r="AB71" s="94"/>
      <c r="AC71" s="30"/>
      <c r="AD71" s="30"/>
      <c r="AE71" s="30"/>
      <c r="AF71" s="30"/>
      <c r="AG71" s="30"/>
      <c r="AH71" s="49"/>
    </row>
    <row r="72">
      <c r="A72" s="49"/>
      <c r="B72" s="49"/>
      <c r="C72" s="49"/>
      <c r="D72" s="49"/>
      <c r="E72" s="143" t="s">
        <v>136</v>
      </c>
      <c r="F72" s="144" t="s">
        <v>133</v>
      </c>
      <c r="G72" s="86">
        <v>180000.0</v>
      </c>
      <c r="H72" s="146">
        <v>0.0</v>
      </c>
      <c r="I72" s="145">
        <f>G72*1.5</f>
        <v>270000</v>
      </c>
      <c r="J72" s="145"/>
      <c r="K72" s="145"/>
      <c r="L72" s="50"/>
      <c r="M72" s="132">
        <f>I72/0.9</f>
        <v>300000</v>
      </c>
      <c r="N72" s="88"/>
      <c r="O72" s="88"/>
      <c r="P72" s="88"/>
      <c r="Q72" s="89"/>
      <c r="R72" s="107"/>
      <c r="S72" s="107"/>
      <c r="T72" s="107"/>
      <c r="U72" s="107"/>
      <c r="V72" s="107"/>
      <c r="W72" s="64"/>
      <c r="X72" s="99"/>
      <c r="Y72" s="100"/>
      <c r="Z72" s="49"/>
      <c r="AA72" s="93"/>
      <c r="AB72" s="94"/>
      <c r="AC72" s="30"/>
      <c r="AD72" s="30"/>
      <c r="AE72" s="30"/>
      <c r="AF72" s="30"/>
      <c r="AG72" s="30"/>
      <c r="AH72" s="49"/>
    </row>
    <row r="73">
      <c r="A73" s="49"/>
      <c r="B73" s="49"/>
      <c r="C73" s="49"/>
      <c r="D73" s="49"/>
      <c r="E73" s="143" t="s">
        <v>137</v>
      </c>
      <c r="F73" s="144" t="s">
        <v>133</v>
      </c>
      <c r="G73" s="86">
        <v>20000.0</v>
      </c>
      <c r="H73" s="146">
        <v>0.0</v>
      </c>
      <c r="I73" s="145">
        <f>G73*H73</f>
        <v>0</v>
      </c>
      <c r="J73" s="145"/>
      <c r="K73" s="145"/>
      <c r="L73" s="50"/>
      <c r="M73" s="147"/>
      <c r="N73" s="147"/>
      <c r="O73" s="147"/>
      <c r="P73" s="147"/>
      <c r="Q73" s="89"/>
      <c r="R73" s="107"/>
      <c r="S73" s="107"/>
      <c r="T73" s="107"/>
      <c r="U73" s="107"/>
      <c r="V73" s="107"/>
      <c r="W73" s="64"/>
      <c r="X73" s="99"/>
      <c r="Y73" s="100"/>
      <c r="Z73" s="49"/>
      <c r="AA73" s="93"/>
      <c r="AB73" s="94"/>
      <c r="AC73" s="30"/>
      <c r="AD73" s="30"/>
      <c r="AE73" s="30"/>
      <c r="AF73" s="30"/>
      <c r="AG73" s="30"/>
      <c r="AH73" s="49"/>
    </row>
    <row r="74">
      <c r="A74" s="49"/>
      <c r="B74" s="49"/>
      <c r="C74" s="49"/>
      <c r="D74" s="49"/>
      <c r="E74" s="49"/>
      <c r="F74" s="17"/>
      <c r="G74" s="148"/>
      <c r="H74" s="149" t="s">
        <v>138</v>
      </c>
      <c r="I74" s="150">
        <f>SUM(I5:I73)</f>
        <v>3468000</v>
      </c>
      <c r="J74" s="150"/>
      <c r="K74" s="150"/>
      <c r="L74" s="50"/>
      <c r="M74" s="50"/>
      <c r="N74" s="49"/>
      <c r="O74" s="49"/>
      <c r="P74" s="49"/>
      <c r="Q74" s="49"/>
      <c r="R74" s="17"/>
      <c r="S74" s="17"/>
      <c r="T74" s="17"/>
      <c r="U74" s="17"/>
      <c r="V74" s="17"/>
      <c r="W74" s="49"/>
      <c r="X74" s="49"/>
      <c r="Y74" s="49"/>
      <c r="Z74" s="49"/>
      <c r="AA74" s="52"/>
      <c r="AB74" s="52"/>
      <c r="AC74" s="52"/>
      <c r="AD74" s="52"/>
      <c r="AE74" s="52"/>
      <c r="AF74" s="52"/>
      <c r="AG74" s="52"/>
      <c r="AH74" s="49"/>
    </row>
    <row r="75">
      <c r="A75" s="49"/>
      <c r="B75" s="49"/>
      <c r="C75" s="49"/>
      <c r="D75" s="49"/>
      <c r="E75" s="49"/>
      <c r="F75" s="17"/>
      <c r="G75" s="50"/>
      <c r="H75" s="151">
        <v>0.2</v>
      </c>
      <c r="I75" s="150">
        <f>I74/0.807</f>
        <v>4297397.77</v>
      </c>
      <c r="J75" s="150"/>
      <c r="K75" s="150"/>
      <c r="L75" s="50"/>
      <c r="M75" s="50"/>
      <c r="N75" s="150"/>
      <c r="O75" s="150"/>
      <c r="P75" s="150"/>
      <c r="Q75" s="49"/>
      <c r="R75" s="152"/>
      <c r="S75" s="152"/>
      <c r="T75" s="152"/>
      <c r="U75" s="17"/>
      <c r="V75" s="17"/>
      <c r="W75" s="49"/>
      <c r="X75" s="49"/>
      <c r="Y75" s="49"/>
      <c r="Z75" s="49"/>
      <c r="AA75" s="52"/>
      <c r="AB75" s="52"/>
      <c r="AC75" s="52"/>
      <c r="AD75" s="52"/>
      <c r="AE75" s="52"/>
      <c r="AF75" s="52"/>
      <c r="AG75" s="52"/>
      <c r="AH75" s="49"/>
    </row>
    <row r="76">
      <c r="A76" s="49"/>
      <c r="B76" s="49"/>
      <c r="C76" s="49"/>
      <c r="D76" s="49"/>
      <c r="E76" s="49"/>
      <c r="F76" s="17"/>
      <c r="G76" s="150" t="s">
        <v>139</v>
      </c>
      <c r="H76" s="149" t="s">
        <v>140</v>
      </c>
      <c r="I76" s="150">
        <f>I75*4/1000</f>
        <v>17189.59108</v>
      </c>
      <c r="J76" s="150"/>
      <c r="K76" s="150"/>
      <c r="L76" s="50"/>
      <c r="M76" s="50"/>
      <c r="N76" s="150"/>
      <c r="O76" s="150"/>
      <c r="P76" s="150"/>
      <c r="Q76" s="49"/>
      <c r="R76" s="152"/>
      <c r="S76" s="152"/>
      <c r="T76" s="152"/>
      <c r="U76" s="17"/>
      <c r="V76" s="17"/>
      <c r="W76" s="49"/>
      <c r="X76" s="49"/>
      <c r="Y76" s="49"/>
      <c r="Z76" s="49"/>
      <c r="AA76" s="52"/>
      <c r="AB76" s="52"/>
      <c r="AC76" s="52"/>
      <c r="AD76" s="52"/>
      <c r="AE76" s="52"/>
      <c r="AF76" s="52"/>
      <c r="AG76" s="52"/>
      <c r="AH76" s="49"/>
    </row>
    <row r="77">
      <c r="A77" s="49"/>
      <c r="B77" s="49"/>
      <c r="C77" s="49"/>
      <c r="D77" s="49"/>
      <c r="E77" s="49"/>
      <c r="F77" s="17"/>
      <c r="G77" s="150" t="s">
        <v>139</v>
      </c>
      <c r="H77" s="153" t="s">
        <v>141</v>
      </c>
      <c r="I77" s="50"/>
      <c r="J77" s="50"/>
      <c r="K77" s="50"/>
      <c r="L77" s="50"/>
      <c r="M77" s="50"/>
      <c r="N77" s="50"/>
      <c r="O77" s="50"/>
      <c r="P77" s="50"/>
      <c r="Q77" s="49"/>
      <c r="R77" s="152"/>
      <c r="S77" s="152"/>
      <c r="T77" s="152"/>
      <c r="U77" s="17"/>
      <c r="V77" s="17"/>
      <c r="W77" s="49"/>
      <c r="X77" s="49"/>
      <c r="Y77" s="49"/>
      <c r="Z77" s="49"/>
      <c r="AA77" s="52"/>
      <c r="AB77" s="52"/>
      <c r="AC77" s="52"/>
      <c r="AD77" s="52"/>
      <c r="AE77" s="52"/>
      <c r="AF77" s="52"/>
      <c r="AG77" s="52"/>
      <c r="AH77" s="49"/>
    </row>
    <row r="78">
      <c r="A78" s="49"/>
      <c r="B78" s="49"/>
      <c r="C78" s="49"/>
      <c r="D78" s="49"/>
      <c r="E78" s="49"/>
      <c r="F78" s="17"/>
      <c r="G78" s="150" t="s">
        <v>142</v>
      </c>
      <c r="H78" s="149">
        <v>3800.0</v>
      </c>
      <c r="I78" s="154">
        <f>SUM(I75:I77)</f>
        <v>4314587.361</v>
      </c>
      <c r="J78" s="154"/>
      <c r="K78" s="154"/>
      <c r="L78" s="50"/>
      <c r="M78" s="50"/>
      <c r="N78" s="154"/>
      <c r="O78" s="154"/>
      <c r="P78" s="154"/>
      <c r="Q78" s="49"/>
      <c r="R78" s="152"/>
      <c r="S78" s="152"/>
      <c r="T78" s="152"/>
      <c r="U78" s="17"/>
      <c r="V78" s="17"/>
      <c r="W78" s="49"/>
      <c r="X78" s="49"/>
      <c r="Y78" s="49"/>
      <c r="Z78" s="49"/>
      <c r="AA78" s="52"/>
      <c r="AB78" s="52"/>
      <c r="AC78" s="52"/>
      <c r="AD78" s="52"/>
      <c r="AE78" s="52"/>
      <c r="AF78" s="52"/>
      <c r="AG78" s="52"/>
      <c r="AH78" s="49"/>
    </row>
    <row r="79">
      <c r="A79" s="49"/>
      <c r="B79" s="49"/>
      <c r="C79" s="49"/>
      <c r="D79" s="49"/>
      <c r="E79" s="49"/>
      <c r="F79" s="17"/>
      <c r="G79" s="50"/>
      <c r="H79" s="49"/>
      <c r="I79" s="155">
        <f>I78/$H$78</f>
        <v>1135.417726</v>
      </c>
      <c r="J79" s="155"/>
      <c r="K79" s="155"/>
      <c r="L79" s="50"/>
      <c r="M79" s="50"/>
      <c r="N79" s="49"/>
      <c r="O79" s="49"/>
      <c r="P79" s="49"/>
      <c r="Q79" s="49"/>
      <c r="R79" s="17"/>
      <c r="S79" s="17"/>
      <c r="T79" s="17"/>
      <c r="U79" s="17"/>
      <c r="V79" s="17"/>
      <c r="W79" s="49"/>
      <c r="X79" s="49"/>
      <c r="Y79" s="49"/>
      <c r="Z79" s="49"/>
      <c r="AA79" s="52"/>
      <c r="AB79" s="52"/>
      <c r="AC79" s="52"/>
      <c r="AD79" s="52"/>
      <c r="AE79" s="52"/>
      <c r="AF79" s="52"/>
      <c r="AG79" s="52"/>
      <c r="AH79" s="49"/>
    </row>
    <row r="80" ht="27.0" customHeight="1">
      <c r="A80" s="49"/>
      <c r="B80" s="49"/>
      <c r="C80" s="49"/>
      <c r="D80" s="49"/>
      <c r="E80" s="49"/>
      <c r="F80" s="17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17"/>
      <c r="S80" s="17"/>
      <c r="T80" s="17"/>
      <c r="U80" s="17"/>
      <c r="V80" s="17"/>
      <c r="W80" s="49"/>
      <c r="X80" s="49"/>
      <c r="Y80" s="49"/>
      <c r="Z80" s="49"/>
      <c r="AA80" s="52"/>
      <c r="AB80" s="52"/>
      <c r="AC80" s="52"/>
      <c r="AD80" s="52"/>
      <c r="AE80" s="52"/>
      <c r="AF80" s="52"/>
      <c r="AG80" s="52"/>
      <c r="AH80" s="49"/>
    </row>
    <row r="81" ht="27.0" customHeight="1">
      <c r="A81" s="49"/>
      <c r="B81" s="49"/>
      <c r="C81" s="49"/>
      <c r="D81" s="49"/>
      <c r="E81" s="49"/>
      <c r="F81" s="17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17"/>
      <c r="S81" s="17"/>
      <c r="T81" s="17"/>
      <c r="U81" s="17"/>
      <c r="V81" s="17"/>
      <c r="W81" s="49"/>
      <c r="X81" s="49"/>
      <c r="Y81" s="49"/>
      <c r="Z81" s="49"/>
      <c r="AA81" s="52"/>
      <c r="AB81" s="52"/>
      <c r="AC81" s="52"/>
      <c r="AD81" s="52"/>
      <c r="AE81" s="52"/>
      <c r="AF81" s="52"/>
      <c r="AG81" s="52"/>
      <c r="AH81" s="49"/>
    </row>
    <row r="82" ht="27.0" customHeight="1">
      <c r="A82" s="49"/>
      <c r="B82" s="49"/>
      <c r="C82" s="49"/>
      <c r="D82" s="49"/>
      <c r="E82" s="156" t="s">
        <v>143</v>
      </c>
      <c r="F82" s="17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17"/>
      <c r="S82" s="17"/>
      <c r="T82" s="17"/>
      <c r="U82" s="17"/>
      <c r="V82" s="17"/>
      <c r="W82" s="49"/>
      <c r="X82" s="49"/>
      <c r="Y82" s="49"/>
      <c r="Z82" s="49"/>
      <c r="AA82" s="52"/>
      <c r="AB82" s="52"/>
      <c r="AC82" s="52"/>
      <c r="AD82" s="52"/>
      <c r="AE82" s="52"/>
      <c r="AF82" s="52"/>
      <c r="AG82" s="52"/>
      <c r="AH82" s="49"/>
    </row>
    <row r="83" ht="27.0" customHeight="1">
      <c r="A83" s="49"/>
      <c r="B83" s="49"/>
      <c r="C83" s="49"/>
      <c r="D83" s="49"/>
      <c r="E83" s="156" t="s">
        <v>144</v>
      </c>
      <c r="F83" s="17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17"/>
      <c r="S83" s="17"/>
      <c r="T83" s="17"/>
      <c r="U83" s="17"/>
      <c r="V83" s="17"/>
      <c r="W83" s="49"/>
      <c r="X83" s="49"/>
      <c r="Y83" s="49"/>
      <c r="Z83" s="49"/>
      <c r="AA83" s="52"/>
      <c r="AB83" s="52"/>
      <c r="AC83" s="52"/>
      <c r="AD83" s="52"/>
      <c r="AE83" s="52"/>
      <c r="AF83" s="52"/>
      <c r="AG83" s="52"/>
      <c r="AH83" s="49"/>
    </row>
    <row r="84">
      <c r="A84" s="49"/>
      <c r="B84" s="49"/>
      <c r="C84" s="49"/>
      <c r="D84" s="49"/>
      <c r="E84" s="49"/>
      <c r="F84" s="17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17"/>
      <c r="S84" s="17"/>
      <c r="T84" s="17"/>
      <c r="U84" s="17"/>
      <c r="V84" s="17"/>
      <c r="W84" s="49"/>
      <c r="X84" s="49"/>
      <c r="Y84" s="49"/>
      <c r="Z84" s="49"/>
      <c r="AA84" s="52"/>
      <c r="AB84" s="52"/>
      <c r="AC84" s="52"/>
      <c r="AD84" s="52"/>
      <c r="AE84" s="52"/>
      <c r="AF84" s="52"/>
      <c r="AG84" s="52"/>
      <c r="AH84" s="49"/>
    </row>
    <row r="85" ht="15.75" customHeight="1">
      <c r="A85" s="49"/>
      <c r="B85" s="49"/>
      <c r="C85" s="49"/>
      <c r="D85" s="157"/>
      <c r="E85" s="49"/>
      <c r="F85" s="17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17"/>
      <c r="S85" s="17"/>
      <c r="T85" s="17"/>
      <c r="U85" s="17"/>
      <c r="V85" s="17"/>
      <c r="W85" s="49"/>
      <c r="X85" s="49"/>
      <c r="Y85" s="49"/>
      <c r="Z85" s="49"/>
      <c r="AA85" s="52"/>
      <c r="AB85" s="52"/>
      <c r="AC85" s="52"/>
      <c r="AD85" s="52"/>
      <c r="AE85" s="52"/>
      <c r="AF85" s="52"/>
      <c r="AG85" s="52"/>
      <c r="AH85" s="49"/>
    </row>
  </sheetData>
  <mergeCells count="1">
    <mergeCell ref="AA3:AD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8.88"/>
  </cols>
  <sheetData>
    <row r="1">
      <c r="A1" s="158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>
      <c r="A5" s="158"/>
      <c r="B5" s="75" t="str">
        <f>COSTEO!E4</f>
        <v>Concepto</v>
      </c>
      <c r="C5" s="74" t="s">
        <v>58</v>
      </c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>
      <c r="A6" s="158"/>
      <c r="B6" s="159" t="str">
        <f>COSTEO!E5</f>
        <v>Póliza de asistencia médica al viajero - producto visitor  por 08 días</v>
      </c>
      <c r="C6" s="160">
        <f>COSTEO!N5</f>
        <v>12.61261261</v>
      </c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>
      <c r="A7" s="158"/>
      <c r="B7" s="161" t="str">
        <f>COSTEO!E6</f>
        <v>Tiquete aéreo Curazao - Medellín - Curazao</v>
      </c>
      <c r="C7" s="160">
        <f>COSTEO!N6</f>
        <v>500</v>
      </c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</row>
    <row r="8">
      <c r="A8" s="158"/>
      <c r="B8" s="161" t="s">
        <v>145</v>
      </c>
      <c r="C8" s="160">
        <v>10.0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</row>
    <row r="9">
      <c r="A9" s="158"/>
      <c r="B9" s="162" t="s">
        <v>146</v>
      </c>
      <c r="C9" s="163">
        <f>SUM(C6:C8)</f>
        <v>522.6126126</v>
      </c>
      <c r="D9" s="158" t="str">
        <f t="shared" ref="D9:G9" si="1">#REF!</f>
        <v>#REF!</v>
      </c>
      <c r="E9" s="158" t="str">
        <f t="shared" si="1"/>
        <v>#REF!</v>
      </c>
      <c r="F9" s="158" t="str">
        <f t="shared" si="1"/>
        <v>#REF!</v>
      </c>
      <c r="G9" s="158" t="str">
        <f t="shared" si="1"/>
        <v>#REF!</v>
      </c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</row>
    <row r="10">
      <c r="A10" s="158"/>
      <c r="B10" s="158" t="str">
        <f t="shared" ref="B10:G10" si="2">#REF!</f>
        <v>#REF!</v>
      </c>
      <c r="C10" s="158" t="str">
        <f t="shared" si="2"/>
        <v>#REF!</v>
      </c>
      <c r="D10" s="158" t="str">
        <f t="shared" si="2"/>
        <v>#REF!</v>
      </c>
      <c r="E10" s="158" t="str">
        <f t="shared" si="2"/>
        <v>#REF!</v>
      </c>
      <c r="F10" s="158" t="str">
        <f t="shared" si="2"/>
        <v>#REF!</v>
      </c>
      <c r="G10" s="158" t="str">
        <f t="shared" si="2"/>
        <v>#REF!</v>
      </c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>
      <c r="A11" s="158"/>
      <c r="B11" s="158" t="str">
        <f t="shared" ref="B11:G11" si="3">#REF!</f>
        <v>#REF!</v>
      </c>
      <c r="C11" s="158" t="str">
        <f t="shared" si="3"/>
        <v>#REF!</v>
      </c>
      <c r="D11" s="158" t="str">
        <f t="shared" si="3"/>
        <v>#REF!</v>
      </c>
      <c r="E11" s="158" t="str">
        <f t="shared" si="3"/>
        <v>#REF!</v>
      </c>
      <c r="F11" s="158" t="str">
        <f t="shared" si="3"/>
        <v>#REF!</v>
      </c>
      <c r="G11" s="158" t="str">
        <f t="shared" si="3"/>
        <v>#REF!</v>
      </c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>
      <c r="A12" s="158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>
      <c r="A13" s="158"/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>
      <c r="A14" s="158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>
      <c r="A15" s="158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>
      <c r="A16" s="158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>
      <c r="A17" s="158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>
      <c r="A18" s="158"/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>
      <c r="A19" s="158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>
      <c r="A20" s="158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>
      <c r="A21" s="158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</row>
    <row r="30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>
      <c r="A46" s="158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>
      <c r="A48" s="158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>
      <c r="A49" s="158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>
      <c r="A50" s="158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</row>
    <row r="17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</row>
    <row r="172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</row>
    <row r="174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</row>
    <row r="175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</row>
    <row r="178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</row>
    <row r="179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</row>
    <row r="180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</row>
    <row r="18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</row>
    <row r="182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</row>
    <row r="183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</row>
    <row r="184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</row>
    <row r="185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</row>
    <row r="186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</row>
    <row r="187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</row>
    <row r="188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</row>
    <row r="189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</row>
    <row r="190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</row>
    <row r="193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</row>
    <row r="194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</row>
    <row r="196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</row>
    <row r="197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</row>
    <row r="198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</row>
    <row r="199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</row>
    <row r="200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</row>
    <row r="20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</row>
    <row r="202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</row>
    <row r="203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</row>
    <row r="204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</row>
    <row r="205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</row>
    <row r="206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</row>
    <row r="207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</row>
    <row r="208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</row>
    <row r="209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</row>
    <row r="210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</row>
    <row r="213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</row>
    <row r="214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</row>
    <row r="216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</row>
    <row r="217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</row>
    <row r="229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  <row r="230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</row>
    <row r="23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</row>
    <row r="232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</row>
    <row r="233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</row>
    <row r="234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</row>
    <row r="23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</row>
    <row r="236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</row>
    <row r="237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</row>
    <row r="238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</row>
    <row r="239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</row>
    <row r="240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</row>
    <row r="24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</row>
    <row r="242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</row>
    <row r="243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</row>
    <row r="244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</row>
    <row r="245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</row>
    <row r="248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</row>
    <row r="249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</row>
    <row r="250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</row>
    <row r="251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</row>
    <row r="252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</row>
    <row r="253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</row>
    <row r="254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</row>
    <row r="255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</row>
    <row r="256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</row>
    <row r="257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</row>
    <row r="258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</row>
    <row r="259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</row>
    <row r="260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</row>
    <row r="261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</row>
    <row r="262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</row>
    <row r="263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</row>
    <row r="264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</row>
    <row r="265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</row>
    <row r="266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</row>
    <row r="267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</row>
    <row r="268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</row>
    <row r="269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</row>
    <row r="270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</row>
    <row r="271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</row>
    <row r="272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</row>
    <row r="273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</row>
    <row r="274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</row>
    <row r="275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</row>
    <row r="276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</row>
    <row r="277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</row>
    <row r="278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</row>
    <row r="279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</row>
    <row r="280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</row>
    <row r="283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</row>
    <row r="284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</row>
    <row r="285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</row>
    <row r="286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</row>
    <row r="287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</row>
    <row r="288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</row>
    <row r="289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</row>
    <row r="290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</row>
    <row r="291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</row>
    <row r="292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</row>
    <row r="293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</row>
    <row r="294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</row>
    <row r="295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</row>
    <row r="296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</row>
    <row r="297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</row>
    <row r="298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</row>
    <row r="299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</row>
    <row r="300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</row>
    <row r="301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</row>
    <row r="302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</row>
    <row r="303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</row>
    <row r="304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</row>
    <row r="305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</row>
    <row r="306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</row>
    <row r="307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</row>
    <row r="308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</row>
    <row r="309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</row>
    <row r="310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</row>
    <row r="311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</row>
    <row r="312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</row>
    <row r="313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</row>
    <row r="314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</row>
    <row r="315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</row>
    <row r="318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</row>
    <row r="319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</row>
    <row r="320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</row>
    <row r="321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</row>
    <row r="322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</row>
    <row r="323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</row>
    <row r="324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</row>
    <row r="325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</row>
    <row r="326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</row>
    <row r="327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</row>
    <row r="328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</row>
    <row r="329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</row>
    <row r="330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</row>
    <row r="331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</row>
    <row r="332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</row>
    <row r="333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</row>
    <row r="334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</row>
    <row r="335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</row>
    <row r="336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</row>
    <row r="337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</row>
    <row r="338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</row>
    <row r="339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</row>
    <row r="340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</row>
    <row r="341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</row>
    <row r="342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</row>
    <row r="343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</row>
    <row r="344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</row>
    <row r="345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</row>
    <row r="346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</row>
    <row r="347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</row>
    <row r="348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</row>
    <row r="349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</row>
    <row r="350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</row>
    <row r="353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</row>
    <row r="354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</row>
    <row r="355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</row>
    <row r="356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</row>
    <row r="357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</row>
    <row r="358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</row>
    <row r="359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</row>
    <row r="360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</row>
    <row r="361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</row>
    <row r="362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</row>
    <row r="363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</row>
    <row r="364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</row>
    <row r="365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</row>
    <row r="366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</row>
    <row r="367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</row>
    <row r="368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</row>
    <row r="369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</row>
    <row r="370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</row>
    <row r="371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</row>
    <row r="372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</row>
    <row r="373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</row>
    <row r="374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</row>
    <row r="375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</row>
    <row r="376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</row>
    <row r="377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</row>
    <row r="378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</row>
    <row r="379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</row>
    <row r="380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</row>
    <row r="381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</row>
    <row r="382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</row>
    <row r="383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</row>
    <row r="384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</row>
    <row r="385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</row>
    <row r="388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</row>
    <row r="389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</row>
    <row r="390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</row>
    <row r="391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</row>
    <row r="392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</row>
    <row r="393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</row>
    <row r="394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</row>
    <row r="395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</row>
    <row r="396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</row>
    <row r="397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</row>
    <row r="398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</row>
    <row r="399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</row>
    <row r="400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</row>
    <row r="401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</row>
    <row r="402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</row>
    <row r="403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</row>
    <row r="404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</row>
    <row r="405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</row>
    <row r="406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</row>
    <row r="407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</row>
    <row r="408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</row>
    <row r="409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</row>
    <row r="410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</row>
    <row r="411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</row>
    <row r="412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</row>
    <row r="413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</row>
    <row r="414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</row>
    <row r="415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</row>
    <row r="416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</row>
    <row r="417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</row>
    <row r="418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</row>
    <row r="419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</row>
    <row r="420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</row>
    <row r="423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</row>
    <row r="424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</row>
    <row r="425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</row>
    <row r="426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</row>
    <row r="427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</row>
    <row r="428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</row>
    <row r="429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</row>
    <row r="430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</row>
    <row r="431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</row>
    <row r="432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</row>
    <row r="433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</row>
    <row r="434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</row>
    <row r="435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</row>
    <row r="436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</row>
    <row r="437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</row>
    <row r="438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</row>
    <row r="439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</row>
    <row r="440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</row>
    <row r="441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</row>
    <row r="442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</row>
    <row r="443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</row>
    <row r="444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</row>
    <row r="445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</row>
    <row r="446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</row>
    <row r="447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</row>
    <row r="448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</row>
    <row r="449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</row>
    <row r="450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</row>
    <row r="451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</row>
    <row r="452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</row>
    <row r="453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</row>
    <row r="454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</row>
    <row r="455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</row>
    <row r="799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</row>
    <row r="80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</row>
    <row r="80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</row>
    <row r="802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</row>
    <row r="80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</row>
    <row r="804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</row>
    <row r="805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</row>
    <row r="806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</row>
    <row r="807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</row>
    <row r="808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</row>
    <row r="809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</row>
    <row r="81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</row>
    <row r="81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</row>
    <row r="812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</row>
    <row r="8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</row>
    <row r="814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</row>
    <row r="815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</row>
    <row r="816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</row>
    <row r="817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</row>
    <row r="818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</row>
    <row r="819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</row>
    <row r="82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</row>
    <row r="82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</row>
    <row r="822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</row>
    <row r="82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</row>
    <row r="824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</row>
    <row r="825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</row>
    <row r="826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</row>
    <row r="827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</row>
    <row r="828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</row>
    <row r="829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</row>
    <row r="83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</row>
    <row r="83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</row>
    <row r="832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</row>
    <row r="83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</row>
    <row r="834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</row>
    <row r="835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</row>
    <row r="836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</row>
    <row r="837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</row>
    <row r="838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</row>
    <row r="839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</row>
    <row r="84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</row>
    <row r="84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</row>
    <row r="842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</row>
    <row r="84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</row>
    <row r="844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</row>
    <row r="845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</row>
    <row r="846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</row>
    <row r="847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</row>
    <row r="848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</row>
    <row r="849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</row>
    <row r="85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</row>
    <row r="85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</row>
    <row r="852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</row>
    <row r="85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</row>
    <row r="854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</row>
    <row r="855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</row>
    <row r="856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</row>
    <row r="857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</row>
    <row r="858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</row>
    <row r="859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</row>
    <row r="8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</row>
    <row r="86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</row>
    <row r="862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</row>
    <row r="86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</row>
    <row r="864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</row>
    <row r="865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</row>
    <row r="866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</row>
    <row r="867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</row>
    <row r="868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</row>
    <row r="869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</row>
    <row r="87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</row>
    <row r="87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</row>
    <row r="872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</row>
    <row r="87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</row>
    <row r="874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</row>
    <row r="875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</row>
    <row r="876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</row>
    <row r="877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</row>
    <row r="878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</row>
    <row r="879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</row>
    <row r="88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</row>
    <row r="88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</row>
    <row r="882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</row>
    <row r="88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</row>
    <row r="884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</row>
    <row r="885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</row>
    <row r="886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</row>
    <row r="887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</row>
    <row r="888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</row>
    <row r="889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</row>
    <row r="89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</row>
    <row r="89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</row>
    <row r="892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</row>
    <row r="893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</row>
    <row r="894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</row>
    <row r="895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</row>
    <row r="896">
      <c r="A896" s="158"/>
      <c r="B896" s="158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</row>
    <row r="897">
      <c r="A897" s="158"/>
      <c r="B897" s="158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</row>
    <row r="898">
      <c r="A898" s="158"/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</row>
    <row r="899">
      <c r="A899" s="158"/>
      <c r="B899" s="158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</row>
    <row r="900">
      <c r="A900" s="158"/>
      <c r="B900" s="158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</row>
    <row r="901">
      <c r="A901" s="158"/>
      <c r="B901" s="158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</row>
    <row r="902">
      <c r="A902" s="158"/>
      <c r="B902" s="158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</row>
    <row r="903">
      <c r="A903" s="158"/>
      <c r="B903" s="158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</row>
    <row r="904">
      <c r="A904" s="158"/>
      <c r="B904" s="158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</row>
    <row r="905">
      <c r="A905" s="158"/>
      <c r="B905" s="158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</row>
    <row r="906">
      <c r="A906" s="158"/>
      <c r="B906" s="158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</row>
    <row r="907">
      <c r="A907" s="158"/>
      <c r="B907" s="158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</row>
    <row r="908">
      <c r="A908" s="158"/>
      <c r="B908" s="158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</row>
    <row r="909">
      <c r="A909" s="158"/>
      <c r="B909" s="158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</row>
    <row r="910">
      <c r="A910" s="158"/>
      <c r="B910" s="158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</row>
    <row r="911">
      <c r="A911" s="158"/>
      <c r="B911" s="158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</row>
    <row r="912">
      <c r="A912" s="158"/>
      <c r="B912" s="158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</row>
    <row r="913">
      <c r="A913" s="158"/>
      <c r="B913" s="158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</row>
    <row r="914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</row>
    <row r="915">
      <c r="A915" s="158"/>
      <c r="B915" s="158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</row>
    <row r="916">
      <c r="A916" s="158"/>
      <c r="B916" s="158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</row>
    <row r="917">
      <c r="A917" s="158"/>
      <c r="B917" s="158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</row>
    <row r="918">
      <c r="A918" s="158"/>
      <c r="B918" s="158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</row>
    <row r="919">
      <c r="A919" s="158"/>
      <c r="B919" s="158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</row>
    <row r="920">
      <c r="A920" s="158"/>
      <c r="B920" s="158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</row>
    <row r="921">
      <c r="A921" s="158"/>
      <c r="B921" s="158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</row>
    <row r="922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</row>
    <row r="923">
      <c r="A923" s="158"/>
      <c r="B923" s="158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</row>
    <row r="924">
      <c r="A924" s="158"/>
      <c r="B924" s="158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</row>
    <row r="925">
      <c r="A925" s="158"/>
      <c r="B925" s="158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</row>
    <row r="926">
      <c r="A926" s="158"/>
      <c r="B926" s="158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</row>
    <row r="927">
      <c r="A927" s="158"/>
      <c r="B927" s="158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</row>
    <row r="928">
      <c r="A928" s="158"/>
      <c r="B928" s="158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</row>
    <row r="929">
      <c r="A929" s="158"/>
      <c r="B929" s="158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</row>
    <row r="930">
      <c r="A930" s="158"/>
      <c r="B930" s="158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</row>
    <row r="931">
      <c r="A931" s="158"/>
      <c r="B931" s="158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</row>
    <row r="932">
      <c r="A932" s="158"/>
      <c r="B932" s="158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</row>
    <row r="933">
      <c r="A933" s="158"/>
      <c r="B933" s="158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</row>
    <row r="934">
      <c r="A934" s="158"/>
      <c r="B934" s="158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</row>
    <row r="935">
      <c r="A935" s="158"/>
      <c r="B935" s="158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</row>
    <row r="936">
      <c r="A936" s="158"/>
      <c r="B936" s="158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</row>
    <row r="937">
      <c r="A937" s="158"/>
      <c r="B937" s="158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</row>
    <row r="938">
      <c r="A938" s="158"/>
      <c r="B938" s="158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</row>
    <row r="939">
      <c r="A939" s="158"/>
      <c r="B939" s="158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</row>
    <row r="940">
      <c r="A940" s="158"/>
      <c r="B940" s="158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</row>
    <row r="941">
      <c r="A941" s="158"/>
      <c r="B941" s="158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</row>
    <row r="942">
      <c r="A942" s="158"/>
      <c r="B942" s="158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</row>
    <row r="943">
      <c r="A943" s="158"/>
      <c r="B943" s="158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</row>
    <row r="944">
      <c r="A944" s="158"/>
      <c r="B944" s="158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</row>
    <row r="945">
      <c r="A945" s="158"/>
      <c r="B945" s="158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</row>
    <row r="946">
      <c r="A946" s="158"/>
      <c r="B946" s="158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</row>
    <row r="947">
      <c r="A947" s="158"/>
      <c r="B947" s="158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</row>
    <row r="948">
      <c r="A948" s="158"/>
      <c r="B948" s="158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</row>
    <row r="949">
      <c r="A949" s="158"/>
      <c r="B949" s="158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</row>
    <row r="950">
      <c r="A950" s="158"/>
      <c r="B950" s="158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</row>
    <row r="951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</row>
    <row r="952">
      <c r="A952" s="158"/>
      <c r="B952" s="158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</row>
    <row r="953">
      <c r="A953" s="158"/>
      <c r="B953" s="158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</row>
    <row r="954">
      <c r="A954" s="158"/>
      <c r="B954" s="158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</row>
    <row r="955">
      <c r="A955" s="158"/>
      <c r="B955" s="158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</row>
    <row r="956">
      <c r="A956" s="158"/>
      <c r="B956" s="158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</row>
    <row r="957">
      <c r="A957" s="158"/>
      <c r="B957" s="158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</row>
    <row r="958">
      <c r="A958" s="158"/>
      <c r="B958" s="158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</row>
    <row r="959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</row>
    <row r="960">
      <c r="A960" s="158"/>
      <c r="B960" s="158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</row>
    <row r="961">
      <c r="A961" s="158"/>
      <c r="B961" s="158"/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</row>
    <row r="962">
      <c r="A962" s="158"/>
      <c r="B962" s="158"/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</row>
    <row r="963">
      <c r="A963" s="158"/>
      <c r="B963" s="158"/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</row>
    <row r="964">
      <c r="A964" s="158"/>
      <c r="B964" s="158"/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</row>
    <row r="965">
      <c r="A965" s="158"/>
      <c r="B965" s="158"/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</row>
    <row r="966">
      <c r="A966" s="158"/>
      <c r="B966" s="158"/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</row>
    <row r="967">
      <c r="A967" s="158"/>
      <c r="B967" s="158"/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</row>
    <row r="968">
      <c r="A968" s="158"/>
      <c r="B968" s="158"/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</row>
    <row r="969">
      <c r="A969" s="158"/>
      <c r="B969" s="158"/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</row>
    <row r="970">
      <c r="A970" s="158"/>
      <c r="B970" s="158"/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</row>
    <row r="971">
      <c r="A971" s="158"/>
      <c r="B971" s="158"/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</row>
    <row r="972">
      <c r="A972" s="158"/>
      <c r="B972" s="158"/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</row>
    <row r="973">
      <c r="A973" s="158"/>
      <c r="B973" s="158"/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</row>
    <row r="974">
      <c r="A974" s="158"/>
      <c r="B974" s="158"/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</row>
    <row r="975">
      <c r="A975" s="158"/>
      <c r="B975" s="158"/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</row>
    <row r="976">
      <c r="A976" s="158"/>
      <c r="B976" s="158"/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</row>
    <row r="977">
      <c r="A977" s="158"/>
      <c r="B977" s="158"/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</row>
    <row r="978">
      <c r="A978" s="158"/>
      <c r="B978" s="158"/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</row>
    <row r="979">
      <c r="A979" s="158"/>
      <c r="B979" s="158"/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</row>
    <row r="980">
      <c r="A980" s="158"/>
      <c r="B980" s="158"/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</row>
    <row r="981">
      <c r="A981" s="158"/>
      <c r="B981" s="158"/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</row>
    <row r="982">
      <c r="A982" s="158"/>
      <c r="B982" s="158"/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</row>
    <row r="983">
      <c r="A983" s="158"/>
      <c r="B983" s="158"/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</row>
    <row r="984">
      <c r="A984" s="158"/>
      <c r="B984" s="158"/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</row>
    <row r="985">
      <c r="A985" s="158"/>
      <c r="B985" s="158"/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</row>
    <row r="986">
      <c r="A986" s="158"/>
      <c r="B986" s="158"/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</row>
    <row r="987">
      <c r="A987" s="158"/>
      <c r="B987" s="158"/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</row>
    <row r="988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</row>
    <row r="989">
      <c r="A989" s="158"/>
      <c r="B989" s="158"/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</row>
    <row r="990">
      <c r="A990" s="158"/>
      <c r="B990" s="158"/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</row>
    <row r="991">
      <c r="A991" s="158"/>
      <c r="B991" s="158"/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</row>
    <row r="992">
      <c r="A992" s="158"/>
      <c r="B992" s="158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</row>
    <row r="993">
      <c r="A993" s="158"/>
      <c r="B993" s="158"/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</row>
    <row r="994">
      <c r="A994" s="158"/>
      <c r="B994" s="158"/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</row>
    <row r="995">
      <c r="A995" s="158"/>
      <c r="B995" s="158"/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  <c r="X995" s="158"/>
      <c r="Y995" s="158"/>
      <c r="Z995" s="158"/>
    </row>
    <row r="996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  <c r="X996" s="158"/>
      <c r="Y996" s="158"/>
      <c r="Z996" s="158"/>
    </row>
    <row r="997">
      <c r="A997" s="158"/>
      <c r="B997" s="158"/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  <c r="X997" s="158"/>
      <c r="Y997" s="158"/>
      <c r="Z997" s="158"/>
    </row>
    <row r="998">
      <c r="A998" s="158"/>
      <c r="B998" s="158"/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  <c r="X998" s="158"/>
      <c r="Y998" s="158"/>
      <c r="Z998" s="158"/>
    </row>
    <row r="999">
      <c r="A999" s="158"/>
      <c r="B999" s="158"/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  <c r="X999" s="158"/>
      <c r="Y999" s="158"/>
      <c r="Z999" s="158"/>
    </row>
    <row r="1000">
      <c r="A1000" s="158"/>
      <c r="B1000" s="158"/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158"/>
      <c r="X1000" s="158"/>
      <c r="Y1000" s="158"/>
      <c r="Z1000" s="15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64"/>
    </row>
    <row r="4">
      <c r="C4" s="4" t="s">
        <v>147</v>
      </c>
      <c r="D4" s="4" t="s">
        <v>148</v>
      </c>
    </row>
    <row r="24">
      <c r="C24" s="165" t="s">
        <v>147</v>
      </c>
    </row>
  </sheetData>
  <drawing r:id="rId1"/>
</worksheet>
</file>