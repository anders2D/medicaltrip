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TINERARIO GRUPO" sheetId="1" r:id="rId4"/>
    <sheet state="visible" name="VUELO" sheetId="2" r:id="rId5"/>
    <sheet state="visible" name="COSTEO " sheetId="3" r:id="rId6"/>
  </sheets>
  <definedNames/>
  <calcPr/>
  <extLst>
    <ext uri="GoogleSheetsCustomDataVersion2">
      <go:sheetsCustomData xmlns:go="http://customooxmlschemas.google.com/" r:id="rId7" roundtripDataChecksum="fW4kJKjLfxXKe8EzJDJi65xJREESzR6Ptq75iMHwS4s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8">
      <text>
        <t xml:space="preserve">======
ID#AAACFhNqsdU
MEDICAL RESERVAS    (2026-08-12 21:46:40)
los traslados aparte porque es grupo</t>
      </text>
    </comment>
  </commentList>
  <extLst>
    <ext uri="GoogleSheetsCustomDataVersion2">
      <go:sheetsCustomData xmlns:go="http://customooxmlschemas.google.com/" r:id="rId1" roundtripDataSignature="AMtx7mif/FrOPTbffoi0GdtRG2XezOXVnQ=="/>
    </ext>
  </extLst>
</comments>
</file>

<file path=xl/sharedStrings.xml><?xml version="1.0" encoding="utf-8"?>
<sst xmlns="http://schemas.openxmlformats.org/spreadsheetml/2006/main" count="123" uniqueCount="96">
  <si>
    <t>ITINERARIO:</t>
  </si>
  <si>
    <t>10- 18 OCTUBRE -  2026      08 NOCHES - 09 DÍAS</t>
  </si>
  <si>
    <t>PAGO NETOS A PROVEEDORES</t>
  </si>
  <si>
    <t>RESERVA</t>
  </si>
  <si>
    <t>PROVEEDOR</t>
  </si>
  <si>
    <t>DIA / HORA</t>
  </si>
  <si>
    <t>FECHA - ACTIVIDAD</t>
  </si>
  <si>
    <t>PAGOS</t>
  </si>
  <si>
    <t xml:space="preserve"> </t>
  </si>
  <si>
    <t>SÁBADO 10 OCTUBRE.</t>
  </si>
  <si>
    <t>ARCHIVO DE DOCUMENTOS</t>
  </si>
  <si>
    <t>PAGOS-FACTURA</t>
  </si>
  <si>
    <t>RESERVAS  Y CONFIRMACION</t>
  </si>
  <si>
    <t>AVIANCA</t>
  </si>
  <si>
    <t>SERVICIOS</t>
  </si>
  <si>
    <t>11:35 - 12 :30</t>
  </si>
  <si>
    <t>Vuelo Curazao - Bogotá</t>
  </si>
  <si>
    <t>CANTIDAD</t>
  </si>
  <si>
    <t>TARIFA NETA UNITARIA</t>
  </si>
  <si>
    <t>TARIFA EN SENCILLA</t>
  </si>
  <si>
    <t>TARIFA DOBLE</t>
  </si>
  <si>
    <t>14:25 - 15:25</t>
  </si>
  <si>
    <t>TARIFA UNITARIA</t>
  </si>
  <si>
    <t xml:space="preserve">Vuelo  Bogotá - Pereira </t>
  </si>
  <si>
    <t>Servicio</t>
  </si>
  <si>
    <t>Cantidad</t>
  </si>
  <si>
    <t>TOTAL A PAGAR EN PESOS COLOMBIANOS</t>
  </si>
  <si>
    <t>PAGOS EN PESOS</t>
  </si>
  <si>
    <t>Solicitado</t>
  </si>
  <si>
    <t>RETENCIÓN EN LA FUENTE</t>
  </si>
  <si>
    <t>JUAN URIBE - TURISMO POSITIVO</t>
  </si>
  <si>
    <t>PAGO TOTAL</t>
  </si>
  <si>
    <t>Traslado Aeropuerto Pereira - Hotel Movich Pereira</t>
  </si>
  <si>
    <t>PROVEEDOR - NOMBRE COMERCIAL</t>
  </si>
  <si>
    <t>Fecha del pago</t>
  </si>
  <si>
    <t>Valor del pago</t>
  </si>
  <si>
    <t>Forma de pago de donde salió el dinero</t>
  </si>
  <si>
    <t>HOTEL MOVICH PEREIRA</t>
  </si>
  <si>
    <t>Tipo de movimiento</t>
  </si>
  <si>
    <t>distancia de 15–20 minutos Aerop-hotel</t>
  </si>
  <si>
    <t>Comentarios</t>
  </si>
  <si>
    <t>Alojamiento en el Hotel Movich  Pereira</t>
  </si>
  <si>
    <t xml:space="preserve">eSIM Virtual  RECARGA 20 gigas de datos X 7  días </t>
  </si>
  <si>
    <t>DOMINGO 11 OCTUBRE - Programa</t>
  </si>
  <si>
    <t>Avianca - Copa Pereira</t>
  </si>
  <si>
    <t>Mi eSIM</t>
  </si>
  <si>
    <t>de lunes a sábado 6:00- a 10:00 a.m  Domingos y festivos: 6:00 - a 11:00 a.m</t>
  </si>
  <si>
    <t>Desayuno en el hotel</t>
  </si>
  <si>
    <t>Tiempo para ir al centro comercial cambio de dólares y almuerzo libre</t>
  </si>
  <si>
    <t>Día 01</t>
  </si>
  <si>
    <t>primera noche Movich</t>
  </si>
  <si>
    <t>Bogotá</t>
  </si>
  <si>
    <t>Pasajeros</t>
  </si>
  <si>
    <t>Traslado hotel Movich Pereira - Parque de la salud Dr Rojas</t>
  </si>
  <si>
    <t>viajan después almuerzo</t>
  </si>
  <si>
    <t>PARQUE DE LA SALUD DR ROJAS MANIZALES</t>
  </si>
  <si>
    <t>Inicio del programa Soy Vital 7 días - 6 noches</t>
  </si>
  <si>
    <t>Día 02</t>
  </si>
  <si>
    <t>Alojamiento Parque de la salud Dr rojas</t>
  </si>
  <si>
    <t>Precio del aeropuerto - Hotel Movich</t>
  </si>
  <si>
    <t>LUNES 12 OCTUBRE - Programa - FESTIVO</t>
  </si>
  <si>
    <t>Movich Pereira</t>
  </si>
  <si>
    <t xml:space="preserve">MARTES 13 OCTUBRE - Programa </t>
  </si>
  <si>
    <t>10 Octubre - Traslado Aeropuerto Pereira - Hotel Movich Pereira en Van para 10 pasajeros + 10 maletas de bodegas + 10 maletas de mano</t>
  </si>
  <si>
    <t>Hotel Movich Pereira</t>
  </si>
  <si>
    <t xml:space="preserve">MIÉRCOLES 14 OCTUBRE - Programa </t>
  </si>
  <si>
    <t>JUEVES 15 OCTUBRE  - Programa</t>
  </si>
  <si>
    <t>VIERNES 16 OCTUBRE - Programa</t>
  </si>
  <si>
    <t xml:space="preserve">SÁBADO 17 OCTUBRE . </t>
  </si>
  <si>
    <t>Fin del programa Soy Vital 7 días</t>
  </si>
  <si>
    <t>11 Octubre - Traslado hotel Movich Pereira - Parque de la salud Dr Rojas en Van MERCEDES para 10 pasajeros + 10 maletas de bodegas + 10 maletas de mano</t>
  </si>
  <si>
    <t>Turismo Positivo</t>
  </si>
  <si>
    <t>Almuerzo en el parque de la salud</t>
  </si>
  <si>
    <t>Traslado parque de la salud - Hotel Movich Pereira</t>
  </si>
  <si>
    <t>17 Octubre - Traslado parque de la salud - Hotel Movich Pereira en Van MERCEDES para 10 pasajeros + 10 maletas de bodegas + 10 maletas de mano</t>
  </si>
  <si>
    <t>Cena libre</t>
  </si>
  <si>
    <t>DOMINGO 18 OCTUBRE - vuelo de regreso</t>
  </si>
  <si>
    <t>Tiempo para desayunar</t>
  </si>
  <si>
    <t>18 Octubre - 17 Octubre - Traslado parque de la salud - Hotel Movich Pereira en Van para 10 pasajeros + 10 maletas de bodegas + 10 maletas de mano</t>
  </si>
  <si>
    <t>Check out</t>
  </si>
  <si>
    <t xml:space="preserve">Traslado Hotel Movich Pereira - aeropuerto </t>
  </si>
  <si>
    <t>09:50 - 10:45</t>
  </si>
  <si>
    <t>Vuelo Pereira - Bogotá</t>
  </si>
  <si>
    <t xml:space="preserve">11 - 17 Octubre - Programa Soy Vital </t>
  </si>
  <si>
    <t>Parque de la salud Dr Rojas</t>
  </si>
  <si>
    <t>Tiempo para almorzar</t>
  </si>
  <si>
    <t>14:00 - 17:00</t>
  </si>
  <si>
    <t>Vuelo Bogotá - Curazao</t>
  </si>
  <si>
    <t>Mercedes</t>
  </si>
  <si>
    <t>Almuerzo 17 Octubre</t>
  </si>
  <si>
    <t>10  y 17  Octubre  Dos noches de alojamiento en el hotel Movich Pereira</t>
  </si>
  <si>
    <t>TARIFA NETA</t>
  </si>
  <si>
    <t xml:space="preserve">Comisionable </t>
  </si>
  <si>
    <t>TARIFA PRECIO PÚBLICO FIJO EN PESOS</t>
  </si>
  <si>
    <t>TASA</t>
  </si>
  <si>
    <t>PRECIO VENTA - ORIENTATIVA EN DÓLARES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</si>
</sst>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[$$]#,##0.00"/>
    <numFmt numFmtId="165" formatCode="d/m/yyyy"/>
    <numFmt numFmtId="166" formatCode="d/M/yyyy"/>
    <numFmt numFmtId="167" formatCode="[$cop]#,##0"/>
    <numFmt numFmtId="168" formatCode="d/MM/yyyy"/>
    <numFmt numFmtId="169" formatCode="&quot;$&quot;#,##0"/>
  </numFmts>
  <fonts count="17">
    <font>
      <sz val="10.0"/>
      <color rgb="FF000000"/>
      <name val="Arial"/>
      <scheme val="minor"/>
    </font>
    <font>
      <sz val="12.0"/>
      <color theme="1"/>
      <name val="Lexend"/>
    </font>
    <font>
      <b/>
      <sz val="11.0"/>
      <color theme="1"/>
      <name val="Lexend"/>
    </font>
    <font>
      <b/>
      <sz val="13.0"/>
      <color rgb="FFFFFFFF"/>
      <name val="Lexend"/>
    </font>
    <font>
      <b/>
      <sz val="12.0"/>
      <color theme="1"/>
      <name val="Lexend"/>
    </font>
    <font>
      <b/>
      <sz val="10.0"/>
      <color rgb="FFFFFFFF"/>
      <name val="Lexend"/>
    </font>
    <font/>
    <font>
      <sz val="10.0"/>
      <color theme="1"/>
      <name val="Lexend"/>
    </font>
    <font>
      <b/>
      <sz val="11.0"/>
      <color rgb="FFFFFFFF"/>
      <name val="Lexend"/>
    </font>
    <font>
      <b/>
      <sz val="9.0"/>
      <color theme="1"/>
      <name val="Lexend"/>
    </font>
    <font>
      <sz val="11.0"/>
      <color theme="1"/>
      <name val="Lexend"/>
    </font>
    <font>
      <sz val="11.0"/>
      <color rgb="FF212529"/>
      <name val="Lexend"/>
    </font>
    <font>
      <sz val="12.0"/>
      <color theme="1"/>
      <name val="Arial"/>
      <scheme val="minor"/>
    </font>
    <font>
      <color theme="1"/>
      <name val="Arial"/>
      <scheme val="minor"/>
    </font>
    <font>
      <color theme="1"/>
      <name val="Lexend"/>
    </font>
    <font>
      <color theme="1"/>
      <name val="Arial"/>
    </font>
    <font>
      <b/>
      <sz val="11.0"/>
      <color rgb="FF212529"/>
      <name val="Lexend"/>
    </font>
  </fonts>
  <fills count="11">
    <fill>
      <patternFill patternType="none"/>
    </fill>
    <fill>
      <patternFill patternType="lightGray"/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00FFFF"/>
        <bgColor rgb="FF00FFFF"/>
      </patternFill>
    </fill>
    <fill>
      <patternFill patternType="solid">
        <fgColor rgb="FFD9EAD3"/>
        <bgColor rgb="FFD9EAD3"/>
      </patternFill>
    </fill>
    <fill>
      <patternFill patternType="solid">
        <fgColor rgb="FF073763"/>
        <bgColor rgb="FF073763"/>
      </patternFill>
    </fill>
    <fill>
      <patternFill patternType="solid">
        <fgColor rgb="FFFFE599"/>
        <bgColor rgb="FFFFE599"/>
      </patternFill>
    </fill>
    <fill>
      <patternFill patternType="solid">
        <fgColor rgb="FFFFFF00"/>
        <bgColor rgb="FFFFFF00"/>
      </patternFill>
    </fill>
    <fill>
      <patternFill patternType="solid">
        <fgColor rgb="FFEAD1DC"/>
        <bgColor rgb="FFEAD1DC"/>
      </patternFill>
    </fill>
    <fill>
      <patternFill patternType="solid">
        <fgColor rgb="FFD9D9D9"/>
        <bgColor rgb="FFD9D9D9"/>
      </patternFill>
    </fill>
  </fills>
  <borders count="8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1" fillId="2" fontId="3" numFmtId="0" xfId="0" applyAlignment="1" applyBorder="1" applyFont="1">
      <alignment horizontal="center" vertical="center"/>
    </xf>
    <xf borderId="1" fillId="2" fontId="3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left" vertical="center"/>
    </xf>
    <xf borderId="1" fillId="3" fontId="4" numFmtId="0" xfId="0" applyAlignment="1" applyBorder="1" applyFill="1" applyFont="1">
      <alignment horizontal="center" shrinkToFit="0" vertical="center" wrapText="1"/>
    </xf>
    <xf borderId="0" fillId="0" fontId="2" numFmtId="164" xfId="0" applyAlignment="1" applyFont="1" applyNumberFormat="1">
      <alignment horizontal="center" vertical="center"/>
    </xf>
    <xf borderId="2" fillId="2" fontId="5" numFmtId="0" xfId="0" applyAlignment="1" applyBorder="1" applyFont="1">
      <alignment horizontal="center" shrinkToFit="0" vertical="center" wrapText="1"/>
    </xf>
    <xf borderId="2" fillId="0" fontId="6" numFmtId="0" xfId="0" applyBorder="1" applyFont="1"/>
    <xf borderId="1" fillId="3" fontId="1" numFmtId="165" xfId="0" applyAlignment="1" applyBorder="1" applyFont="1" applyNumberFormat="1">
      <alignment vertical="center"/>
    </xf>
    <xf borderId="2" fillId="2" fontId="7" numFmtId="0" xfId="0" applyAlignment="1" applyBorder="1" applyFont="1">
      <alignment vertical="center"/>
    </xf>
    <xf borderId="1" fillId="3" fontId="1" numFmtId="0" xfId="0" applyAlignment="1" applyBorder="1" applyFont="1">
      <alignment horizontal="center" vertical="center"/>
    </xf>
    <xf borderId="2" fillId="2" fontId="7" numFmtId="166" xfId="0" applyAlignment="1" applyBorder="1" applyFont="1" applyNumberFormat="1">
      <alignment vertical="center"/>
    </xf>
    <xf borderId="0" fillId="0" fontId="7" numFmtId="0" xfId="0" applyAlignment="1" applyFont="1">
      <alignment vertical="center"/>
    </xf>
    <xf borderId="1" fillId="3" fontId="4" numFmtId="0" xfId="0" applyAlignment="1" applyBorder="1" applyFont="1">
      <alignment horizontal="center" readingOrder="0" vertical="center"/>
    </xf>
    <xf borderId="3" fillId="2" fontId="5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4" fillId="2" fontId="5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readingOrder="0" vertical="center"/>
    </xf>
    <xf borderId="4" fillId="2" fontId="8" numFmtId="0" xfId="0" applyAlignment="1" applyBorder="1" applyFont="1">
      <alignment horizontal="center" shrinkToFit="0" vertical="center" wrapText="1"/>
    </xf>
    <xf borderId="4" fillId="2" fontId="8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horizontal="center" vertical="center"/>
    </xf>
    <xf borderId="5" fillId="2" fontId="5" numFmtId="167" xfId="0" applyAlignment="1" applyBorder="1" applyFont="1" applyNumberFormat="1">
      <alignment horizontal="center" shrinkToFit="0" vertical="center" wrapText="1"/>
    </xf>
    <xf borderId="1" fillId="4" fontId="1" numFmtId="0" xfId="0" applyAlignment="1" applyBorder="1" applyFill="1" applyFont="1">
      <alignment horizontal="center" readingOrder="0" vertical="center"/>
    </xf>
    <xf borderId="5" fillId="2" fontId="5" numFmtId="0" xfId="0" applyAlignment="1" applyBorder="1" applyFont="1">
      <alignment horizontal="center" shrinkToFit="0" vertical="center" wrapText="1"/>
    </xf>
    <xf borderId="0" fillId="0" fontId="1" numFmtId="20" xfId="0" applyAlignment="1" applyFont="1" applyNumberFormat="1">
      <alignment horizontal="center" readingOrder="0" vertical="center"/>
    </xf>
    <xf borderId="1" fillId="5" fontId="1" numFmtId="0" xfId="0" applyAlignment="1" applyBorder="1" applyFill="1" applyFont="1">
      <alignment horizontal="center" vertical="center"/>
    </xf>
    <xf borderId="6" fillId="6" fontId="8" numFmtId="167" xfId="0" applyAlignment="1" applyBorder="1" applyFill="1" applyFont="1" applyNumberFormat="1">
      <alignment horizontal="center" shrinkToFit="0" vertical="center" wrapText="1"/>
    </xf>
    <xf borderId="6" fillId="6" fontId="8" numFmtId="168" xfId="0" applyAlignment="1" applyBorder="1" applyFont="1" applyNumberFormat="1">
      <alignment horizontal="center" shrinkToFit="0" vertical="center" wrapText="1"/>
    </xf>
    <xf borderId="1" fillId="0" fontId="9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vertical="center"/>
    </xf>
    <xf borderId="1" fillId="7" fontId="1" numFmtId="0" xfId="0" applyAlignment="1" applyBorder="1" applyFill="1" applyFont="1">
      <alignment horizontal="center" vertical="center"/>
    </xf>
    <xf borderId="0" fillId="0" fontId="1" numFmtId="169" xfId="0" applyAlignment="1" applyFont="1" applyNumberFormat="1">
      <alignment vertical="center"/>
    </xf>
    <xf borderId="4" fillId="0" fontId="11" numFmtId="0" xfId="0" applyAlignment="1" applyBorder="1" applyFont="1">
      <alignment readingOrder="0" shrinkToFit="0" vertical="center" wrapText="1"/>
    </xf>
    <xf borderId="0" fillId="0" fontId="4" numFmtId="0" xfId="0" applyAlignment="1" applyFont="1">
      <alignment readingOrder="0" vertical="center"/>
    </xf>
    <xf borderId="4" fillId="0" fontId="11" numFmtId="0" xfId="0" applyAlignment="1" applyBorder="1" applyFont="1">
      <alignment horizontal="center" shrinkToFit="0" vertical="center" wrapText="1"/>
    </xf>
    <xf borderId="4" fillId="0" fontId="11" numFmtId="0" xfId="0" applyAlignment="1" applyBorder="1" applyFont="1">
      <alignment horizontal="center" readingOrder="0" shrinkToFit="0" vertical="center" wrapText="1"/>
    </xf>
    <xf borderId="4" fillId="0" fontId="11" numFmtId="169" xfId="0" applyAlignment="1" applyBorder="1" applyFont="1" applyNumberFormat="1">
      <alignment horizontal="center" readingOrder="0" shrinkToFit="0" vertical="center" wrapText="1"/>
    </xf>
    <xf borderId="1" fillId="0" fontId="9" numFmtId="0" xfId="0" applyAlignment="1" applyBorder="1" applyFont="1">
      <alignment horizontal="center" readingOrder="0" shrinkToFit="0" vertical="center" wrapText="1"/>
    </xf>
    <xf borderId="4" fillId="3" fontId="11" numFmtId="169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readingOrder="0" vertical="center"/>
    </xf>
    <xf borderId="1" fillId="0" fontId="1" numFmtId="20" xfId="0" applyAlignment="1" applyBorder="1" applyFont="1" applyNumberFormat="1">
      <alignment horizontal="center" readingOrder="0" vertical="center"/>
    </xf>
    <xf borderId="1" fillId="5" fontId="1" numFmtId="0" xfId="0" applyAlignment="1" applyBorder="1" applyFont="1">
      <alignment horizontal="center" readingOrder="0" vertical="center"/>
    </xf>
    <xf borderId="4" fillId="8" fontId="2" numFmtId="0" xfId="0" applyAlignment="1" applyBorder="1" applyFill="1" applyFont="1">
      <alignment horizontal="center" readingOrder="0" vertical="center"/>
    </xf>
    <xf borderId="4" fillId="8" fontId="10" numFmtId="169" xfId="0" applyAlignment="1" applyBorder="1" applyFont="1" applyNumberFormat="1">
      <alignment horizontal="center" vertical="center"/>
    </xf>
    <xf borderId="0" fillId="0" fontId="10" numFmtId="0" xfId="0" applyAlignment="1" applyFont="1">
      <alignment horizontal="center" vertical="center"/>
    </xf>
    <xf borderId="1" fillId="9" fontId="10" numFmtId="169" xfId="0" applyAlignment="1" applyBorder="1" applyFill="1" applyFont="1" applyNumberFormat="1">
      <alignment horizontal="center" vertical="center"/>
    </xf>
    <xf borderId="7" fillId="0" fontId="1" numFmtId="0" xfId="0" applyAlignment="1" applyBorder="1" applyFont="1">
      <alignment horizontal="center" vertical="center"/>
    </xf>
    <xf borderId="0" fillId="0" fontId="10" numFmtId="167" xfId="0" applyAlignment="1" applyFont="1" applyNumberFormat="1">
      <alignment vertical="center"/>
    </xf>
    <xf borderId="7" fillId="0" fontId="1" numFmtId="0" xfId="0" applyAlignment="1" applyBorder="1" applyFont="1">
      <alignment vertical="center"/>
    </xf>
    <xf borderId="7" fillId="7" fontId="1" numFmtId="0" xfId="0" applyAlignment="1" applyBorder="1" applyFont="1">
      <alignment horizontal="center" vertical="center"/>
    </xf>
    <xf borderId="1" fillId="0" fontId="10" numFmtId="0" xfId="0" applyAlignment="1" applyBorder="1" applyFont="1">
      <alignment horizontal="center" shrinkToFit="0" vertical="center" wrapText="1"/>
    </xf>
    <xf borderId="1" fillId="3" fontId="1" numFmtId="0" xfId="0" applyAlignment="1" applyBorder="1" applyFont="1">
      <alignment horizontal="center" readingOrder="0" vertical="center"/>
    </xf>
    <xf borderId="4" fillId="4" fontId="11" numFmtId="169" xfId="0" applyAlignment="1" applyBorder="1" applyFont="1" applyNumberFormat="1">
      <alignment horizontal="center" readingOrder="0" shrinkToFit="0" vertical="center" wrapText="1"/>
    </xf>
    <xf borderId="0" fillId="9" fontId="10" numFmtId="169" xfId="0" applyAlignment="1" applyFont="1" applyNumberFormat="1">
      <alignment horizontal="center" vertical="center"/>
    </xf>
    <xf borderId="1" fillId="0" fontId="12" numFmtId="0" xfId="0" applyBorder="1" applyFont="1"/>
    <xf borderId="0" fillId="0" fontId="10" numFmtId="0" xfId="0" applyAlignment="1" applyFont="1">
      <alignment horizontal="center" shrinkToFit="0" vertical="center" wrapText="1"/>
    </xf>
    <xf borderId="0" fillId="0" fontId="13" numFmtId="0" xfId="0" applyAlignment="1" applyFont="1">
      <alignment vertical="center"/>
    </xf>
    <xf borderId="1" fillId="0" fontId="1" numFmtId="0" xfId="0" applyAlignment="1" applyBorder="1" applyFont="1">
      <alignment vertical="center"/>
    </xf>
    <xf borderId="4" fillId="8" fontId="10" numFmtId="0" xfId="0" applyAlignment="1" applyBorder="1" applyFont="1">
      <alignment horizontal="center" vertical="center"/>
    </xf>
    <xf borderId="1" fillId="10" fontId="10" numFmtId="169" xfId="0" applyAlignment="1" applyBorder="1" applyFill="1" applyFont="1" applyNumberFormat="1">
      <alignment horizontal="center" vertical="center"/>
    </xf>
    <xf borderId="1" fillId="0" fontId="4" numFmtId="0" xfId="0" applyAlignment="1" applyBorder="1" applyFont="1">
      <alignment horizontal="center" vertical="center"/>
    </xf>
    <xf borderId="4" fillId="8" fontId="11" numFmtId="169" xfId="0" applyAlignment="1" applyBorder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4" fillId="8" fontId="2" numFmtId="0" xfId="0" applyAlignment="1" applyBorder="1" applyFont="1">
      <alignment horizontal="center" vertical="center"/>
    </xf>
    <xf borderId="0" fillId="0" fontId="14" numFmtId="0" xfId="0" applyAlignment="1" applyFont="1">
      <alignment vertical="center"/>
    </xf>
    <xf borderId="4" fillId="0" fontId="11" numFmtId="169" xfId="0" applyAlignment="1" applyBorder="1" applyFont="1" applyNumberFormat="1">
      <alignment horizontal="center" shrinkToFit="0" vertical="center" wrapText="1"/>
    </xf>
    <xf borderId="0" fillId="0" fontId="15" numFmtId="0" xfId="0" applyAlignment="1" applyFont="1">
      <alignment vertical="center"/>
    </xf>
    <xf borderId="1" fillId="0" fontId="2" numFmtId="0" xfId="0" applyAlignment="1" applyBorder="1" applyFont="1">
      <alignment horizontal="center" vertical="center"/>
    </xf>
    <xf borderId="1" fillId="0" fontId="2" numFmtId="169" xfId="0" applyAlignment="1" applyBorder="1" applyFont="1" applyNumberFormat="1">
      <alignment horizontal="center" vertical="center"/>
    </xf>
    <xf borderId="1" fillId="0" fontId="16" numFmtId="0" xfId="0" applyAlignment="1" applyBorder="1" applyFont="1">
      <alignment horizontal="center" shrinkToFit="0" vertical="center" wrapText="1"/>
    </xf>
    <xf borderId="0" fillId="0" fontId="2" numFmtId="9" xfId="0" applyAlignment="1" applyFont="1" applyNumberFormat="1">
      <alignment horizontal="center" vertical="center"/>
    </xf>
    <xf borderId="1" fillId="3" fontId="9" numFmtId="0" xfId="0" applyAlignment="1" applyBorder="1" applyFont="1">
      <alignment horizontal="center" readingOrder="0" shrinkToFit="0" vertical="center" wrapText="1"/>
    </xf>
    <xf borderId="1" fillId="3" fontId="2" numFmtId="169" xfId="0" applyAlignment="1" applyBorder="1" applyFont="1" applyNumberFormat="1">
      <alignment horizontal="center" vertical="center"/>
    </xf>
    <xf borderId="1" fillId="8" fontId="16" numFmtId="0" xfId="0" applyAlignment="1" applyBorder="1" applyFont="1">
      <alignment horizontal="center" shrinkToFit="0" vertical="center" wrapText="1"/>
    </xf>
    <xf borderId="1" fillId="8" fontId="16" numFmtId="169" xfId="0" applyAlignment="1" applyBorder="1" applyFont="1" applyNumberFormat="1">
      <alignment horizontal="center" shrinkToFit="0" vertical="center" wrapText="1"/>
    </xf>
    <xf borderId="1" fillId="8" fontId="9" numFmtId="0" xfId="0" applyAlignment="1" applyBorder="1" applyFont="1">
      <alignment horizontal="center" shrinkToFit="0" vertical="center" wrapText="1"/>
    </xf>
    <xf borderId="1" fillId="8" fontId="2" numFmtId="169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104775</xdr:colOff>
      <xdr:row>1</xdr:row>
      <xdr:rowOff>57150</xdr:rowOff>
    </xdr:from>
    <xdr:ext cx="4876800" cy="521970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219075</xdr:colOff>
      <xdr:row>1</xdr:row>
      <xdr:rowOff>142875</xdr:rowOff>
    </xdr:from>
    <xdr:ext cx="4876800" cy="5276850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31.25"/>
    <col customWidth="1" min="3" max="3" width="47.13"/>
    <col customWidth="1" min="4" max="4" width="25.25"/>
    <col customWidth="1" min="5" max="5" width="70.5"/>
    <col customWidth="1" min="7" max="7" width="38.88"/>
  </cols>
  <sheetData>
    <row r="1" ht="29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29.25" customHeight="1">
      <c r="A2" s="1"/>
      <c r="B2" s="5"/>
      <c r="C2" s="5"/>
      <c r="D2" s="6" t="s">
        <v>0</v>
      </c>
      <c r="E2" s="7" t="s">
        <v>1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9.25" customHeight="1">
      <c r="A3" s="1"/>
      <c r="B3" s="9" t="s">
        <v>3</v>
      </c>
      <c r="C3" s="9" t="s">
        <v>4</v>
      </c>
      <c r="D3" s="9" t="s">
        <v>5</v>
      </c>
      <c r="E3" s="9" t="s">
        <v>6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29.25" customHeight="1">
      <c r="A4" s="1"/>
      <c r="B4" s="13"/>
      <c r="C4" s="15" t="s">
        <v>8</v>
      </c>
      <c r="D4" s="15">
        <v>1.0</v>
      </c>
      <c r="E4" s="18" t="s">
        <v>9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ht="29.25" customHeight="1">
      <c r="A5" s="20"/>
      <c r="B5" s="21"/>
      <c r="C5" s="21" t="s">
        <v>13</v>
      </c>
      <c r="D5" s="23" t="s">
        <v>15</v>
      </c>
      <c r="E5" s="21" t="s">
        <v>16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ht="29.25" customHeight="1">
      <c r="A6" s="20"/>
      <c r="B6" s="21"/>
      <c r="C6" s="21" t="s">
        <v>13</v>
      </c>
      <c r="D6" s="23" t="s">
        <v>21</v>
      </c>
      <c r="E6" s="21" t="s">
        <v>23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ht="29.25" customHeight="1">
      <c r="A7" s="20"/>
      <c r="B7" s="28" t="s">
        <v>28</v>
      </c>
      <c r="C7" s="21" t="s">
        <v>30</v>
      </c>
      <c r="D7" s="30">
        <v>0.6666666666666666</v>
      </c>
      <c r="E7" s="31" t="s">
        <v>32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ht="29.25" customHeight="1">
      <c r="A8" s="20"/>
      <c r="B8" s="28" t="s">
        <v>28</v>
      </c>
      <c r="C8" s="21" t="s">
        <v>37</v>
      </c>
      <c r="D8" s="34" t="s">
        <v>39</v>
      </c>
      <c r="E8" s="36" t="s">
        <v>41</v>
      </c>
      <c r="F8" s="37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ht="29.25" customHeight="1">
      <c r="A9" s="20"/>
      <c r="B9" s="13"/>
      <c r="C9" s="15" t="s">
        <v>8</v>
      </c>
      <c r="D9" s="15">
        <v>2.0</v>
      </c>
      <c r="E9" s="18" t="s">
        <v>43</v>
      </c>
      <c r="F9" s="2"/>
      <c r="G9" s="39" t="s">
        <v>44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ht="36.0" customHeight="1">
      <c r="A10" s="20"/>
      <c r="B10" s="21"/>
      <c r="C10" s="21" t="s">
        <v>37</v>
      </c>
      <c r="D10" s="43" t="s">
        <v>46</v>
      </c>
      <c r="E10" s="21" t="s">
        <v>47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ht="29.25" customHeight="1">
      <c r="A11" s="20"/>
      <c r="B11" s="21"/>
      <c r="C11" s="21"/>
      <c r="D11" s="21"/>
      <c r="E11" s="23" t="s">
        <v>48</v>
      </c>
      <c r="F11" s="45" t="s">
        <v>49</v>
      </c>
      <c r="G11" s="45" t="s">
        <v>50</v>
      </c>
      <c r="H11" s="45" t="s">
        <v>51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ht="29.25" customHeight="1">
      <c r="A12" s="20"/>
      <c r="B12" s="28" t="s">
        <v>28</v>
      </c>
      <c r="C12" s="21" t="s">
        <v>30</v>
      </c>
      <c r="D12" s="46">
        <v>0.5416666666666666</v>
      </c>
      <c r="E12" s="47" t="s">
        <v>53</v>
      </c>
      <c r="F12" s="2"/>
      <c r="G12" s="45" t="s">
        <v>54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ht="29.25" customHeight="1">
      <c r="A13" s="20"/>
      <c r="B13" s="21"/>
      <c r="C13" s="21" t="s">
        <v>55</v>
      </c>
      <c r="D13" s="46">
        <v>0.625</v>
      </c>
      <c r="E13" s="23" t="s">
        <v>56</v>
      </c>
      <c r="F13" s="45" t="s">
        <v>57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ht="29.25" customHeight="1">
      <c r="A14" s="20"/>
      <c r="B14" s="52"/>
      <c r="C14" s="52" t="s">
        <v>55</v>
      </c>
      <c r="D14" s="54"/>
      <c r="E14" s="55" t="s">
        <v>58</v>
      </c>
      <c r="F14" s="2"/>
      <c r="G14" s="45" t="s">
        <v>59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ht="29.25" customHeight="1">
      <c r="A15" s="20"/>
      <c r="B15" s="13"/>
      <c r="C15" s="15" t="s">
        <v>8</v>
      </c>
      <c r="D15" s="57">
        <v>3.0</v>
      </c>
      <c r="E15" s="18" t="s">
        <v>60</v>
      </c>
      <c r="F15" s="2"/>
      <c r="G15" s="45" t="s">
        <v>61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ht="29.25" customHeight="1">
      <c r="A16" s="20"/>
      <c r="B16" s="13"/>
      <c r="C16" s="15" t="s">
        <v>8</v>
      </c>
      <c r="D16" s="57">
        <v>4.0</v>
      </c>
      <c r="E16" s="18" t="s">
        <v>62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ht="29.25" customHeight="1">
      <c r="A17" s="20"/>
      <c r="B17" s="13"/>
      <c r="C17" s="15" t="s">
        <v>8</v>
      </c>
      <c r="D17" s="57">
        <v>5.0</v>
      </c>
      <c r="E17" s="18" t="s">
        <v>65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ht="29.25" customHeight="1">
      <c r="A18" s="20"/>
      <c r="B18" s="13"/>
      <c r="C18" s="15" t="s">
        <v>8</v>
      </c>
      <c r="D18" s="57">
        <v>6.0</v>
      </c>
      <c r="E18" s="18" t="s">
        <v>66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ht="29.25" customHeight="1">
      <c r="A19" s="20"/>
      <c r="B19" s="13"/>
      <c r="C19" s="15" t="s">
        <v>8</v>
      </c>
      <c r="D19" s="57">
        <v>7.0</v>
      </c>
      <c r="E19" s="18" t="s">
        <v>67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ht="29.25" customHeight="1">
      <c r="A20" s="20"/>
      <c r="B20" s="13"/>
      <c r="C20" s="15" t="s">
        <v>8</v>
      </c>
      <c r="D20" s="57">
        <v>8.0</v>
      </c>
      <c r="E20" s="18" t="s">
        <v>68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ht="29.25" customHeight="1">
      <c r="A21" s="20"/>
      <c r="B21" s="21"/>
      <c r="C21" s="60"/>
      <c r="D21" s="23"/>
      <c r="E21" s="21" t="s">
        <v>69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ht="29.25" customHeight="1">
      <c r="A22" s="20"/>
      <c r="B22" s="60"/>
      <c r="C22" s="60"/>
      <c r="D22" s="60"/>
      <c r="E22" s="23" t="s">
        <v>72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ht="29.25" customHeight="1">
      <c r="A23" s="20"/>
      <c r="B23" s="28" t="s">
        <v>28</v>
      </c>
      <c r="C23" s="21" t="s">
        <v>30</v>
      </c>
      <c r="D23" s="46">
        <v>0.5416666666666666</v>
      </c>
      <c r="E23" s="47" t="s">
        <v>73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ht="29.25" customHeight="1">
      <c r="A24" s="20"/>
      <c r="B24" s="21"/>
      <c r="C24" s="21" t="s">
        <v>37</v>
      </c>
      <c r="D24" s="34"/>
      <c r="E24" s="36" t="s">
        <v>41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ht="29.25" customHeight="1">
      <c r="A25" s="1"/>
      <c r="B25" s="21"/>
      <c r="C25" s="21"/>
      <c r="D25" s="63"/>
      <c r="E25" s="23" t="s">
        <v>75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ht="29.25" customHeight="1">
      <c r="A26" s="1"/>
      <c r="B26" s="13"/>
      <c r="C26" s="15" t="s">
        <v>8</v>
      </c>
      <c r="D26" s="57">
        <v>9.0</v>
      </c>
      <c r="E26" s="18" t="s">
        <v>76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ht="29.25" customHeight="1">
      <c r="A27" s="1"/>
      <c r="B27" s="21"/>
      <c r="C27" s="21"/>
      <c r="D27" s="46">
        <v>0.25</v>
      </c>
      <c r="E27" s="23" t="s">
        <v>77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ht="29.25" customHeight="1">
      <c r="A28" s="1"/>
      <c r="B28" s="21"/>
      <c r="C28" s="21"/>
      <c r="D28" s="46">
        <v>0.2916666666666667</v>
      </c>
      <c r="E28" s="23" t="s">
        <v>79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ht="29.25" customHeight="1">
      <c r="A29" s="1"/>
      <c r="B29" s="28" t="s">
        <v>28</v>
      </c>
      <c r="C29" s="21" t="s">
        <v>30</v>
      </c>
      <c r="D29" s="46">
        <v>0.3125</v>
      </c>
      <c r="E29" s="47" t="s">
        <v>80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ht="29.25" customHeight="1">
      <c r="A30" s="1"/>
      <c r="B30" s="21"/>
      <c r="C30" s="21"/>
      <c r="D30" s="23" t="s">
        <v>81</v>
      </c>
      <c r="E30" s="23" t="s">
        <v>82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ht="29.25" customHeight="1">
      <c r="A31" s="1"/>
      <c r="B31" s="21"/>
      <c r="C31" s="21"/>
      <c r="D31" s="66"/>
      <c r="E31" s="23" t="s">
        <v>85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ht="29.25" customHeight="1">
      <c r="A32" s="68"/>
      <c r="B32" s="21"/>
      <c r="C32" s="21"/>
      <c r="D32" s="23" t="s">
        <v>86</v>
      </c>
      <c r="E32" s="23" t="s">
        <v>87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ht="29.25" customHeight="1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 ht="29.25" customHeight="1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ht="29.25" customHeight="1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ht="29.25" customHeight="1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ht="29.25" customHeight="1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 ht="29.25" customHeight="1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 ht="29.25" customHeight="1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ht="29.25" customHeight="1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ht="29.25" customHeight="1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ht="29.25" customHeight="1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ht="29.25" customHeight="1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ht="29.25" customHeight="1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ht="29.25" customHeight="1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ht="29.25" customHeight="1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 ht="29.25" customHeight="1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 ht="29.25" customHeight="1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 ht="29.25" customHeight="1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 ht="29.25" customHeight="1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ht="29.25" customHeight="1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 ht="29.25" customHeight="1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 ht="29.25" customHeight="1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 ht="29.25" customHeight="1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ht="29.25" customHeight="1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ht="29.25" customHeight="1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 ht="29.25" customHeight="1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 ht="29.25" customHeight="1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 ht="29.25" customHeight="1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 ht="29.25" customHeight="1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ht="29.25" customHeight="1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 ht="29.25" customHeight="1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 ht="29.25" customHeight="1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 ht="29.25" customHeight="1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 ht="29.25" customHeight="1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 ht="29.25" customHeight="1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ht="29.25" customHeight="1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 ht="29.25" customHeight="1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 ht="29.25" customHeight="1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 ht="29.25" customHeight="1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 ht="29.25" customHeight="1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 ht="29.25" customHeight="1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ht="29.25" customHeight="1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 ht="29.25" customHeight="1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 ht="29.25" customHeight="1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 ht="29.25" customHeight="1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 ht="29.25" customHeight="1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 ht="29.25" customHeight="1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 ht="29.25" customHeight="1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 ht="29.25" customHeight="1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ht="29.25" customHeight="1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ht="29.25" customHeight="1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 ht="29.25" customHeight="1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 ht="29.25" customHeight="1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 ht="29.25" customHeight="1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 ht="29.25" customHeight="1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 ht="29.25" customHeight="1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 ht="29.25" customHeight="1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 ht="29.25" customHeight="1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 ht="29.25" customHeight="1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 ht="29.25" customHeight="1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 ht="29.25" customHeight="1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 ht="29.25" customHeight="1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 ht="29.25" customHeight="1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 ht="29.25" customHeight="1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 ht="29.25" customHeight="1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 ht="29.25" customHeight="1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 ht="29.25" customHeight="1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 ht="29.25" customHeight="1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 ht="29.25" customHeight="1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 ht="29.25" customHeight="1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 ht="29.25" customHeight="1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 ht="29.25" customHeight="1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 ht="29.25" customHeight="1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 ht="29.25" customHeight="1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 ht="29.25" customHeight="1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 ht="29.25" customHeight="1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 ht="29.25" customHeight="1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 ht="29.25" customHeight="1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 ht="29.25" customHeight="1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 ht="29.25" customHeight="1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 ht="29.25" customHeight="1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 ht="29.25" customHeight="1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 ht="29.25" customHeight="1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 ht="29.25" customHeight="1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 ht="29.25" customHeight="1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 ht="29.25" customHeight="1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 ht="29.25" customHeight="1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 ht="29.25" customHeight="1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 ht="29.25" customHeight="1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 ht="29.25" customHeight="1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 ht="29.25" customHeight="1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 ht="29.25" customHeight="1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 ht="29.25" customHeight="1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 ht="29.25" customHeight="1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 ht="29.25" customHeight="1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 ht="29.25" customHeight="1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 ht="29.25" customHeight="1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 ht="29.25" customHeight="1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 ht="29.25" customHeight="1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 ht="29.25" customHeight="1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 ht="29.25" customHeight="1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 ht="29.25" customHeight="1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 ht="29.25" customHeight="1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 ht="29.25" customHeight="1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 ht="29.25" customHeight="1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 ht="29.25" customHeight="1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 ht="29.25" customHeight="1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 ht="29.25" customHeight="1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 ht="29.25" customHeight="1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 ht="29.25" customHeight="1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 ht="29.25" customHeight="1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r="143" ht="29.25" customHeight="1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r="144" ht="29.25" customHeight="1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5" ht="29.25" customHeight="1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 ht="29.25" customHeight="1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 ht="29.25" customHeight="1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 ht="29.25" customHeight="1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 ht="29.25" customHeight="1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 ht="29.25" customHeight="1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ht="29.25" customHeight="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ht="29.25" customHeight="1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ht="29.25" customHeight="1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ht="29.25" customHeight="1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 ht="29.25" customHeight="1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 ht="29.25" customHeight="1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ht="29.25" customHeight="1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ht="29.25" customHeight="1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 ht="29.25" customHeight="1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ht="29.25" customHeight="1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 ht="29.25" customHeight="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 ht="29.25" customHeight="1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ht="29.25" customHeight="1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ht="29.25" customHeight="1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 ht="29.25" customHeight="1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 ht="29.25" customHeight="1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 ht="29.25" customHeight="1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 ht="29.25" customHeight="1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ht="29.25" customHeight="1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 ht="29.25" customHeight="1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 ht="29.25" customHeight="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 ht="29.25" customHeight="1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 ht="29.25" customHeight="1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ht="29.25" customHeight="1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 ht="29.25" customHeight="1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 ht="29.25" customHeight="1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 ht="29.25" customHeight="1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 ht="29.25" customHeight="1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ht="29.25" customHeight="1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 ht="29.25" customHeight="1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 ht="29.25" customHeight="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 ht="29.25" customHeight="1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 ht="29.25" customHeight="1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ht="29.25" customHeight="1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 ht="29.25" customHeight="1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 ht="29.25" customHeight="1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 ht="29.25" customHeight="1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 ht="29.25" customHeight="1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ht="29.25" customHeight="1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 ht="29.25" customHeight="1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 ht="29.25" customHeight="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 ht="29.25" customHeight="1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 ht="29.25" customHeight="1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 ht="29.25" customHeight="1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ht="29.25" customHeight="1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ht="29.25" customHeight="1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 ht="29.25" customHeight="1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 ht="29.25" customHeight="1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 ht="29.25" customHeight="1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 ht="29.25" customHeight="1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 ht="29.25" customHeight="1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 ht="29.25" customHeight="1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 ht="29.25" customHeight="1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 ht="29.25" customHeight="1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 ht="29.25" customHeight="1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 ht="29.25" customHeight="1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 ht="29.25" customHeight="1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 ht="29.25" customHeight="1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 ht="29.25" customHeight="1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 ht="29.25" customHeight="1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 ht="29.25" customHeight="1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 ht="29.25" customHeight="1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 ht="29.25" customHeight="1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 ht="29.25" customHeight="1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 ht="29.25" customHeight="1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ht="29.25" customHeight="1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 ht="29.25" customHeight="1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 ht="29.25" customHeight="1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 ht="29.25" customHeight="1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 ht="29.25" customHeight="1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 ht="29.25" customHeight="1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 ht="29.25" customHeight="1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 ht="29.25" customHeight="1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 ht="29.25" customHeight="1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 ht="29.25" customHeight="1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 ht="29.25" customHeight="1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 ht="29.25" customHeight="1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 ht="29.25" customHeight="1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 ht="29.25" customHeight="1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 ht="29.25" customHeight="1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 ht="29.25" customHeight="1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 ht="29.25" customHeight="1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 ht="29.25" customHeight="1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 ht="29.25" customHeight="1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 ht="29.25" customHeight="1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 ht="29.25" customHeight="1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 ht="29.25" customHeight="1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 ht="29.25" customHeight="1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 ht="29.25" customHeight="1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 ht="29.25" customHeight="1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 ht="29.25" customHeight="1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 ht="29.25" customHeight="1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 ht="29.25" customHeight="1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 ht="29.25" customHeight="1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 ht="29.25" customHeight="1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 ht="29.25" customHeight="1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 ht="29.25" customHeight="1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 ht="29.25" customHeight="1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 ht="29.25" customHeight="1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 ht="29.25" customHeight="1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 ht="29.25" customHeight="1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 ht="29.25" customHeight="1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 ht="29.25" customHeight="1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 ht="29.25" customHeight="1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 ht="29.25" customHeight="1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 ht="29.25" customHeight="1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 ht="29.25" customHeight="1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 ht="29.25" customHeight="1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 ht="29.25" customHeight="1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 ht="29.25" customHeight="1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 ht="29.25" customHeight="1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 ht="29.25" customHeight="1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 ht="29.25" customHeight="1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 ht="29.25" customHeight="1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 ht="29.25" customHeight="1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 ht="29.25" customHeight="1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 ht="29.25" customHeight="1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 ht="29.25" customHeight="1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 ht="29.25" customHeight="1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 ht="29.25" customHeight="1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 ht="29.25" customHeight="1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 ht="29.25" customHeight="1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 ht="29.25" customHeight="1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 ht="29.25" customHeight="1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 ht="29.25" customHeight="1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 ht="29.25" customHeight="1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 ht="29.25" customHeight="1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 ht="29.25" customHeight="1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79" ht="29.25" customHeight="1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 ht="29.25" customHeight="1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 ht="29.25" customHeight="1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 ht="29.25" customHeight="1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 ht="29.25" customHeight="1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 ht="29.25" customHeight="1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 ht="29.25" customHeight="1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 ht="29.25" customHeight="1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 ht="29.25" customHeight="1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 ht="29.25" customHeight="1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 ht="29.25" customHeight="1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 ht="29.25" customHeight="1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 ht="29.25" customHeight="1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 ht="29.25" customHeight="1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 ht="29.25" customHeight="1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 ht="29.25" customHeight="1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 ht="29.25" customHeight="1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 ht="29.25" customHeight="1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 ht="29.25" customHeight="1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 ht="29.25" customHeight="1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 ht="29.25" customHeight="1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 ht="29.25" customHeight="1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 ht="29.25" customHeight="1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 ht="29.25" customHeight="1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 ht="29.25" customHeight="1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 ht="29.25" customHeight="1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 ht="29.25" customHeight="1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 ht="29.25" customHeight="1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 ht="29.25" customHeight="1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 ht="29.25" customHeight="1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 ht="29.25" customHeight="1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 ht="29.25" customHeight="1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 ht="29.25" customHeight="1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 ht="29.25" customHeight="1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 ht="29.25" customHeight="1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 ht="29.25" customHeight="1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 ht="29.25" customHeight="1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 ht="29.25" customHeight="1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 ht="29.25" customHeight="1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 ht="29.25" customHeight="1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 ht="29.25" customHeight="1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 ht="29.25" customHeight="1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 ht="29.25" customHeight="1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 ht="29.25" customHeight="1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 ht="29.25" customHeight="1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 ht="29.25" customHeight="1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 ht="29.25" customHeight="1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 ht="29.25" customHeight="1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 ht="29.25" customHeight="1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 ht="29.25" customHeight="1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 ht="29.25" customHeight="1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 ht="29.25" customHeight="1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 ht="29.25" customHeight="1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 ht="29.25" customHeight="1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 ht="29.25" customHeight="1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 ht="29.25" customHeight="1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 ht="29.25" customHeight="1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 ht="29.25" customHeight="1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 ht="29.25" customHeight="1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 ht="29.25" customHeight="1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 ht="29.25" customHeight="1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 ht="29.25" customHeight="1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 ht="29.25" customHeight="1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 ht="29.25" customHeight="1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 ht="29.25" customHeight="1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 ht="29.25" customHeight="1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 ht="29.25" customHeight="1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 ht="29.25" customHeight="1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 ht="29.25" customHeight="1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 ht="29.25" customHeight="1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 ht="29.25" customHeight="1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 ht="29.25" customHeight="1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 ht="29.25" customHeight="1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 ht="29.25" customHeight="1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 ht="29.25" customHeight="1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</row>
    <row r="354" ht="29.25" customHeight="1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</row>
    <row r="355" ht="29.25" customHeight="1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</row>
    <row r="356" ht="29.25" customHeight="1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</row>
    <row r="357" ht="29.25" customHeight="1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</row>
    <row r="358" ht="29.25" customHeight="1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</row>
    <row r="359" ht="29.25" customHeight="1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</row>
    <row r="360" ht="29.25" customHeight="1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</row>
    <row r="361" ht="29.25" customHeight="1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</row>
    <row r="362" ht="29.25" customHeight="1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</row>
    <row r="363" ht="29.25" customHeight="1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</row>
    <row r="364" ht="29.25" customHeight="1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</row>
    <row r="365" ht="29.25" customHeight="1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</row>
    <row r="366" ht="29.25" customHeight="1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</row>
    <row r="367" ht="29.25" customHeight="1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</row>
    <row r="368" ht="29.25" customHeight="1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</row>
    <row r="369" ht="29.25" customHeight="1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</row>
    <row r="370" ht="29.25" customHeight="1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</row>
    <row r="371" ht="29.25" customHeight="1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</row>
    <row r="372" ht="29.25" customHeight="1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</row>
    <row r="373" ht="29.25" customHeight="1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</row>
    <row r="374" ht="29.25" customHeight="1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</row>
    <row r="375" ht="29.25" customHeight="1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</row>
    <row r="376" ht="29.25" customHeight="1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</row>
    <row r="377" ht="29.25" customHeight="1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</row>
    <row r="378" ht="29.25" customHeight="1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</row>
    <row r="379" ht="29.25" customHeight="1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</row>
    <row r="380" ht="29.25" customHeight="1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</row>
    <row r="381" ht="29.25" customHeight="1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</row>
    <row r="382" ht="29.25" customHeight="1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</row>
    <row r="383" ht="29.25" customHeight="1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</row>
    <row r="384" ht="29.25" customHeight="1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</row>
    <row r="385" ht="29.25" customHeight="1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</row>
    <row r="386" ht="29.25" customHeight="1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</row>
    <row r="387" ht="29.25" customHeight="1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</row>
    <row r="388" ht="29.25" customHeight="1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</row>
    <row r="389" ht="29.25" customHeight="1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</row>
    <row r="390" ht="29.25" customHeight="1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</row>
    <row r="391" ht="29.25" customHeight="1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</row>
    <row r="392" ht="29.25" customHeight="1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</row>
    <row r="393" ht="29.25" customHeight="1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</row>
    <row r="394" ht="29.25" customHeight="1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</row>
    <row r="395" ht="29.25" customHeight="1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</row>
    <row r="396" ht="29.25" customHeight="1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</row>
    <row r="397" ht="29.25" customHeight="1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</row>
    <row r="398" ht="29.25" customHeight="1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</row>
    <row r="399" ht="29.25" customHeight="1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</row>
    <row r="400" ht="29.25" customHeight="1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</row>
    <row r="401" ht="29.25" customHeight="1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</row>
    <row r="402" ht="29.25" customHeight="1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</row>
    <row r="403" ht="29.25" customHeight="1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</row>
    <row r="404" ht="29.25" customHeight="1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</row>
    <row r="405" ht="29.25" customHeight="1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</row>
    <row r="406" ht="29.25" customHeight="1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</row>
    <row r="407" ht="29.25" customHeight="1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</row>
    <row r="408" ht="29.25" customHeight="1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</row>
    <row r="409" ht="29.25" customHeight="1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</row>
    <row r="410" ht="29.25" customHeight="1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</row>
    <row r="411" ht="29.25" customHeight="1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</row>
    <row r="412" ht="29.25" customHeight="1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</row>
    <row r="413" ht="29.25" customHeight="1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</row>
    <row r="414" ht="29.25" customHeight="1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</row>
    <row r="415" ht="29.25" customHeight="1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</row>
    <row r="416" ht="29.25" customHeight="1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</row>
    <row r="417" ht="29.25" customHeight="1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</row>
    <row r="418" ht="29.25" customHeight="1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</row>
    <row r="419" ht="29.25" customHeight="1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</row>
    <row r="420" ht="29.25" customHeight="1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</row>
    <row r="421" ht="29.25" customHeight="1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</row>
    <row r="422" ht="29.25" customHeight="1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</row>
    <row r="423" ht="29.25" customHeight="1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</row>
    <row r="424" ht="29.25" customHeight="1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</row>
    <row r="425" ht="29.25" customHeight="1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</row>
    <row r="426" ht="29.25" customHeight="1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</row>
    <row r="427" ht="29.25" customHeight="1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</row>
    <row r="428" ht="29.25" customHeight="1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</row>
    <row r="429" ht="29.25" customHeight="1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</row>
    <row r="430" ht="29.25" customHeight="1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</row>
    <row r="431" ht="29.25" customHeight="1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</row>
    <row r="432" ht="29.25" customHeight="1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</row>
    <row r="433" ht="29.25" customHeight="1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</row>
    <row r="434" ht="29.25" customHeight="1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</row>
    <row r="435" ht="29.25" customHeight="1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</row>
    <row r="436" ht="29.25" customHeight="1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</row>
    <row r="437" ht="29.25" customHeight="1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</row>
    <row r="438" ht="29.25" customHeight="1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</row>
    <row r="439" ht="29.25" customHeight="1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</row>
    <row r="440" ht="29.25" customHeight="1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</row>
    <row r="441" ht="29.25" customHeight="1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</row>
    <row r="442" ht="29.25" customHeight="1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</row>
    <row r="443" ht="29.25" customHeight="1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</row>
    <row r="444" ht="29.25" customHeight="1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</row>
    <row r="445" ht="29.25" customHeight="1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</row>
    <row r="446" ht="29.25" customHeight="1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</row>
    <row r="447" ht="29.25" customHeight="1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</row>
    <row r="448" ht="29.25" customHeight="1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</row>
    <row r="449" ht="29.25" customHeight="1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</row>
    <row r="450" ht="29.25" customHeight="1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</row>
    <row r="451" ht="29.25" customHeight="1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</row>
    <row r="452" ht="29.25" customHeight="1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</row>
    <row r="453" ht="29.25" customHeight="1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</row>
    <row r="454" ht="29.25" customHeight="1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</row>
    <row r="455" ht="29.25" customHeight="1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</row>
    <row r="456" ht="29.25" customHeight="1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</row>
    <row r="457" ht="29.25" customHeight="1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</row>
    <row r="458" ht="29.25" customHeight="1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</row>
    <row r="459" ht="29.25" customHeight="1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</row>
    <row r="460" ht="29.25" customHeight="1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</row>
    <row r="461" ht="29.25" customHeight="1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</row>
    <row r="462" ht="29.25" customHeight="1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</row>
    <row r="463" ht="29.25" customHeight="1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</row>
    <row r="464" ht="29.25" customHeight="1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</row>
    <row r="465" ht="29.25" customHeight="1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</row>
    <row r="466" ht="29.25" customHeight="1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</row>
    <row r="467" ht="29.25" customHeight="1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</row>
    <row r="468" ht="29.25" customHeight="1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</row>
    <row r="469" ht="29.25" customHeight="1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</row>
    <row r="470" ht="29.25" customHeight="1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</row>
    <row r="471" ht="29.25" customHeight="1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</row>
    <row r="472" ht="29.25" customHeight="1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</row>
    <row r="473" ht="29.25" customHeight="1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</row>
    <row r="474" ht="29.25" customHeight="1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</row>
    <row r="475" ht="29.25" customHeight="1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</row>
    <row r="476" ht="29.25" customHeight="1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</row>
    <row r="477" ht="29.25" customHeight="1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</row>
    <row r="478" ht="29.25" customHeight="1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</row>
    <row r="479" ht="29.25" customHeight="1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</row>
    <row r="480" ht="29.25" customHeight="1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</row>
    <row r="481" ht="29.25" customHeight="1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</row>
    <row r="482" ht="29.25" customHeight="1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</row>
    <row r="483" ht="29.25" customHeight="1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</row>
    <row r="484" ht="29.25" customHeight="1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</row>
    <row r="485" ht="29.25" customHeight="1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</row>
    <row r="486" ht="29.25" customHeight="1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</row>
    <row r="487" ht="29.25" customHeight="1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</row>
    <row r="488" ht="29.25" customHeight="1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</row>
    <row r="489" ht="29.25" customHeight="1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</row>
    <row r="490" ht="29.25" customHeight="1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</row>
    <row r="491" ht="29.25" customHeight="1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</row>
    <row r="492" ht="29.25" customHeight="1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</row>
    <row r="493" ht="29.25" customHeight="1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</row>
    <row r="494" ht="29.25" customHeight="1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</row>
    <row r="495" ht="29.25" customHeight="1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</row>
    <row r="496" ht="29.25" customHeight="1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</row>
    <row r="497" ht="29.25" customHeight="1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</row>
    <row r="498" ht="29.25" customHeight="1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</row>
    <row r="499" ht="29.25" customHeight="1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</row>
    <row r="500" ht="29.25" customHeight="1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</row>
    <row r="501" ht="29.25" customHeight="1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</row>
    <row r="502" ht="29.25" customHeight="1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</row>
    <row r="503" ht="29.25" customHeight="1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</row>
    <row r="504" ht="29.25" customHeight="1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</row>
    <row r="505" ht="29.25" customHeight="1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</row>
    <row r="506" ht="29.25" customHeight="1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</row>
    <row r="507" ht="29.25" customHeight="1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</row>
    <row r="508" ht="29.25" customHeight="1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</row>
    <row r="509" ht="29.25" customHeight="1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</row>
    <row r="510" ht="29.25" customHeight="1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</row>
    <row r="511" ht="29.25" customHeight="1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</row>
    <row r="512" ht="29.25" customHeight="1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</row>
    <row r="513" ht="29.25" customHeight="1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</row>
    <row r="514" ht="29.25" customHeight="1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</row>
    <row r="515" ht="29.25" customHeight="1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</row>
    <row r="516" ht="29.25" customHeight="1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</row>
    <row r="517" ht="29.25" customHeight="1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</row>
    <row r="518" ht="29.25" customHeight="1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</row>
    <row r="519" ht="29.25" customHeight="1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</row>
    <row r="520" ht="29.25" customHeight="1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</row>
    <row r="521" ht="29.25" customHeight="1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</row>
    <row r="522" ht="29.25" customHeight="1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</row>
    <row r="523" ht="29.25" customHeight="1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</row>
    <row r="524" ht="29.25" customHeight="1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</row>
    <row r="525" ht="29.25" customHeight="1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</row>
    <row r="526" ht="29.25" customHeight="1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</row>
    <row r="527" ht="29.25" customHeight="1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</row>
    <row r="528" ht="29.25" customHeight="1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</row>
    <row r="529" ht="29.25" customHeight="1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</row>
    <row r="530" ht="29.25" customHeight="1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</row>
    <row r="531" ht="29.25" customHeight="1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</row>
    <row r="532" ht="29.25" customHeight="1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</row>
    <row r="533" ht="29.25" customHeight="1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</row>
    <row r="534" ht="29.25" customHeight="1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</row>
    <row r="535" ht="29.25" customHeight="1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</row>
    <row r="536" ht="29.25" customHeight="1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</row>
    <row r="537" ht="29.25" customHeight="1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</row>
    <row r="538" ht="29.25" customHeight="1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</row>
    <row r="539" ht="29.25" customHeight="1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</row>
    <row r="540" ht="29.25" customHeight="1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</row>
    <row r="541" ht="29.25" customHeight="1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</row>
    <row r="542" ht="29.25" customHeight="1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</row>
    <row r="543" ht="29.25" customHeight="1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</row>
    <row r="544" ht="29.25" customHeight="1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</row>
    <row r="545" ht="29.25" customHeight="1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</row>
    <row r="546" ht="29.25" customHeight="1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</row>
    <row r="547" ht="29.25" customHeight="1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</row>
    <row r="548" ht="29.25" customHeight="1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</row>
    <row r="549" ht="29.25" customHeight="1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</row>
    <row r="550" ht="29.25" customHeight="1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</row>
    <row r="551" ht="29.25" customHeight="1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</row>
    <row r="552" ht="29.25" customHeight="1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</row>
    <row r="553" ht="29.25" customHeight="1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</row>
    <row r="554" ht="29.25" customHeight="1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</row>
    <row r="555" ht="29.25" customHeight="1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</row>
    <row r="556" ht="29.25" customHeight="1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</row>
    <row r="557" ht="29.25" customHeight="1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</row>
    <row r="558" ht="29.25" customHeight="1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</row>
    <row r="559" ht="29.25" customHeight="1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</row>
    <row r="560" ht="29.25" customHeight="1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</row>
    <row r="561" ht="29.25" customHeight="1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</row>
    <row r="562" ht="29.25" customHeight="1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</row>
    <row r="563" ht="29.25" customHeight="1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</row>
    <row r="564" ht="29.25" customHeight="1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</row>
    <row r="565" ht="29.25" customHeight="1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</row>
    <row r="566" ht="29.25" customHeight="1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</row>
    <row r="567" ht="29.25" customHeight="1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</row>
    <row r="568" ht="29.25" customHeight="1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</row>
    <row r="569" ht="29.25" customHeight="1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</row>
    <row r="570" ht="29.25" customHeight="1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</row>
    <row r="571" ht="29.25" customHeight="1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</row>
    <row r="572" ht="29.25" customHeight="1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</row>
    <row r="573" ht="29.25" customHeight="1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</row>
    <row r="574" ht="29.25" customHeight="1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</row>
    <row r="575" ht="29.25" customHeight="1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</row>
    <row r="576" ht="29.25" customHeight="1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</row>
    <row r="577" ht="29.25" customHeight="1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</row>
    <row r="578" ht="29.25" customHeight="1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</row>
    <row r="579" ht="29.25" customHeight="1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</row>
    <row r="580" ht="29.25" customHeight="1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</row>
    <row r="581" ht="29.25" customHeight="1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</row>
    <row r="582" ht="29.25" customHeight="1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</row>
    <row r="583" ht="29.25" customHeight="1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</row>
    <row r="584" ht="29.25" customHeight="1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</row>
    <row r="585" ht="29.25" customHeight="1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</row>
    <row r="586" ht="29.25" customHeight="1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</row>
    <row r="587" ht="29.25" customHeight="1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</row>
    <row r="588" ht="29.25" customHeight="1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</row>
    <row r="589" ht="29.25" customHeight="1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</row>
    <row r="590" ht="29.25" customHeight="1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</row>
    <row r="591" ht="29.25" customHeight="1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</row>
    <row r="592" ht="29.25" customHeight="1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</row>
    <row r="593" ht="29.25" customHeight="1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</row>
    <row r="594" ht="29.25" customHeight="1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</row>
    <row r="595" ht="29.25" customHeight="1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</row>
    <row r="596" ht="29.25" customHeight="1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</row>
    <row r="597" ht="29.25" customHeight="1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</row>
    <row r="598" ht="29.25" customHeight="1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</row>
    <row r="599" ht="29.25" customHeight="1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</row>
    <row r="600" ht="29.25" customHeight="1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</row>
    <row r="601" ht="29.25" customHeight="1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</row>
    <row r="602" ht="29.25" customHeight="1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</row>
    <row r="603" ht="29.25" customHeight="1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</row>
    <row r="604" ht="29.25" customHeight="1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</row>
    <row r="605" ht="29.25" customHeight="1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</row>
    <row r="606" ht="29.25" customHeight="1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</row>
    <row r="607" ht="29.25" customHeight="1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</row>
    <row r="608" ht="29.25" customHeight="1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</row>
    <row r="609" ht="29.25" customHeight="1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</row>
    <row r="610" ht="29.25" customHeight="1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</row>
    <row r="611" ht="29.25" customHeight="1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</row>
    <row r="612" ht="29.25" customHeight="1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</row>
    <row r="613" ht="29.25" customHeight="1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</row>
    <row r="614" ht="29.25" customHeight="1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</row>
    <row r="615" ht="29.25" customHeight="1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</row>
    <row r="616" ht="29.25" customHeight="1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</row>
    <row r="617" ht="29.25" customHeight="1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</row>
    <row r="618" ht="29.25" customHeight="1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</row>
    <row r="619" ht="29.25" customHeight="1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</row>
    <row r="620" ht="29.25" customHeight="1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</row>
    <row r="621" ht="29.25" customHeight="1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</row>
    <row r="622" ht="29.25" customHeight="1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</row>
    <row r="623" ht="29.25" customHeight="1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</row>
    <row r="624" ht="29.25" customHeight="1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</row>
    <row r="625" ht="29.25" customHeight="1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</row>
    <row r="626" ht="29.25" customHeight="1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</row>
    <row r="627" ht="29.25" customHeight="1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</row>
    <row r="628" ht="29.25" customHeight="1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</row>
    <row r="629" ht="29.25" customHeight="1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</row>
    <row r="630" ht="29.25" customHeight="1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</row>
    <row r="631" ht="29.25" customHeight="1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</row>
    <row r="632" ht="29.25" customHeight="1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</row>
    <row r="633" ht="29.25" customHeight="1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</row>
    <row r="634" ht="29.25" customHeight="1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</row>
    <row r="635" ht="29.25" customHeight="1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</row>
    <row r="636" ht="29.25" customHeight="1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</row>
    <row r="637" ht="29.25" customHeight="1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</row>
    <row r="638" ht="29.25" customHeight="1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</row>
    <row r="639" ht="29.25" customHeight="1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</row>
    <row r="640" ht="29.25" customHeight="1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</row>
    <row r="641" ht="29.25" customHeight="1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</row>
    <row r="642" ht="29.25" customHeight="1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</row>
    <row r="643" ht="29.25" customHeight="1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</row>
    <row r="644" ht="29.25" customHeight="1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</row>
    <row r="645" ht="29.25" customHeight="1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</row>
    <row r="646" ht="29.25" customHeight="1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</row>
    <row r="647" ht="29.25" customHeight="1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</row>
    <row r="648" ht="29.25" customHeight="1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</row>
    <row r="649" ht="29.25" customHeight="1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</row>
    <row r="650" ht="29.25" customHeight="1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</row>
    <row r="651" ht="29.25" customHeight="1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</row>
    <row r="652" ht="29.25" customHeight="1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</row>
    <row r="653" ht="29.25" customHeight="1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</row>
    <row r="654" ht="29.25" customHeight="1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</row>
    <row r="655" ht="29.25" customHeight="1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</row>
    <row r="656" ht="29.25" customHeight="1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</row>
    <row r="657" ht="29.25" customHeight="1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</row>
    <row r="658" ht="29.25" customHeight="1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</row>
    <row r="659" ht="29.25" customHeight="1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</row>
    <row r="660" ht="29.25" customHeight="1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</row>
    <row r="661" ht="29.25" customHeight="1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</row>
    <row r="662" ht="29.25" customHeight="1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</row>
    <row r="663" ht="29.25" customHeight="1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</row>
    <row r="664" ht="29.25" customHeight="1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</row>
    <row r="665" ht="29.25" customHeight="1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</row>
    <row r="666" ht="29.25" customHeight="1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</row>
    <row r="667" ht="29.25" customHeight="1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</row>
    <row r="668" ht="29.25" customHeight="1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</row>
    <row r="669" ht="29.25" customHeight="1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</row>
    <row r="670" ht="29.25" customHeight="1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</row>
    <row r="671" ht="29.25" customHeight="1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</row>
    <row r="672" ht="29.25" customHeight="1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</row>
    <row r="673" ht="29.25" customHeight="1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</row>
    <row r="674" ht="29.25" customHeight="1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</row>
    <row r="675" ht="29.25" customHeight="1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</row>
    <row r="676" ht="29.25" customHeight="1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</row>
    <row r="677" ht="29.25" customHeight="1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</row>
    <row r="678" ht="29.25" customHeight="1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</row>
    <row r="679" ht="29.25" customHeight="1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</row>
    <row r="680" ht="29.25" customHeight="1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</row>
    <row r="681" ht="29.25" customHeight="1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</row>
    <row r="682" ht="29.25" customHeight="1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</row>
    <row r="683" ht="29.25" customHeight="1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</row>
    <row r="684" ht="29.25" customHeight="1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</row>
    <row r="685" ht="29.25" customHeight="1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</row>
    <row r="686" ht="29.25" customHeight="1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</row>
    <row r="687" ht="29.25" customHeight="1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</row>
    <row r="688" ht="29.25" customHeight="1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</row>
    <row r="689" ht="29.25" customHeight="1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</row>
    <row r="690" ht="29.25" customHeight="1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</row>
    <row r="691" ht="29.25" customHeight="1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</row>
    <row r="692" ht="29.25" customHeight="1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</row>
    <row r="693" ht="29.25" customHeight="1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</row>
    <row r="694" ht="29.25" customHeight="1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</row>
    <row r="695" ht="29.25" customHeight="1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</row>
    <row r="696" ht="29.25" customHeight="1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</row>
    <row r="697" ht="29.25" customHeight="1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</row>
    <row r="698" ht="29.25" customHeight="1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</row>
    <row r="699" ht="29.25" customHeight="1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</row>
    <row r="700" ht="29.25" customHeight="1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</row>
    <row r="701" ht="29.25" customHeight="1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</row>
    <row r="702" ht="29.25" customHeight="1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</row>
    <row r="703" ht="29.25" customHeight="1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</row>
    <row r="704" ht="29.25" customHeight="1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</row>
    <row r="705" ht="29.25" customHeight="1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</row>
    <row r="706" ht="29.25" customHeight="1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</row>
    <row r="707" ht="29.25" customHeight="1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</row>
    <row r="708" ht="29.25" customHeight="1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</row>
    <row r="709" ht="29.25" customHeight="1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</row>
    <row r="710" ht="29.25" customHeight="1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</row>
    <row r="711" ht="29.25" customHeight="1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</row>
    <row r="712" ht="29.25" customHeight="1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</row>
    <row r="713" ht="29.25" customHeight="1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</row>
    <row r="714" ht="29.25" customHeight="1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</row>
    <row r="715" ht="29.25" customHeight="1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</row>
    <row r="716" ht="29.25" customHeight="1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</row>
    <row r="717" ht="29.25" customHeight="1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</row>
    <row r="718" ht="29.25" customHeight="1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</row>
    <row r="719" ht="29.25" customHeight="1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</row>
    <row r="720" ht="29.25" customHeight="1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</row>
    <row r="721" ht="29.25" customHeight="1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</row>
    <row r="722" ht="29.25" customHeight="1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</row>
    <row r="723" ht="29.25" customHeight="1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</row>
    <row r="724" ht="29.25" customHeight="1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</row>
    <row r="725" ht="29.25" customHeight="1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</row>
    <row r="726" ht="29.25" customHeight="1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</row>
    <row r="727" ht="29.25" customHeight="1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</row>
    <row r="728" ht="29.25" customHeight="1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</row>
    <row r="729" ht="29.25" customHeight="1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</row>
    <row r="730" ht="29.25" customHeight="1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</row>
    <row r="731" ht="29.25" customHeight="1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</row>
    <row r="732" ht="29.25" customHeight="1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</row>
    <row r="733" ht="29.25" customHeight="1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</row>
    <row r="734" ht="29.25" customHeight="1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</row>
    <row r="735" ht="29.25" customHeight="1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</row>
    <row r="736" ht="29.25" customHeight="1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</row>
    <row r="737" ht="29.25" customHeight="1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</row>
    <row r="738" ht="29.25" customHeight="1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</row>
    <row r="739" ht="29.25" customHeight="1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</row>
    <row r="740" ht="29.25" customHeight="1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</row>
    <row r="741" ht="29.25" customHeight="1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</row>
    <row r="742" ht="29.25" customHeight="1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</row>
    <row r="743" ht="29.25" customHeight="1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</row>
    <row r="744" ht="29.25" customHeight="1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</row>
    <row r="745" ht="29.25" customHeight="1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</row>
    <row r="746" ht="29.25" customHeight="1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</row>
    <row r="747" ht="29.25" customHeight="1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</row>
    <row r="748" ht="29.25" customHeight="1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</row>
    <row r="749" ht="29.25" customHeight="1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</row>
    <row r="750" ht="29.25" customHeight="1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</row>
    <row r="751" ht="29.25" customHeight="1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</row>
    <row r="752" ht="29.25" customHeight="1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</row>
    <row r="753" ht="29.25" customHeight="1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</row>
    <row r="754" ht="29.25" customHeight="1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</row>
    <row r="755" ht="29.25" customHeight="1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</row>
    <row r="756" ht="29.25" customHeight="1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</row>
    <row r="757" ht="29.25" customHeight="1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</row>
    <row r="758" ht="29.25" customHeight="1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</row>
    <row r="759" ht="29.25" customHeight="1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</row>
    <row r="760" ht="29.25" customHeight="1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</row>
    <row r="761" ht="29.25" customHeight="1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</row>
    <row r="762" ht="29.25" customHeight="1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</row>
    <row r="763" ht="29.25" customHeight="1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</row>
    <row r="764" ht="29.25" customHeight="1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</row>
    <row r="765" ht="29.25" customHeight="1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</row>
    <row r="766" ht="29.25" customHeight="1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</row>
    <row r="767" ht="29.25" customHeight="1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</row>
    <row r="768" ht="29.25" customHeight="1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</row>
    <row r="769" ht="29.25" customHeight="1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</row>
    <row r="770" ht="29.25" customHeight="1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</row>
    <row r="771" ht="29.25" customHeight="1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</row>
    <row r="772" ht="29.25" customHeight="1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</row>
    <row r="773" ht="29.25" customHeight="1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</row>
    <row r="774" ht="29.25" customHeight="1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</row>
    <row r="775" ht="29.25" customHeight="1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</row>
    <row r="776" ht="29.25" customHeight="1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</row>
    <row r="777" ht="29.25" customHeight="1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</row>
    <row r="778" ht="29.25" customHeight="1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</row>
    <row r="779" ht="29.25" customHeight="1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</row>
    <row r="780" ht="29.25" customHeight="1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</row>
    <row r="781" ht="29.25" customHeight="1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</row>
    <row r="782" ht="29.25" customHeight="1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</row>
    <row r="783" ht="29.25" customHeight="1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</row>
    <row r="784" ht="29.25" customHeight="1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</row>
    <row r="785" ht="29.25" customHeight="1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</row>
    <row r="786" ht="29.25" customHeight="1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</row>
    <row r="787" ht="29.25" customHeight="1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</row>
    <row r="788" ht="29.25" customHeight="1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</row>
    <row r="789" ht="29.25" customHeight="1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</row>
    <row r="790" ht="29.25" customHeight="1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</row>
    <row r="791" ht="29.25" customHeight="1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</row>
    <row r="792" ht="29.25" customHeight="1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</row>
    <row r="793" ht="29.25" customHeight="1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</row>
    <row r="794" ht="29.25" customHeight="1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</row>
    <row r="795" ht="29.25" customHeight="1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</row>
    <row r="796" ht="29.25" customHeight="1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</row>
    <row r="797" ht="29.25" customHeight="1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</row>
    <row r="798" ht="29.25" customHeight="1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</row>
    <row r="799" ht="29.25" customHeight="1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</row>
    <row r="800" ht="29.25" customHeight="1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</row>
    <row r="801" ht="29.25" customHeight="1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</row>
    <row r="802" ht="29.25" customHeight="1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</row>
    <row r="803" ht="29.25" customHeight="1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</row>
    <row r="804" ht="29.25" customHeight="1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</row>
    <row r="805" ht="29.25" customHeight="1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</row>
    <row r="806" ht="29.25" customHeight="1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</row>
    <row r="807" ht="29.25" customHeight="1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</row>
    <row r="808" ht="29.25" customHeight="1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</row>
    <row r="809" ht="29.25" customHeight="1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</row>
    <row r="810" ht="29.25" customHeight="1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</row>
    <row r="811" ht="29.25" customHeight="1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</row>
    <row r="812" ht="29.25" customHeight="1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</row>
    <row r="813" ht="29.25" customHeight="1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</row>
    <row r="814" ht="29.25" customHeight="1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</row>
    <row r="815" ht="29.25" customHeight="1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</row>
    <row r="816" ht="29.25" customHeight="1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</row>
    <row r="817" ht="29.25" customHeight="1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</row>
    <row r="818" ht="29.25" customHeight="1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</row>
    <row r="819" ht="29.25" customHeight="1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</row>
    <row r="820" ht="29.25" customHeight="1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</row>
    <row r="821" ht="29.25" customHeight="1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</row>
    <row r="822" ht="29.25" customHeight="1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</row>
    <row r="823" ht="29.25" customHeight="1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</row>
    <row r="824" ht="29.25" customHeight="1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</row>
    <row r="825" ht="29.25" customHeight="1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</row>
    <row r="826" ht="29.25" customHeight="1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</row>
    <row r="827" ht="29.25" customHeight="1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</row>
    <row r="828" ht="29.25" customHeight="1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</row>
    <row r="829" ht="29.25" customHeight="1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</row>
    <row r="830" ht="29.25" customHeight="1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</row>
    <row r="831" ht="29.25" customHeight="1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</row>
    <row r="832" ht="29.25" customHeight="1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</row>
    <row r="833" ht="29.25" customHeight="1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</row>
    <row r="834" ht="29.25" customHeight="1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</row>
    <row r="835" ht="29.25" customHeight="1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</row>
    <row r="836" ht="29.25" customHeight="1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</row>
    <row r="837" ht="29.25" customHeight="1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</row>
    <row r="838" ht="29.25" customHeight="1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</row>
    <row r="839" ht="29.25" customHeight="1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</row>
    <row r="840" ht="29.25" customHeight="1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</row>
    <row r="841" ht="29.25" customHeight="1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</row>
    <row r="842" ht="29.25" customHeight="1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</row>
    <row r="843" ht="29.25" customHeight="1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</row>
    <row r="844" ht="29.25" customHeight="1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</row>
    <row r="845" ht="29.25" customHeight="1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</row>
    <row r="846" ht="29.25" customHeight="1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</row>
    <row r="847" ht="29.25" customHeight="1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</row>
    <row r="848" ht="29.25" customHeight="1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</row>
    <row r="849" ht="29.25" customHeight="1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</row>
    <row r="850" ht="29.25" customHeight="1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</row>
    <row r="851" ht="29.25" customHeight="1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</row>
    <row r="852" ht="29.25" customHeight="1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</row>
    <row r="853" ht="29.25" customHeight="1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</row>
    <row r="854" ht="29.25" customHeight="1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</row>
    <row r="855" ht="29.25" customHeight="1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</row>
    <row r="856" ht="29.25" customHeight="1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</row>
    <row r="857" ht="29.25" customHeight="1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</row>
    <row r="858" ht="29.25" customHeight="1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</row>
    <row r="859" ht="29.25" customHeight="1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</row>
    <row r="860" ht="29.25" customHeight="1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</row>
    <row r="861" ht="29.25" customHeight="1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</row>
    <row r="862" ht="29.25" customHeight="1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</row>
    <row r="863" ht="29.25" customHeight="1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</row>
    <row r="864" ht="29.25" customHeight="1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</row>
    <row r="865" ht="29.25" customHeight="1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</row>
    <row r="866" ht="29.25" customHeight="1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</row>
    <row r="867" ht="29.25" customHeight="1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</row>
    <row r="868" ht="29.25" customHeight="1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</row>
    <row r="869" ht="29.25" customHeight="1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</row>
    <row r="870" ht="29.25" customHeight="1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</row>
    <row r="871" ht="29.25" customHeight="1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</row>
    <row r="872" ht="29.25" customHeight="1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</row>
    <row r="873" ht="29.25" customHeight="1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</row>
    <row r="874" ht="29.25" customHeight="1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</row>
    <row r="875" ht="29.25" customHeight="1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</row>
    <row r="876" ht="29.25" customHeight="1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</row>
    <row r="877" ht="29.25" customHeight="1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</row>
    <row r="878" ht="29.25" customHeight="1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</row>
    <row r="879" ht="29.25" customHeight="1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</row>
    <row r="880" ht="29.25" customHeight="1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</row>
    <row r="881" ht="29.25" customHeight="1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</row>
    <row r="882" ht="29.25" customHeight="1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</row>
    <row r="883" ht="29.25" customHeight="1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</row>
    <row r="884" ht="29.25" customHeight="1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</row>
    <row r="885" ht="29.25" customHeight="1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</row>
    <row r="886" ht="29.25" customHeight="1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</row>
    <row r="887" ht="29.25" customHeight="1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</row>
    <row r="888" ht="29.25" customHeight="1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</row>
    <row r="889" ht="29.25" customHeight="1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</row>
    <row r="890" ht="29.25" customHeight="1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</row>
    <row r="891" ht="29.25" customHeight="1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</row>
    <row r="892" ht="29.25" customHeight="1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</row>
    <row r="893" ht="29.25" customHeight="1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</row>
    <row r="894" ht="29.25" customHeight="1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</row>
    <row r="895" ht="29.25" customHeight="1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</row>
    <row r="896" ht="29.25" customHeight="1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</row>
    <row r="897" ht="29.25" customHeight="1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</row>
    <row r="898" ht="29.25" customHeight="1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</row>
    <row r="899" ht="29.25" customHeight="1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</row>
    <row r="900" ht="29.25" customHeight="1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</row>
    <row r="901" ht="29.25" customHeight="1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</row>
    <row r="902" ht="29.25" customHeight="1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</row>
    <row r="903" ht="29.25" customHeight="1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</row>
    <row r="904" ht="29.25" customHeight="1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</row>
    <row r="905" ht="29.25" customHeight="1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</row>
    <row r="906" ht="29.25" customHeight="1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</row>
    <row r="907" ht="29.25" customHeight="1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</row>
    <row r="908" ht="29.25" customHeight="1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</row>
    <row r="909" ht="29.25" customHeight="1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</row>
    <row r="910" ht="29.25" customHeight="1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</row>
    <row r="911" ht="29.25" customHeight="1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</row>
    <row r="912" ht="29.25" customHeight="1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</row>
    <row r="913" ht="29.25" customHeight="1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</row>
    <row r="914" ht="29.25" customHeight="1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</row>
    <row r="915" ht="29.25" customHeight="1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</row>
    <row r="916" ht="29.25" customHeight="1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</row>
    <row r="917" ht="29.25" customHeight="1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</row>
    <row r="918" ht="29.25" customHeight="1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</row>
    <row r="919" ht="29.25" customHeight="1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</row>
    <row r="920" ht="29.25" customHeight="1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</row>
    <row r="921" ht="29.25" customHeight="1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</row>
    <row r="922" ht="29.25" customHeight="1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</row>
    <row r="923" ht="29.25" customHeight="1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</row>
    <row r="924" ht="29.25" customHeight="1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</row>
    <row r="925" ht="29.25" customHeight="1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</row>
    <row r="926" ht="29.25" customHeight="1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</row>
    <row r="927" ht="29.25" customHeight="1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</row>
    <row r="928" ht="29.25" customHeight="1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</row>
    <row r="929" ht="29.25" customHeight="1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</row>
    <row r="930" ht="29.25" customHeight="1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</row>
    <row r="931" ht="29.25" customHeight="1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</row>
    <row r="932" ht="29.25" customHeight="1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</row>
    <row r="933" ht="29.25" customHeight="1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</row>
    <row r="934" ht="29.25" customHeight="1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</row>
    <row r="935" ht="29.25" customHeight="1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</row>
    <row r="936" ht="29.25" customHeight="1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</row>
    <row r="937" ht="29.25" customHeight="1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</row>
    <row r="938" ht="29.25" customHeight="1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</row>
    <row r="939" ht="29.25" customHeight="1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</row>
    <row r="940" ht="29.25" customHeight="1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</row>
    <row r="941" ht="29.25" customHeight="1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</row>
    <row r="942" ht="29.25" customHeight="1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</row>
    <row r="943" ht="29.25" customHeight="1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</row>
    <row r="944" ht="29.25" customHeight="1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</row>
    <row r="945" ht="29.25" customHeight="1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</row>
    <row r="946" ht="29.25" customHeight="1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</row>
    <row r="947" ht="29.25" customHeight="1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</row>
    <row r="948" ht="29.25" customHeight="1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</row>
    <row r="949" ht="29.25" customHeight="1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</row>
    <row r="950" ht="29.25" customHeight="1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</row>
    <row r="951" ht="29.25" customHeight="1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</row>
    <row r="952" ht="29.25" customHeight="1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</row>
    <row r="953" ht="29.25" customHeight="1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</row>
    <row r="954" ht="29.25" customHeight="1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</row>
    <row r="955" ht="29.25" customHeight="1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</row>
    <row r="956" ht="29.25" customHeight="1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</row>
    <row r="957" ht="29.25" customHeight="1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</row>
    <row r="958" ht="29.25" customHeight="1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</row>
    <row r="959" ht="29.25" customHeight="1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</row>
    <row r="960" ht="29.25" customHeight="1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</row>
    <row r="961" ht="29.25" customHeight="1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</row>
    <row r="962" ht="29.25" customHeight="1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</row>
    <row r="963" ht="29.25" customHeight="1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</row>
    <row r="964" ht="29.25" customHeight="1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</row>
    <row r="965" ht="29.25" customHeight="1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</row>
    <row r="966" ht="29.25" customHeight="1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</row>
    <row r="967" ht="29.25" customHeight="1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</row>
    <row r="968" ht="29.25" customHeight="1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</row>
    <row r="969" ht="29.25" customHeight="1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</row>
    <row r="970" ht="29.25" customHeight="1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</row>
    <row r="971" ht="29.25" customHeight="1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</row>
    <row r="972" ht="29.25" customHeight="1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</row>
    <row r="973" ht="29.25" customHeight="1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</row>
    <row r="974" ht="29.25" customHeight="1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</row>
    <row r="975" ht="29.25" customHeight="1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</row>
    <row r="976" ht="29.25" customHeight="1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</row>
    <row r="977" ht="29.25" customHeight="1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</row>
    <row r="978" ht="29.25" customHeight="1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</row>
    <row r="979" ht="29.25" customHeight="1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</row>
    <row r="980" ht="29.25" customHeight="1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</row>
    <row r="981" ht="29.25" customHeight="1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</row>
    <row r="982" ht="29.25" customHeight="1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</row>
    <row r="983" ht="29.25" customHeight="1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</row>
    <row r="984" ht="29.25" customHeight="1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</row>
    <row r="985" ht="29.25" customHeight="1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</row>
    <row r="986" ht="29.25" customHeight="1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</row>
    <row r="987" ht="29.25" customHeight="1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</row>
    <row r="988" ht="29.25" customHeight="1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</row>
    <row r="989" ht="29.25" customHeight="1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</row>
    <row r="990" ht="29.25" customHeight="1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</row>
    <row r="991" ht="29.25" customHeight="1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</row>
    <row r="992" ht="29.25" customHeight="1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</row>
    <row r="993" ht="29.25" customHeight="1">
      <c r="A993" s="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</row>
    <row r="994" ht="29.25" customHeight="1">
      <c r="A994" s="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</row>
    <row r="995" ht="29.25" customHeight="1">
      <c r="A995" s="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</row>
    <row r="996" ht="29.25" customHeight="1">
      <c r="A996" s="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</row>
    <row r="997" ht="29.25" customHeight="1">
      <c r="A997" s="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</row>
    <row r="998" ht="29.25" customHeight="1">
      <c r="A998" s="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</row>
    <row r="999" ht="29.25" customHeight="1">
      <c r="A999" s="1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</row>
    <row r="1000" ht="29.25" customHeight="1">
      <c r="A1000" s="1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</row>
    <row r="1001" ht="29.25" customHeight="1">
      <c r="A1001" s="1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</row>
    <row r="1002" ht="29.25" customHeight="1">
      <c r="A1002" s="1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0.5"/>
    <col customWidth="1" min="2" max="2" width="14.13"/>
    <col customWidth="1" min="3" max="3" width="16.5"/>
    <col customWidth="1" min="4" max="4" width="17.0"/>
    <col customWidth="1" min="5" max="5" width="51.75"/>
    <col customWidth="1" min="6" max="6" width="21.63"/>
    <col customWidth="1" min="7" max="7" width="12.88"/>
    <col customWidth="1" min="8" max="8" width="17.25"/>
    <col customWidth="1" min="9" max="14" width="18.88"/>
    <col customWidth="1" min="15" max="15" width="12.75"/>
    <col customWidth="1" min="16" max="16" width="17.0"/>
    <col customWidth="1" min="17" max="17" width="18.75"/>
    <col customWidth="1" min="18" max="18" width="1.13"/>
    <col customWidth="1" min="19" max="19" width="12.5"/>
    <col customWidth="1" min="20" max="20" width="14.25"/>
    <col customWidth="1" min="22" max="22" width="2.0"/>
    <col customWidth="1" min="23" max="23" width="23.63"/>
    <col customWidth="1" min="24" max="24" width="15.38"/>
    <col customWidth="1" min="25" max="25" width="16.75"/>
    <col customWidth="1" min="26" max="26" width="25.38"/>
    <col customWidth="1" min="27" max="27" width="23.0"/>
    <col customWidth="1" min="28" max="28" width="31.5"/>
    <col customWidth="1" min="29" max="39" width="14.63"/>
  </cols>
  <sheetData>
    <row r="1" ht="27.75" customHeight="1">
      <c r="A1" s="3"/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8" t="s">
        <v>2</v>
      </c>
      <c r="T1" s="4"/>
      <c r="U1" s="10"/>
      <c r="V1" s="4"/>
      <c r="W1" s="11" t="s">
        <v>7</v>
      </c>
      <c r="X1" s="12"/>
      <c r="Y1" s="12"/>
      <c r="Z1" s="14"/>
      <c r="AA1" s="16"/>
      <c r="AB1" s="14"/>
      <c r="AC1" s="17"/>
      <c r="AD1" s="17"/>
      <c r="AE1" s="17"/>
      <c r="AF1" s="17"/>
      <c r="AG1" s="17"/>
      <c r="AH1" s="17"/>
      <c r="AI1" s="3"/>
      <c r="AJ1" s="3"/>
      <c r="AK1" s="3"/>
      <c r="AL1" s="3"/>
      <c r="AM1" s="3"/>
    </row>
    <row r="2" ht="43.5" customHeight="1">
      <c r="A2" s="17"/>
      <c r="B2" s="19" t="s">
        <v>10</v>
      </c>
      <c r="C2" s="19" t="s">
        <v>11</v>
      </c>
      <c r="D2" s="19" t="s">
        <v>12</v>
      </c>
      <c r="E2" s="22" t="s">
        <v>14</v>
      </c>
      <c r="F2" s="22" t="s">
        <v>4</v>
      </c>
      <c r="G2" s="22" t="s">
        <v>17</v>
      </c>
      <c r="H2" s="24" t="s">
        <v>18</v>
      </c>
      <c r="I2" s="25" t="s">
        <v>19</v>
      </c>
      <c r="J2" s="25" t="s">
        <v>20</v>
      </c>
      <c r="K2" s="4"/>
      <c r="L2" s="4"/>
      <c r="M2" s="24"/>
      <c r="N2" s="24" t="s">
        <v>22</v>
      </c>
      <c r="O2" s="24" t="s">
        <v>24</v>
      </c>
      <c r="P2" s="24" t="s">
        <v>25</v>
      </c>
      <c r="Q2" s="24" t="s">
        <v>26</v>
      </c>
      <c r="R2" s="26"/>
      <c r="S2" s="27" t="s">
        <v>27</v>
      </c>
      <c r="T2" s="29" t="s">
        <v>29</v>
      </c>
      <c r="U2" s="29" t="s">
        <v>31</v>
      </c>
      <c r="V2" s="17"/>
      <c r="W2" s="32" t="s">
        <v>33</v>
      </c>
      <c r="X2" s="33" t="s">
        <v>34</v>
      </c>
      <c r="Y2" s="33" t="s">
        <v>35</v>
      </c>
      <c r="Z2" s="33" t="s">
        <v>36</v>
      </c>
      <c r="AA2" s="33" t="s">
        <v>38</v>
      </c>
      <c r="AB2" s="33" t="s">
        <v>40</v>
      </c>
      <c r="AC2" s="35"/>
      <c r="AD2" s="35"/>
      <c r="AE2" s="35"/>
      <c r="AF2" s="35"/>
      <c r="AG2" s="35"/>
      <c r="AH2" s="35"/>
      <c r="AI2" s="17"/>
      <c r="AJ2" s="17"/>
      <c r="AK2" s="17"/>
      <c r="AL2" s="17"/>
      <c r="AM2" s="17"/>
    </row>
    <row r="3" ht="36.0" customHeight="1">
      <c r="A3" s="35"/>
      <c r="B3" s="3"/>
      <c r="C3" s="3"/>
      <c r="D3" s="3"/>
      <c r="E3" s="38" t="s">
        <v>42</v>
      </c>
      <c r="F3" s="40" t="s">
        <v>45</v>
      </c>
      <c r="G3" s="41">
        <v>1.0</v>
      </c>
      <c r="H3" s="42">
        <v>45000.0</v>
      </c>
      <c r="I3" s="44">
        <f t="shared" ref="I3:J3" si="1">H3</f>
        <v>45000</v>
      </c>
      <c r="J3" s="44">
        <f t="shared" si="1"/>
        <v>45000</v>
      </c>
      <c r="K3" s="4"/>
      <c r="L3" s="4"/>
      <c r="M3" s="44"/>
      <c r="N3" s="44">
        <f>H3</f>
        <v>45000</v>
      </c>
      <c r="O3" s="40" t="s">
        <v>52</v>
      </c>
      <c r="P3" s="48">
        <v>1.0</v>
      </c>
      <c r="Q3" s="49">
        <f>N3*P3</f>
        <v>45000</v>
      </c>
      <c r="R3" s="50"/>
      <c r="S3" s="51"/>
      <c r="T3" s="51"/>
      <c r="U3" s="51"/>
      <c r="V3" s="53"/>
      <c r="W3" s="56"/>
      <c r="X3" s="56"/>
      <c r="Y3" s="56"/>
      <c r="Z3" s="56"/>
      <c r="AA3" s="56"/>
      <c r="AB3" s="56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</row>
    <row r="4" ht="50.25" customHeight="1">
      <c r="A4" s="35"/>
      <c r="B4" s="3"/>
      <c r="C4" s="3"/>
      <c r="D4" s="3"/>
      <c r="E4" s="38" t="s">
        <v>63</v>
      </c>
      <c r="F4" s="41" t="s">
        <v>64</v>
      </c>
      <c r="G4" s="41">
        <v>1.0</v>
      </c>
      <c r="H4" s="58">
        <v>400000.0</v>
      </c>
      <c r="I4" s="44">
        <f t="shared" ref="I4:I7" si="2">H4/4</f>
        <v>100000</v>
      </c>
      <c r="J4" s="44">
        <f t="shared" ref="J4:J7" si="3">I4</f>
        <v>100000</v>
      </c>
      <c r="K4" s="4"/>
      <c r="L4" s="4"/>
      <c r="M4" s="44"/>
      <c r="N4" s="44"/>
      <c r="O4" s="40"/>
      <c r="P4" s="48"/>
      <c r="Q4" s="49"/>
      <c r="R4" s="50"/>
      <c r="S4" s="59"/>
      <c r="T4" s="59"/>
      <c r="U4" s="59"/>
      <c r="V4" s="53"/>
      <c r="W4" s="61"/>
      <c r="X4" s="61"/>
      <c r="Y4" s="61"/>
      <c r="Z4" s="61"/>
      <c r="AA4" s="61"/>
      <c r="AB4" s="61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</row>
    <row r="5">
      <c r="A5" s="62"/>
      <c r="B5" s="62"/>
      <c r="C5" s="62"/>
      <c r="D5" s="62"/>
      <c r="E5" s="38" t="s">
        <v>70</v>
      </c>
      <c r="F5" s="41" t="s">
        <v>71</v>
      </c>
      <c r="G5" s="41">
        <v>1.0</v>
      </c>
      <c r="H5" s="58">
        <v>800000.0</v>
      </c>
      <c r="I5" s="44">
        <f t="shared" si="2"/>
        <v>200000</v>
      </c>
      <c r="J5" s="44">
        <f t="shared" si="3"/>
        <v>200000</v>
      </c>
      <c r="K5" s="4"/>
      <c r="L5" s="4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62"/>
    </row>
    <row r="6" ht="48.75" customHeight="1">
      <c r="A6" s="35"/>
      <c r="B6" s="3"/>
      <c r="C6" s="3"/>
      <c r="D6" s="3"/>
      <c r="E6" s="38" t="s">
        <v>74</v>
      </c>
      <c r="F6" s="41" t="s">
        <v>71</v>
      </c>
      <c r="G6" s="41">
        <v>1.0</v>
      </c>
      <c r="H6" s="58">
        <v>800000.0</v>
      </c>
      <c r="I6" s="44">
        <f t="shared" si="2"/>
        <v>200000</v>
      </c>
      <c r="J6" s="44">
        <f t="shared" si="3"/>
        <v>200000</v>
      </c>
      <c r="K6" s="4"/>
      <c r="L6" s="4"/>
      <c r="M6" s="44"/>
      <c r="N6" s="44"/>
      <c r="O6" s="40"/>
      <c r="P6" s="64"/>
      <c r="Q6" s="49"/>
      <c r="R6" s="50"/>
      <c r="S6" s="65"/>
      <c r="T6" s="65"/>
      <c r="U6" s="65"/>
      <c r="V6" s="53"/>
      <c r="W6" s="56"/>
      <c r="X6" s="56"/>
      <c r="Y6" s="56"/>
      <c r="Z6" s="56"/>
      <c r="AA6" s="56"/>
      <c r="AB6" s="56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</row>
    <row r="7" ht="48.0" customHeight="1">
      <c r="A7" s="35"/>
      <c r="B7" s="3"/>
      <c r="C7" s="3"/>
      <c r="D7" s="3"/>
      <c r="E7" s="38" t="s">
        <v>78</v>
      </c>
      <c r="F7" s="41" t="s">
        <v>64</v>
      </c>
      <c r="G7" s="41">
        <v>1.0</v>
      </c>
      <c r="H7" s="58">
        <v>400000.0</v>
      </c>
      <c r="I7" s="44">
        <f t="shared" si="2"/>
        <v>100000</v>
      </c>
      <c r="J7" s="44">
        <f t="shared" si="3"/>
        <v>100000</v>
      </c>
      <c r="K7" s="4"/>
      <c r="L7" s="4"/>
      <c r="M7" s="44"/>
      <c r="N7" s="44"/>
      <c r="O7" s="40"/>
      <c r="P7" s="64"/>
      <c r="Q7" s="49"/>
      <c r="R7" s="50"/>
      <c r="S7" s="65"/>
      <c r="T7" s="65"/>
      <c r="U7" s="65"/>
      <c r="V7" s="53"/>
      <c r="W7" s="56"/>
      <c r="X7" s="56"/>
      <c r="Y7" s="56"/>
      <c r="Z7" s="56"/>
      <c r="AA7" s="56"/>
      <c r="AB7" s="56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</row>
    <row r="8">
      <c r="A8" s="35"/>
      <c r="B8" s="3"/>
      <c r="C8" s="3"/>
      <c r="D8" s="3"/>
      <c r="E8" s="38" t="s">
        <v>83</v>
      </c>
      <c r="F8" s="41" t="s">
        <v>84</v>
      </c>
      <c r="G8" s="41">
        <v>1.0</v>
      </c>
      <c r="H8" s="67">
        <f>6930000-693000</f>
        <v>6237000</v>
      </c>
      <c r="I8" s="44">
        <f t="shared" ref="I8:I10" si="4">G8*H8</f>
        <v>6237000</v>
      </c>
      <c r="J8" s="44">
        <f t="shared" ref="J8:J9" si="5">G8*I8</f>
        <v>6237000</v>
      </c>
      <c r="K8" s="3"/>
      <c r="L8" s="4"/>
      <c r="M8" s="44"/>
      <c r="N8" s="44">
        <f>H8</f>
        <v>6237000</v>
      </c>
      <c r="O8" s="40" t="s">
        <v>88</v>
      </c>
      <c r="P8" s="69">
        <v>13.0</v>
      </c>
      <c r="Q8" s="49">
        <f t="shared" ref="Q8:Q9" si="6">N8</f>
        <v>6237000</v>
      </c>
      <c r="R8" s="50"/>
      <c r="S8" s="51"/>
      <c r="T8" s="51"/>
      <c r="U8" s="51"/>
      <c r="V8" s="53"/>
      <c r="W8" s="56"/>
      <c r="X8" s="56"/>
      <c r="Y8" s="56"/>
      <c r="Z8" s="56"/>
      <c r="AA8" s="56"/>
      <c r="AB8" s="56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</row>
    <row r="9">
      <c r="A9" s="35"/>
      <c r="B9" s="3"/>
      <c r="C9" s="3"/>
      <c r="D9" s="3"/>
      <c r="E9" s="38" t="s">
        <v>89</v>
      </c>
      <c r="F9" s="41" t="s">
        <v>84</v>
      </c>
      <c r="G9" s="41">
        <v>1.0</v>
      </c>
      <c r="H9" s="58">
        <v>50000.0</v>
      </c>
      <c r="I9" s="44">
        <f t="shared" si="4"/>
        <v>50000</v>
      </c>
      <c r="J9" s="44">
        <f t="shared" si="5"/>
        <v>50000</v>
      </c>
      <c r="K9" s="4"/>
      <c r="L9" s="4"/>
      <c r="M9" s="44"/>
      <c r="N9" s="44">
        <f>((G9*H9))</f>
        <v>50000</v>
      </c>
      <c r="O9" s="40" t="s">
        <v>88</v>
      </c>
      <c r="P9" s="69">
        <v>13.0</v>
      </c>
      <c r="Q9" s="49">
        <f t="shared" si="6"/>
        <v>50000</v>
      </c>
      <c r="R9" s="50"/>
      <c r="S9" s="65"/>
      <c r="T9" s="65"/>
      <c r="U9" s="65"/>
      <c r="V9" s="53"/>
      <c r="W9" s="56"/>
      <c r="X9" s="56"/>
      <c r="Y9" s="56"/>
      <c r="Z9" s="56"/>
      <c r="AA9" s="56"/>
      <c r="AB9" s="56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70"/>
    </row>
    <row r="10" ht="36.0" customHeight="1">
      <c r="A10" s="35"/>
      <c r="B10" s="3"/>
      <c r="C10" s="3"/>
      <c r="D10" s="3"/>
      <c r="E10" s="38" t="s">
        <v>90</v>
      </c>
      <c r="F10" s="41" t="s">
        <v>64</v>
      </c>
      <c r="G10" s="41">
        <v>2.0</v>
      </c>
      <c r="H10" s="71">
        <v>370000.0</v>
      </c>
      <c r="I10" s="44">
        <f t="shared" si="4"/>
        <v>740000</v>
      </c>
      <c r="J10" s="44">
        <f>G10*H10/2</f>
        <v>370000</v>
      </c>
      <c r="K10" s="4"/>
      <c r="L10" s="4"/>
      <c r="M10" s="44"/>
      <c r="N10" s="44"/>
      <c r="O10" s="40"/>
      <c r="P10" s="64"/>
      <c r="Q10" s="49"/>
      <c r="R10" s="50"/>
      <c r="S10" s="65"/>
      <c r="T10" s="65"/>
      <c r="U10" s="65"/>
      <c r="V10" s="53"/>
      <c r="W10" s="56"/>
      <c r="X10" s="56"/>
      <c r="Y10" s="56"/>
      <c r="Z10" s="56"/>
      <c r="AA10" s="56"/>
      <c r="AB10" s="56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</row>
    <row r="11" ht="36.0" customHeight="1">
      <c r="A11" s="35"/>
      <c r="B11" s="3"/>
      <c r="C11" s="3"/>
      <c r="D11" s="3"/>
      <c r="E11" s="62"/>
      <c r="F11" s="72"/>
      <c r="G11" s="72"/>
      <c r="H11" s="73" t="s">
        <v>91</v>
      </c>
      <c r="I11" s="74">
        <f t="shared" ref="I11:J11" si="7">SUM(I3:I10)</f>
        <v>7672000</v>
      </c>
      <c r="J11" s="74">
        <f t="shared" si="7"/>
        <v>7302000</v>
      </c>
      <c r="K11" s="62"/>
      <c r="L11" s="62"/>
      <c r="M11" s="44"/>
      <c r="N11" s="44"/>
      <c r="O11" s="40"/>
      <c r="P11" s="64"/>
      <c r="Q11" s="49"/>
      <c r="R11" s="50"/>
      <c r="S11" s="65"/>
      <c r="T11" s="65"/>
      <c r="U11" s="65"/>
      <c r="V11" s="53"/>
      <c r="W11" s="56"/>
      <c r="X11" s="56"/>
      <c r="Y11" s="56"/>
      <c r="Z11" s="56"/>
      <c r="AA11" s="56"/>
      <c r="AB11" s="56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</row>
    <row r="12" ht="36.0" customHeight="1">
      <c r="A12" s="35"/>
      <c r="B12" s="3"/>
      <c r="C12" s="3"/>
      <c r="D12" s="3"/>
      <c r="E12" s="62"/>
      <c r="F12" s="75" t="s">
        <v>92</v>
      </c>
      <c r="G12" s="76">
        <v>0.15</v>
      </c>
      <c r="H12" s="77" t="s">
        <v>93</v>
      </c>
      <c r="I12" s="78">
        <f t="shared" ref="I12:J12" si="8">I11/0.85</f>
        <v>9025882.353</v>
      </c>
      <c r="J12" s="78">
        <f t="shared" si="8"/>
        <v>8590588.235</v>
      </c>
      <c r="K12" s="62"/>
      <c r="L12" s="62"/>
      <c r="M12" s="44"/>
      <c r="N12" s="44" t="str">
        <f>#REF!*F12</f>
        <v>#REF!</v>
      </c>
      <c r="O12" s="40" t="s">
        <v>52</v>
      </c>
      <c r="P12" s="64">
        <v>13.0</v>
      </c>
      <c r="Q12" s="49" t="str">
        <f>N12*P12</f>
        <v>#REF!</v>
      </c>
      <c r="R12" s="50"/>
      <c r="S12" s="65"/>
      <c r="T12" s="65"/>
      <c r="U12" s="65"/>
      <c r="V12" s="53"/>
      <c r="W12" s="56"/>
      <c r="X12" s="56"/>
      <c r="Y12" s="56"/>
      <c r="Z12" s="56"/>
      <c r="AA12" s="56"/>
      <c r="AB12" s="56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</row>
    <row r="13" ht="42.75" customHeight="1">
      <c r="A13" s="35"/>
      <c r="B13" s="35"/>
      <c r="C13" s="50"/>
      <c r="D13" s="50"/>
      <c r="E13" s="62"/>
      <c r="F13" s="79" t="s">
        <v>94</v>
      </c>
      <c r="G13" s="80">
        <v>2900.0</v>
      </c>
      <c r="H13" s="81" t="s">
        <v>95</v>
      </c>
      <c r="I13" s="82">
        <f>I12/G13</f>
        <v>3112.373225</v>
      </c>
      <c r="J13" s="82">
        <f>J12/G13</f>
        <v>2962.271805</v>
      </c>
      <c r="K13" s="62"/>
      <c r="L13" s="62"/>
      <c r="M13" s="35"/>
      <c r="N13" s="35"/>
      <c r="O13" s="70"/>
      <c r="P13" s="70"/>
      <c r="Q13" s="70"/>
      <c r="R13" s="70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</row>
    <row r="14" ht="15.75" customHeight="1">
      <c r="A14" s="35"/>
      <c r="B14" s="35"/>
      <c r="C14" s="50"/>
      <c r="D14" s="50"/>
      <c r="E14" s="35"/>
      <c r="F14" s="35"/>
      <c r="G14" s="35"/>
      <c r="H14" s="50"/>
      <c r="I14" s="35"/>
      <c r="J14" s="35"/>
      <c r="K14" s="4"/>
      <c r="L14" s="4"/>
      <c r="M14" s="35"/>
      <c r="N14" s="35"/>
      <c r="O14" s="70"/>
      <c r="P14" s="70"/>
      <c r="Q14" s="70"/>
      <c r="R14" s="70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</row>
  </sheetData>
  <mergeCells count="1">
    <mergeCell ref="W1:Y1"/>
  </mergeCells>
  <drawing r:id="rId2"/>
  <legacyDrawing r:id="rId3"/>
</worksheet>
</file>